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OneDrive\Documents\Code x\"/>
    </mc:Choice>
  </mc:AlternateContent>
  <xr:revisionPtr revIDLastSave="0" documentId="13_ncr:1_{71627B10-19E8-49B7-9D14-D7B55A9A8092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Dashboard" sheetId="1" r:id="rId1"/>
    <sheet name="Season" sheetId="2" r:id="rId2"/>
    <sheet name="Winnings" sheetId="3" r:id="rId3"/>
    <sheet name="Week 1" sheetId="4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0" r:id="rId20"/>
    <sheet name="Week 18" sheetId="21" r:id="rId21"/>
  </sheets>
  <definedNames>
    <definedName name="_xlnm._FilterDatabase" localSheetId="3" hidden="1">'Week 1'!$A$9:$AB$44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6" l="1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F7" i="6"/>
  <c r="Z44" i="19"/>
  <c r="C44" i="19"/>
  <c r="B44" i="19"/>
  <c r="Z43" i="19"/>
  <c r="C43" i="19"/>
  <c r="B43" i="19" s="1"/>
  <c r="Z42" i="19"/>
  <c r="C42" i="19"/>
  <c r="B42" i="19"/>
  <c r="Z41" i="19"/>
  <c r="C41" i="19"/>
  <c r="B41" i="19" s="1"/>
  <c r="Z40" i="19"/>
  <c r="C40" i="19"/>
  <c r="B40" i="19" s="1"/>
  <c r="AB39" i="19"/>
  <c r="Z39" i="19"/>
  <c r="C39" i="19"/>
  <c r="B39" i="19"/>
  <c r="Z38" i="19"/>
  <c r="C38" i="19"/>
  <c r="B38" i="19" s="1"/>
  <c r="AB37" i="19"/>
  <c r="Z37" i="19"/>
  <c r="C37" i="19"/>
  <c r="B37" i="19" s="1"/>
  <c r="AB36" i="19"/>
  <c r="Z36" i="19"/>
  <c r="C36" i="19"/>
  <c r="B36" i="19"/>
  <c r="Z35" i="19"/>
  <c r="C35" i="19"/>
  <c r="B35" i="19" s="1"/>
  <c r="Z34" i="19"/>
  <c r="C34" i="19"/>
  <c r="B34" i="19" s="1"/>
  <c r="Z33" i="19"/>
  <c r="C33" i="19"/>
  <c r="B33" i="19" s="1"/>
  <c r="Z32" i="19"/>
  <c r="C32" i="19"/>
  <c r="B32" i="19" s="1"/>
  <c r="Z31" i="19"/>
  <c r="C31" i="19"/>
  <c r="B31" i="19" s="1"/>
  <c r="AB30" i="19"/>
  <c r="Z30" i="19"/>
  <c r="C30" i="19"/>
  <c r="B30" i="19"/>
  <c r="Z29" i="19"/>
  <c r="C29" i="19"/>
  <c r="B29" i="19" s="1"/>
  <c r="AB28" i="19"/>
  <c r="Z28" i="19"/>
  <c r="C28" i="19"/>
  <c r="B28" i="19" s="1"/>
  <c r="Z27" i="19"/>
  <c r="C27" i="19"/>
  <c r="B27" i="19"/>
  <c r="Z26" i="19"/>
  <c r="C26" i="19"/>
  <c r="B26" i="19" s="1"/>
  <c r="Z25" i="19"/>
  <c r="C25" i="19"/>
  <c r="B25" i="19" s="1"/>
  <c r="Z24" i="19"/>
  <c r="C24" i="19"/>
  <c r="B24" i="19" s="1"/>
  <c r="Z23" i="19"/>
  <c r="C23" i="19"/>
  <c r="B23" i="19" s="1"/>
  <c r="Z22" i="19"/>
  <c r="C22" i="19"/>
  <c r="B22" i="19" s="1"/>
  <c r="AB21" i="19"/>
  <c r="Z21" i="19"/>
  <c r="C21" i="19"/>
  <c r="B21" i="19"/>
  <c r="Z20" i="19"/>
  <c r="C20" i="19"/>
  <c r="B20" i="19" s="1"/>
  <c r="AB19" i="19"/>
  <c r="Z19" i="19"/>
  <c r="C19" i="19"/>
  <c r="B19" i="19" s="1"/>
  <c r="AB18" i="19"/>
  <c r="Z18" i="19"/>
  <c r="C18" i="19"/>
  <c r="B18" i="19" s="1"/>
  <c r="Z17" i="19"/>
  <c r="C17" i="19"/>
  <c r="B17" i="19" s="1"/>
  <c r="AB16" i="19"/>
  <c r="Z16" i="19"/>
  <c r="C16" i="19"/>
  <c r="B16" i="19" s="1"/>
  <c r="Z15" i="19"/>
  <c r="C15" i="19"/>
  <c r="B15" i="19" s="1"/>
  <c r="Z14" i="19"/>
  <c r="C14" i="19"/>
  <c r="B14" i="19" s="1"/>
  <c r="Z13" i="19"/>
  <c r="C13" i="19"/>
  <c r="AB12" i="19"/>
  <c r="Z12" i="19"/>
  <c r="C12" i="19"/>
  <c r="B12" i="19"/>
  <c r="Z11" i="19"/>
  <c r="C11" i="19"/>
  <c r="B11" i="19" s="1"/>
  <c r="AB10" i="19"/>
  <c r="Z10" i="19"/>
  <c r="C10" i="19"/>
  <c r="B10" i="19" s="1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AB44" i="18"/>
  <c r="Z44" i="18"/>
  <c r="C44" i="18"/>
  <c r="B44" i="18"/>
  <c r="AA43" i="18"/>
  <c r="Z43" i="18"/>
  <c r="C43" i="18"/>
  <c r="B43" i="18" s="1"/>
  <c r="Z42" i="18"/>
  <c r="C42" i="18"/>
  <c r="B42" i="18" s="1"/>
  <c r="Z41" i="18"/>
  <c r="C41" i="18"/>
  <c r="B41" i="18" s="1"/>
  <c r="Z40" i="18"/>
  <c r="C40" i="18"/>
  <c r="B40" i="18" s="1"/>
  <c r="Z39" i="18"/>
  <c r="C39" i="18"/>
  <c r="B39" i="18" s="1"/>
  <c r="Z38" i="18"/>
  <c r="C38" i="18"/>
  <c r="B38" i="18" s="1"/>
  <c r="AB37" i="18"/>
  <c r="Z37" i="18"/>
  <c r="C37" i="18"/>
  <c r="B37" i="18" s="1"/>
  <c r="Z36" i="18"/>
  <c r="C36" i="18"/>
  <c r="B36" i="18" s="1"/>
  <c r="AB35" i="18"/>
  <c r="Z35" i="18"/>
  <c r="C35" i="18"/>
  <c r="B35" i="18"/>
  <c r="AB34" i="18"/>
  <c r="Z34" i="18"/>
  <c r="C34" i="18"/>
  <c r="B34" i="18" s="1"/>
  <c r="Z33" i="18"/>
  <c r="C33" i="18"/>
  <c r="B33" i="18" s="1"/>
  <c r="Z32" i="18"/>
  <c r="C32" i="18"/>
  <c r="B32" i="18"/>
  <c r="Z31" i="18"/>
  <c r="C31" i="18"/>
  <c r="B31" i="18" s="1"/>
  <c r="AB30" i="18"/>
  <c r="Z30" i="18"/>
  <c r="C30" i="18"/>
  <c r="B30" i="18" s="1"/>
  <c r="Z29" i="18"/>
  <c r="C29" i="18"/>
  <c r="B29" i="18" s="1"/>
  <c r="AB28" i="18"/>
  <c r="Z28" i="18"/>
  <c r="C28" i="18"/>
  <c r="B28" i="18" s="1"/>
  <c r="Z27" i="18"/>
  <c r="C27" i="18"/>
  <c r="B27" i="18" s="1"/>
  <c r="AD26" i="18"/>
  <c r="Z26" i="18"/>
  <c r="C26" i="18"/>
  <c r="B26" i="18"/>
  <c r="Z25" i="18"/>
  <c r="C25" i="18"/>
  <c r="B25" i="18" s="1"/>
  <c r="AB24" i="18"/>
  <c r="Z24" i="18"/>
  <c r="C24" i="18"/>
  <c r="B24" i="18" s="1"/>
  <c r="Z23" i="18"/>
  <c r="C23" i="18"/>
  <c r="B23" i="18"/>
  <c r="Z22" i="18"/>
  <c r="C22" i="18"/>
  <c r="B22" i="18" s="1"/>
  <c r="Z21" i="18"/>
  <c r="C21" i="18"/>
  <c r="B21" i="18" s="1"/>
  <c r="Z20" i="18"/>
  <c r="C20" i="18"/>
  <c r="B20" i="18" s="1"/>
  <c r="AB19" i="18"/>
  <c r="Z19" i="18"/>
  <c r="C19" i="18"/>
  <c r="B19" i="18" s="1"/>
  <c r="Z18" i="18"/>
  <c r="C18" i="18"/>
  <c r="B18" i="18" s="1"/>
  <c r="AB17" i="18"/>
  <c r="Z17" i="18"/>
  <c r="C17" i="18"/>
  <c r="B17" i="18"/>
  <c r="Z16" i="18"/>
  <c r="C16" i="18"/>
  <c r="B16" i="18" s="1"/>
  <c r="Z15" i="18"/>
  <c r="C15" i="18"/>
  <c r="B15" i="18" s="1"/>
  <c r="Z14" i="18"/>
  <c r="C14" i="18"/>
  <c r="B14" i="18"/>
  <c r="Z13" i="18"/>
  <c r="C13" i="18"/>
  <c r="B13" i="18" s="1"/>
  <c r="AB12" i="18"/>
  <c r="Z12" i="18"/>
  <c r="C12" i="18"/>
  <c r="B12" i="18" s="1"/>
  <c r="Z11" i="18"/>
  <c r="C11" i="18"/>
  <c r="B11" i="18" s="1"/>
  <c r="AB10" i="18"/>
  <c r="Z10" i="18"/>
  <c r="C10" i="18"/>
  <c r="B10" i="18" s="1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AB44" i="17"/>
  <c r="Z44" i="17"/>
  <c r="C44" i="17"/>
  <c r="B44" i="17" s="1"/>
  <c r="Z43" i="17"/>
  <c r="C43" i="17"/>
  <c r="B43" i="17" s="1"/>
  <c r="Z42" i="17"/>
  <c r="C42" i="17"/>
  <c r="B42" i="17" s="1"/>
  <c r="AD41" i="17" s="1"/>
  <c r="AB41" i="17"/>
  <c r="Z41" i="17"/>
  <c r="C41" i="17"/>
  <c r="B41" i="17" s="1"/>
  <c r="Z40" i="17"/>
  <c r="C40" i="17"/>
  <c r="B40" i="17"/>
  <c r="AB39" i="17"/>
  <c r="Z39" i="17"/>
  <c r="C39" i="17"/>
  <c r="B39" i="17" s="1"/>
  <c r="Z38" i="17"/>
  <c r="C38" i="17"/>
  <c r="B38" i="17" s="1"/>
  <c r="Z37" i="17"/>
  <c r="C37" i="17"/>
  <c r="B37" i="17" s="1"/>
  <c r="Z36" i="17"/>
  <c r="C36" i="17"/>
  <c r="B36" i="17"/>
  <c r="AB35" i="17"/>
  <c r="Z35" i="17"/>
  <c r="C35" i="17"/>
  <c r="B35" i="17" s="1"/>
  <c r="Z34" i="17"/>
  <c r="C34" i="17"/>
  <c r="B34" i="17"/>
  <c r="AB33" i="17"/>
  <c r="Z33" i="17"/>
  <c r="C33" i="17"/>
  <c r="B33" i="17" s="1"/>
  <c r="AB32" i="17"/>
  <c r="Z32" i="17"/>
  <c r="C32" i="17"/>
  <c r="B32" i="17" s="1"/>
  <c r="Z31" i="17"/>
  <c r="C31" i="17"/>
  <c r="B31" i="17"/>
  <c r="AB30" i="17"/>
  <c r="Z30" i="17"/>
  <c r="C30" i="17"/>
  <c r="B30" i="17"/>
  <c r="AB29" i="17"/>
  <c r="Z29" i="17"/>
  <c r="C29" i="17"/>
  <c r="B29" i="17" s="1"/>
  <c r="AB28" i="17"/>
  <c r="Z28" i="17"/>
  <c r="C28" i="17"/>
  <c r="B28" i="17" s="1"/>
  <c r="Z27" i="17"/>
  <c r="C27" i="17"/>
  <c r="B27" i="17"/>
  <c r="AB26" i="17"/>
  <c r="AA26" i="17"/>
  <c r="Z26" i="17"/>
  <c r="C26" i="17"/>
  <c r="B26" i="17" s="1"/>
  <c r="Z25" i="17"/>
  <c r="C25" i="17"/>
  <c r="B25" i="17"/>
  <c r="Z24" i="17"/>
  <c r="C24" i="17"/>
  <c r="B24" i="17" s="1"/>
  <c r="Z23" i="17"/>
  <c r="C23" i="17"/>
  <c r="B23" i="17" s="1"/>
  <c r="Z22" i="17"/>
  <c r="C22" i="17"/>
  <c r="B22" i="17"/>
  <c r="Z21" i="17"/>
  <c r="C21" i="17"/>
  <c r="B21" i="17"/>
  <c r="AB20" i="17"/>
  <c r="Z20" i="17"/>
  <c r="C20" i="17"/>
  <c r="B20" i="17" s="1"/>
  <c r="Z19" i="17"/>
  <c r="C19" i="17"/>
  <c r="B19" i="17" s="1"/>
  <c r="AB19" i="17" s="1"/>
  <c r="Z18" i="17"/>
  <c r="C18" i="17"/>
  <c r="B18" i="17" s="1"/>
  <c r="AB17" i="17"/>
  <c r="Z17" i="17"/>
  <c r="C17" i="17"/>
  <c r="B17" i="17" s="1"/>
  <c r="Z16" i="17"/>
  <c r="C16" i="17"/>
  <c r="B16" i="17" s="1"/>
  <c r="Z15" i="17"/>
  <c r="C15" i="17"/>
  <c r="B15" i="17" s="1"/>
  <c r="AB14" i="17"/>
  <c r="Z14" i="17"/>
  <c r="C14" i="17"/>
  <c r="B14" i="17" s="1"/>
  <c r="Z13" i="17"/>
  <c r="C13" i="17"/>
  <c r="B13" i="17"/>
  <c r="AB12" i="17"/>
  <c r="Z12" i="17"/>
  <c r="C12" i="17"/>
  <c r="B12" i="17"/>
  <c r="D39" i="17" s="1"/>
  <c r="AB11" i="17"/>
  <c r="Z11" i="17"/>
  <c r="C11" i="17"/>
  <c r="B11" i="17" s="1"/>
  <c r="Z10" i="17"/>
  <c r="C10" i="17"/>
  <c r="B10" i="17" s="1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F7" i="17"/>
  <c r="AB44" i="16"/>
  <c r="Z44" i="16"/>
  <c r="C44" i="16"/>
  <c r="B44" i="16" s="1"/>
  <c r="Z43" i="16"/>
  <c r="C43" i="16"/>
  <c r="B43" i="16"/>
  <c r="AB42" i="16"/>
  <c r="Z42" i="16"/>
  <c r="C42" i="16"/>
  <c r="B42" i="16"/>
  <c r="Z41" i="16"/>
  <c r="C41" i="16"/>
  <c r="B41" i="16" s="1"/>
  <c r="AB40" i="16"/>
  <c r="Z40" i="16"/>
  <c r="C40" i="16"/>
  <c r="B40" i="16" s="1"/>
  <c r="AB39" i="16"/>
  <c r="Z39" i="16"/>
  <c r="C39" i="16"/>
  <c r="B39" i="16"/>
  <c r="Z38" i="16"/>
  <c r="C38" i="16"/>
  <c r="B38" i="16" s="1"/>
  <c r="Z37" i="16"/>
  <c r="C37" i="16"/>
  <c r="B37" i="16" s="1"/>
  <c r="Z36" i="16"/>
  <c r="C36" i="16"/>
  <c r="B36" i="16"/>
  <c r="AB35" i="16"/>
  <c r="Z35" i="16"/>
  <c r="C35" i="16"/>
  <c r="B35" i="16" s="1"/>
  <c r="Z34" i="16"/>
  <c r="C34" i="16"/>
  <c r="B34" i="16" s="1"/>
  <c r="Z33" i="16"/>
  <c r="C33" i="16"/>
  <c r="B33" i="16"/>
  <c r="Z32" i="16"/>
  <c r="C32" i="16"/>
  <c r="B32" i="16" s="1"/>
  <c r="AB31" i="16"/>
  <c r="Z31" i="16"/>
  <c r="C31" i="16"/>
  <c r="B31" i="16" s="1"/>
  <c r="Z30" i="16"/>
  <c r="C30" i="16"/>
  <c r="B30" i="16"/>
  <c r="AB29" i="16"/>
  <c r="Z29" i="16"/>
  <c r="C29" i="16"/>
  <c r="B29" i="16" s="1"/>
  <c r="Z28" i="16"/>
  <c r="C28" i="16"/>
  <c r="B28" i="16" s="1"/>
  <c r="Z27" i="16"/>
  <c r="C27" i="16"/>
  <c r="B27" i="16"/>
  <c r="Z26" i="16"/>
  <c r="C26" i="16"/>
  <c r="B26" i="16" s="1"/>
  <c r="Z25" i="16"/>
  <c r="C25" i="16"/>
  <c r="B25" i="16"/>
  <c r="AB24" i="16"/>
  <c r="Z24" i="16"/>
  <c r="C24" i="16"/>
  <c r="B24" i="16" s="1"/>
  <c r="AB23" i="16"/>
  <c r="Z23" i="16"/>
  <c r="C23" i="16"/>
  <c r="B23" i="16"/>
  <c r="Z22" i="16"/>
  <c r="C22" i="16"/>
  <c r="B22" i="16"/>
  <c r="AB21" i="16"/>
  <c r="Z21" i="16"/>
  <c r="C21" i="16"/>
  <c r="B21" i="16" s="1"/>
  <c r="Z20" i="16"/>
  <c r="C20" i="16"/>
  <c r="B20" i="16"/>
  <c r="AB19" i="16"/>
  <c r="Z19" i="16"/>
  <c r="C19" i="16"/>
  <c r="B19" i="16" s="1"/>
  <c r="Z18" i="16"/>
  <c r="C18" i="16"/>
  <c r="B18" i="16" s="1"/>
  <c r="AB18" i="16" s="1"/>
  <c r="Z17" i="16"/>
  <c r="C17" i="16"/>
  <c r="B17" i="16"/>
  <c r="Z16" i="16"/>
  <c r="C16" i="16"/>
  <c r="B16" i="16" s="1"/>
  <c r="AB15" i="16"/>
  <c r="Z15" i="16"/>
  <c r="C15" i="16"/>
  <c r="B15" i="16" s="1"/>
  <c r="AB14" i="16"/>
  <c r="Z14" i="16"/>
  <c r="C14" i="16"/>
  <c r="B14" i="16"/>
  <c r="Z13" i="16"/>
  <c r="C13" i="16"/>
  <c r="B13" i="16"/>
  <c r="AB12" i="16"/>
  <c r="Z12" i="16"/>
  <c r="C12" i="16"/>
  <c r="B12" i="16" s="1"/>
  <c r="Z11" i="16"/>
  <c r="C11" i="16"/>
  <c r="AB10" i="16"/>
  <c r="Z10" i="16"/>
  <c r="C10" i="16"/>
  <c r="B10" i="16" s="1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/>
  <c r="Z43" i="15"/>
  <c r="C43" i="15"/>
  <c r="B43" i="15"/>
  <c r="AB42" i="15"/>
  <c r="Z42" i="15"/>
  <c r="C42" i="15"/>
  <c r="B42" i="15"/>
  <c r="Z41" i="15"/>
  <c r="C41" i="15"/>
  <c r="B41" i="15" s="1"/>
  <c r="Z40" i="15"/>
  <c r="C40" i="15"/>
  <c r="B40" i="15"/>
  <c r="AB39" i="15"/>
  <c r="Z39" i="15"/>
  <c r="C39" i="15"/>
  <c r="B39" i="15"/>
  <c r="Z38" i="15"/>
  <c r="C38" i="15"/>
  <c r="B38" i="15" s="1"/>
  <c r="Z37" i="15"/>
  <c r="C37" i="15"/>
  <c r="B37" i="15"/>
  <c r="Z36" i="15"/>
  <c r="C36" i="15"/>
  <c r="B36" i="15"/>
  <c r="Z35" i="15"/>
  <c r="C35" i="15"/>
  <c r="B35" i="15"/>
  <c r="Z34" i="15"/>
  <c r="C34" i="15"/>
  <c r="B34" i="15"/>
  <c r="AB33" i="15"/>
  <c r="Z33" i="15"/>
  <c r="C33" i="15"/>
  <c r="B33" i="15"/>
  <c r="Z32" i="15"/>
  <c r="C32" i="15"/>
  <c r="B32" i="15" s="1"/>
  <c r="Z31" i="15"/>
  <c r="C31" i="15"/>
  <c r="B31" i="15"/>
  <c r="Z30" i="15"/>
  <c r="C30" i="15"/>
  <c r="B30" i="15"/>
  <c r="Z29" i="15"/>
  <c r="C29" i="15"/>
  <c r="B29" i="15" s="1"/>
  <c r="Z28" i="15"/>
  <c r="C28" i="15"/>
  <c r="B28" i="15"/>
  <c r="AB27" i="15"/>
  <c r="Z27" i="15"/>
  <c r="C27" i="15"/>
  <c r="B27" i="15"/>
  <c r="Z26" i="15"/>
  <c r="C26" i="15"/>
  <c r="B26" i="15"/>
  <c r="Z25" i="15"/>
  <c r="C25" i="15"/>
  <c r="B25" i="15"/>
  <c r="AB24" i="15"/>
  <c r="Z24" i="15"/>
  <c r="C24" i="15"/>
  <c r="B24" i="15"/>
  <c r="Z23" i="15"/>
  <c r="C23" i="15"/>
  <c r="B23" i="15" s="1"/>
  <c r="Z22" i="15"/>
  <c r="C22" i="15"/>
  <c r="B22" i="15"/>
  <c r="AB21" i="15"/>
  <c r="Z21" i="15"/>
  <c r="C21" i="15"/>
  <c r="B21" i="15"/>
  <c r="Z20" i="15"/>
  <c r="C20" i="15"/>
  <c r="B20" i="15" s="1"/>
  <c r="Z19" i="15"/>
  <c r="C19" i="15"/>
  <c r="B19" i="15"/>
  <c r="Z18" i="15"/>
  <c r="C18" i="15"/>
  <c r="B18" i="15"/>
  <c r="Z17" i="15"/>
  <c r="C17" i="15"/>
  <c r="B17" i="15"/>
  <c r="Z16" i="15"/>
  <c r="C16" i="15"/>
  <c r="B16" i="15"/>
  <c r="AB15" i="15"/>
  <c r="Z15" i="15"/>
  <c r="C15" i="15"/>
  <c r="B15" i="15"/>
  <c r="Z14" i="15"/>
  <c r="C14" i="15"/>
  <c r="B14" i="15"/>
  <c r="Z13" i="15"/>
  <c r="C13" i="15"/>
  <c r="B13" i="15"/>
  <c r="Z12" i="15"/>
  <c r="C12" i="15"/>
  <c r="B12" i="15"/>
  <c r="Z11" i="15"/>
  <c r="C11" i="15"/>
  <c r="Z10" i="15"/>
  <c r="C10" i="15"/>
  <c r="B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Z44" i="14"/>
  <c r="C44" i="14"/>
  <c r="B44" i="14" s="1"/>
  <c r="Z43" i="14"/>
  <c r="C43" i="14"/>
  <c r="B43" i="14" s="1"/>
  <c r="Z42" i="14"/>
  <c r="C42" i="14"/>
  <c r="B42" i="14"/>
  <c r="AB42" i="14" s="1"/>
  <c r="Z41" i="14"/>
  <c r="C41" i="14"/>
  <c r="B41" i="14" s="1"/>
  <c r="Z40" i="14"/>
  <c r="C40" i="14"/>
  <c r="B40" i="14" s="1"/>
  <c r="Z39" i="14"/>
  <c r="C39" i="14"/>
  <c r="B39" i="14" s="1"/>
  <c r="Z38" i="14"/>
  <c r="C38" i="14"/>
  <c r="B38" i="14" s="1"/>
  <c r="Z37" i="14"/>
  <c r="C37" i="14"/>
  <c r="B37" i="14"/>
  <c r="Z36" i="14"/>
  <c r="C36" i="14"/>
  <c r="B36" i="14" s="1"/>
  <c r="Z35" i="14"/>
  <c r="C35" i="14"/>
  <c r="B35" i="14"/>
  <c r="AB34" i="14"/>
  <c r="Z34" i="14"/>
  <c r="C34" i="14"/>
  <c r="B34" i="14"/>
  <c r="Z33" i="14"/>
  <c r="C33" i="14"/>
  <c r="B33" i="14" s="1"/>
  <c r="Z32" i="14"/>
  <c r="C32" i="14"/>
  <c r="B32" i="14"/>
  <c r="AB32" i="14" s="1"/>
  <c r="AB31" i="14"/>
  <c r="Z31" i="14"/>
  <c r="C31" i="14"/>
  <c r="B31" i="14"/>
  <c r="Z30" i="14"/>
  <c r="C30" i="14"/>
  <c r="B30" i="14"/>
  <c r="AB29" i="14"/>
  <c r="Z29" i="14"/>
  <c r="C29" i="14"/>
  <c r="B29" i="14" s="1"/>
  <c r="Z28" i="14"/>
  <c r="C28" i="14"/>
  <c r="B28" i="14" s="1"/>
  <c r="Z27" i="14"/>
  <c r="C27" i="14"/>
  <c r="B27" i="14"/>
  <c r="AB27" i="14" s="1"/>
  <c r="AB26" i="14"/>
  <c r="Z26" i="14"/>
  <c r="C26" i="14"/>
  <c r="B26" i="14"/>
  <c r="Z25" i="14"/>
  <c r="C25" i="14"/>
  <c r="B25" i="14"/>
  <c r="Z24" i="14"/>
  <c r="C24" i="14"/>
  <c r="B24" i="14" s="1"/>
  <c r="Z23" i="14"/>
  <c r="C23" i="14"/>
  <c r="B23" i="14" s="1"/>
  <c r="Z22" i="14"/>
  <c r="C22" i="14"/>
  <c r="B22" i="14"/>
  <c r="AB21" i="14"/>
  <c r="Z21" i="14"/>
  <c r="C21" i="14"/>
  <c r="B21" i="14"/>
  <c r="Z20" i="14"/>
  <c r="C20" i="14"/>
  <c r="B20" i="14"/>
  <c r="Z19" i="14"/>
  <c r="C19" i="14"/>
  <c r="B19" i="14"/>
  <c r="AB19" i="14" s="1"/>
  <c r="Z18" i="14"/>
  <c r="C18" i="14"/>
  <c r="B18" i="14" s="1"/>
  <c r="Z17" i="14"/>
  <c r="C17" i="14"/>
  <c r="B17" i="14"/>
  <c r="AB16" i="14"/>
  <c r="Z16" i="14"/>
  <c r="C16" i="14"/>
  <c r="B16" i="14" s="1"/>
  <c r="Z15" i="14"/>
  <c r="C15" i="14"/>
  <c r="B15" i="14"/>
  <c r="AB14" i="14"/>
  <c r="Z14" i="14"/>
  <c r="C14" i="14"/>
  <c r="B14" i="14" s="1"/>
  <c r="Z13" i="14"/>
  <c r="C13" i="14"/>
  <c r="Z12" i="14"/>
  <c r="C12" i="14"/>
  <c r="B12" i="14"/>
  <c r="Z11" i="14"/>
  <c r="C11" i="14"/>
  <c r="B11" i="14" s="1"/>
  <c r="Z10" i="14"/>
  <c r="C10" i="14"/>
  <c r="B10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Z44" i="13"/>
  <c r="C44" i="13"/>
  <c r="B44" i="13" s="1"/>
  <c r="AB43" i="13"/>
  <c r="Z43" i="13"/>
  <c r="C43" i="13"/>
  <c r="B43" i="13" s="1"/>
  <c r="Z42" i="13"/>
  <c r="C42" i="13"/>
  <c r="B42" i="13" s="1"/>
  <c r="Z41" i="13"/>
  <c r="C41" i="13"/>
  <c r="B41" i="13" s="1"/>
  <c r="AB40" i="13"/>
  <c r="Z40" i="13"/>
  <c r="C40" i="13"/>
  <c r="B40" i="13" s="1"/>
  <c r="Z39" i="13"/>
  <c r="C39" i="13"/>
  <c r="B39" i="13" s="1"/>
  <c r="Z38" i="13"/>
  <c r="C38" i="13"/>
  <c r="B38" i="13" s="1"/>
  <c r="Z37" i="13"/>
  <c r="C37" i="13"/>
  <c r="B37" i="13" s="1"/>
  <c r="Z36" i="13"/>
  <c r="C36" i="13"/>
  <c r="B36" i="13" s="1"/>
  <c r="AB35" i="13"/>
  <c r="Z35" i="13"/>
  <c r="C35" i="13"/>
  <c r="B35" i="13" s="1"/>
  <c r="Z34" i="13"/>
  <c r="C34" i="13"/>
  <c r="B34" i="13" s="1"/>
  <c r="Z33" i="13"/>
  <c r="C33" i="13"/>
  <c r="B33" i="13"/>
  <c r="Z32" i="13"/>
  <c r="C32" i="13"/>
  <c r="B32" i="13" s="1"/>
  <c r="AB31" i="13"/>
  <c r="Z31" i="13"/>
  <c r="C31" i="13"/>
  <c r="B31" i="13" s="1"/>
  <c r="Z30" i="13"/>
  <c r="C30" i="13"/>
  <c r="B30" i="13"/>
  <c r="AB29" i="13"/>
  <c r="Z29" i="13"/>
  <c r="C29" i="13"/>
  <c r="B29" i="13" s="1"/>
  <c r="Z28" i="13"/>
  <c r="C28" i="13"/>
  <c r="B28" i="13" s="1"/>
  <c r="AB27" i="13"/>
  <c r="Z27" i="13"/>
  <c r="C27" i="13"/>
  <c r="B27" i="13"/>
  <c r="Z26" i="13"/>
  <c r="C26" i="13"/>
  <c r="B26" i="13" s="1"/>
  <c r="Z25" i="13"/>
  <c r="C25" i="13"/>
  <c r="B25" i="13" s="1"/>
  <c r="Z24" i="13"/>
  <c r="C24" i="13"/>
  <c r="B24" i="13" s="1"/>
  <c r="Z23" i="13"/>
  <c r="C23" i="13"/>
  <c r="B23" i="13"/>
  <c r="AB22" i="13"/>
  <c r="Z22" i="13"/>
  <c r="C22" i="13"/>
  <c r="B22" i="13" s="1"/>
  <c r="Z21" i="13"/>
  <c r="C21" i="13"/>
  <c r="B21" i="13" s="1"/>
  <c r="Z20" i="13"/>
  <c r="C20" i="13"/>
  <c r="B20" i="13" s="1"/>
  <c r="Z19" i="13"/>
  <c r="C19" i="13"/>
  <c r="B19" i="13" s="1"/>
  <c r="Z18" i="13"/>
  <c r="C18" i="13"/>
  <c r="B18" i="13" s="1"/>
  <c r="Z17" i="13"/>
  <c r="C17" i="13"/>
  <c r="B17" i="13"/>
  <c r="Z16" i="13"/>
  <c r="C16" i="13"/>
  <c r="B16" i="13"/>
  <c r="AD43" i="13" s="1"/>
  <c r="Z15" i="13"/>
  <c r="C15" i="13"/>
  <c r="B15" i="13"/>
  <c r="Z14" i="13"/>
  <c r="C14" i="13"/>
  <c r="B14" i="13"/>
  <c r="AB13" i="13"/>
  <c r="Z13" i="13"/>
  <c r="C13" i="13"/>
  <c r="B13" i="13" s="1"/>
  <c r="Z12" i="13"/>
  <c r="C12" i="13"/>
  <c r="B12" i="13"/>
  <c r="AB11" i="13"/>
  <c r="Z11" i="13"/>
  <c r="C11" i="13"/>
  <c r="B11" i="13"/>
  <c r="Z10" i="13"/>
  <c r="C10" i="13"/>
  <c r="B10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AB44" i="12"/>
  <c r="Z44" i="12"/>
  <c r="C44" i="12"/>
  <c r="B44" i="12"/>
  <c r="Z43" i="12"/>
  <c r="C43" i="12"/>
  <c r="B43" i="12"/>
  <c r="AB43" i="12" s="1"/>
  <c r="Z42" i="12"/>
  <c r="C42" i="12"/>
  <c r="B42" i="12"/>
  <c r="Z41" i="12"/>
  <c r="C41" i="12"/>
  <c r="B41" i="12"/>
  <c r="Z40" i="12"/>
  <c r="C40" i="12"/>
  <c r="B40" i="12" s="1"/>
  <c r="Z39" i="12"/>
  <c r="C39" i="12"/>
  <c r="B39" i="12"/>
  <c r="Z38" i="12"/>
  <c r="C38" i="12"/>
  <c r="B38" i="12"/>
  <c r="Z37" i="12"/>
  <c r="C37" i="12"/>
  <c r="B37" i="12" s="1"/>
  <c r="AB37" i="12" s="1"/>
  <c r="Z36" i="12"/>
  <c r="C36" i="12"/>
  <c r="B36" i="12"/>
  <c r="AB35" i="12"/>
  <c r="Z35" i="12"/>
  <c r="C35" i="12"/>
  <c r="B35" i="12"/>
  <c r="Z34" i="12"/>
  <c r="C34" i="12"/>
  <c r="B34" i="12" s="1"/>
  <c r="Z33" i="12"/>
  <c r="C33" i="12"/>
  <c r="B33" i="12"/>
  <c r="AB32" i="12"/>
  <c r="Z32" i="12"/>
  <c r="C32" i="12"/>
  <c r="B32" i="12"/>
  <c r="Z31" i="12"/>
  <c r="C31" i="12"/>
  <c r="B31" i="12" s="1"/>
  <c r="Z30" i="12"/>
  <c r="C30" i="12"/>
  <c r="B30" i="12"/>
  <c r="AB30" i="12" s="1"/>
  <c r="Z29" i="12"/>
  <c r="C29" i="12"/>
  <c r="B29" i="12"/>
  <c r="AB29" i="12" s="1"/>
  <c r="Z28" i="12"/>
  <c r="C28" i="12"/>
  <c r="B28" i="12" s="1"/>
  <c r="Z27" i="12"/>
  <c r="C27" i="12"/>
  <c r="B27" i="12"/>
  <c r="AB27" i="12" s="1"/>
  <c r="Z26" i="12"/>
  <c r="C26" i="12"/>
  <c r="B26" i="12"/>
  <c r="Z25" i="12"/>
  <c r="C25" i="12"/>
  <c r="B25" i="12"/>
  <c r="AB25" i="12" s="1"/>
  <c r="Z24" i="12"/>
  <c r="C24" i="12"/>
  <c r="B24" i="12"/>
  <c r="Z23" i="12"/>
  <c r="C23" i="12"/>
  <c r="B23" i="12"/>
  <c r="Z22" i="12"/>
  <c r="C22" i="12"/>
  <c r="B22" i="12" s="1"/>
  <c r="Z21" i="12"/>
  <c r="C21" i="12"/>
  <c r="B21" i="12"/>
  <c r="Z20" i="12"/>
  <c r="C20" i="12"/>
  <c r="B20" i="12"/>
  <c r="Z19" i="12"/>
  <c r="C19" i="12"/>
  <c r="B19" i="12" s="1"/>
  <c r="AB19" i="12" s="1"/>
  <c r="Z18" i="12"/>
  <c r="C18" i="12"/>
  <c r="B18" i="12"/>
  <c r="AB17" i="12"/>
  <c r="Z17" i="12"/>
  <c r="C17" i="12"/>
  <c r="B17" i="12"/>
  <c r="Z16" i="12"/>
  <c r="C16" i="12"/>
  <c r="B16" i="12"/>
  <c r="Z15" i="12"/>
  <c r="C15" i="12"/>
  <c r="B15" i="12"/>
  <c r="AB14" i="12"/>
  <c r="Z14" i="12"/>
  <c r="C14" i="12"/>
  <c r="B14" i="12"/>
  <c r="Z13" i="12"/>
  <c r="C13" i="12"/>
  <c r="B13" i="12"/>
  <c r="Z12" i="12"/>
  <c r="C12" i="12"/>
  <c r="B12" i="12"/>
  <c r="AB12" i="12" s="1"/>
  <c r="Z11" i="12"/>
  <c r="C11" i="12"/>
  <c r="B11" i="12"/>
  <c r="AB11" i="12" s="1"/>
  <c r="Z10" i="12"/>
  <c r="C10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Z44" i="11"/>
  <c r="C44" i="11"/>
  <c r="B44" i="11" s="1"/>
  <c r="AD43" i="11"/>
  <c r="AB43" i="11"/>
  <c r="Z43" i="11"/>
  <c r="C43" i="11"/>
  <c r="B43" i="11" s="1"/>
  <c r="Z42" i="11"/>
  <c r="C42" i="11"/>
  <c r="B42" i="11"/>
  <c r="Z41" i="11"/>
  <c r="C41" i="11"/>
  <c r="B41" i="11" s="1"/>
  <c r="Z40" i="11"/>
  <c r="C40" i="11"/>
  <c r="B40" i="11" s="1"/>
  <c r="Z39" i="11"/>
  <c r="C39" i="11"/>
  <c r="B39" i="11"/>
  <c r="AB38" i="11"/>
  <c r="Z38" i="11"/>
  <c r="C38" i="11"/>
  <c r="B38" i="11" s="1"/>
  <c r="Z37" i="11"/>
  <c r="C37" i="11"/>
  <c r="B37" i="11" s="1"/>
  <c r="Z36" i="11"/>
  <c r="C36" i="11"/>
  <c r="B36" i="11"/>
  <c r="AB35" i="11"/>
  <c r="Z35" i="11"/>
  <c r="C35" i="11"/>
  <c r="B35" i="11" s="1"/>
  <c r="Z34" i="11"/>
  <c r="C34" i="11"/>
  <c r="B34" i="11"/>
  <c r="AB33" i="11"/>
  <c r="Z33" i="11"/>
  <c r="C33" i="11"/>
  <c r="B33" i="11" s="1"/>
  <c r="Z32" i="11"/>
  <c r="C32" i="11"/>
  <c r="B32" i="11"/>
  <c r="Z31" i="11"/>
  <c r="C31" i="11"/>
  <c r="B31" i="11"/>
  <c r="AB30" i="11"/>
  <c r="Z30" i="11"/>
  <c r="C30" i="11"/>
  <c r="B30" i="11"/>
  <c r="Z29" i="11"/>
  <c r="C29" i="11"/>
  <c r="B29" i="11"/>
  <c r="AB28" i="11"/>
  <c r="Z28" i="11"/>
  <c r="C28" i="11"/>
  <c r="B28" i="11" s="1"/>
  <c r="Z27" i="11"/>
  <c r="C27" i="11"/>
  <c r="B27" i="11"/>
  <c r="Z26" i="11"/>
  <c r="C26" i="11"/>
  <c r="B26" i="11" s="1"/>
  <c r="AB25" i="11"/>
  <c r="Z25" i="11"/>
  <c r="C25" i="11"/>
  <c r="B25" i="11"/>
  <c r="Z24" i="11"/>
  <c r="C24" i="11"/>
  <c r="B24" i="11"/>
  <c r="AB23" i="11"/>
  <c r="Z23" i="11"/>
  <c r="C23" i="11"/>
  <c r="B23" i="11" s="1"/>
  <c r="Z22" i="11"/>
  <c r="C22" i="11"/>
  <c r="B22" i="11"/>
  <c r="Z21" i="11"/>
  <c r="C21" i="11"/>
  <c r="B21" i="11"/>
  <c r="Z20" i="11"/>
  <c r="C20" i="11"/>
  <c r="B20" i="11" s="1"/>
  <c r="Z19" i="11"/>
  <c r="C19" i="11"/>
  <c r="B19" i="11"/>
  <c r="Z18" i="11"/>
  <c r="C18" i="11"/>
  <c r="B18" i="11" s="1"/>
  <c r="AB17" i="11"/>
  <c r="Z17" i="11"/>
  <c r="C17" i="11"/>
  <c r="B17" i="11" s="1"/>
  <c r="Z16" i="11"/>
  <c r="C16" i="11"/>
  <c r="B16" i="11" s="1"/>
  <c r="Z15" i="11"/>
  <c r="C15" i="11"/>
  <c r="B15" i="11"/>
  <c r="AB14" i="11"/>
  <c r="Z14" i="11"/>
  <c r="C14" i="11"/>
  <c r="B14" i="11"/>
  <c r="Z13" i="11"/>
  <c r="C13" i="11"/>
  <c r="B13" i="11" s="1"/>
  <c r="AB12" i="11"/>
  <c r="Z12" i="11"/>
  <c r="C12" i="11"/>
  <c r="B12" i="11" s="1"/>
  <c r="AB11" i="11"/>
  <c r="Z11" i="11"/>
  <c r="C11" i="11"/>
  <c r="B11" i="11" s="1"/>
  <c r="Z10" i="11"/>
  <c r="C10" i="11"/>
  <c r="B10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Z44" i="10"/>
  <c r="C44" i="10"/>
  <c r="B44" i="10"/>
  <c r="Z43" i="10"/>
  <c r="C43" i="10"/>
  <c r="B43" i="10" s="1"/>
  <c r="Z42" i="10"/>
  <c r="C42" i="10"/>
  <c r="B42" i="10"/>
  <c r="AB42" i="10" s="1"/>
  <c r="Z41" i="10"/>
  <c r="C41" i="10"/>
  <c r="B41" i="10"/>
  <c r="Z40" i="10"/>
  <c r="C40" i="10"/>
  <c r="B40" i="10" s="1"/>
  <c r="AB39" i="10"/>
  <c r="Z39" i="10"/>
  <c r="C39" i="10"/>
  <c r="B39" i="10"/>
  <c r="AB38" i="10"/>
  <c r="Z38" i="10"/>
  <c r="C38" i="10"/>
  <c r="B38" i="10" s="1"/>
  <c r="Z37" i="10"/>
  <c r="C37" i="10"/>
  <c r="B37" i="10"/>
  <c r="AB37" i="10" s="1"/>
  <c r="Z36" i="10"/>
  <c r="C36" i="10"/>
  <c r="B36" i="10"/>
  <c r="Z35" i="10"/>
  <c r="C35" i="10"/>
  <c r="B35" i="10"/>
  <c r="Z34" i="10"/>
  <c r="C34" i="10"/>
  <c r="B34" i="10" s="1"/>
  <c r="Z33" i="10"/>
  <c r="C33" i="10"/>
  <c r="B33" i="10"/>
  <c r="Z32" i="10"/>
  <c r="C32" i="10"/>
  <c r="B32" i="10" s="1"/>
  <c r="Z31" i="10"/>
  <c r="C31" i="10"/>
  <c r="B31" i="10" s="1"/>
  <c r="Z30" i="10"/>
  <c r="C30" i="10"/>
  <c r="B30" i="10"/>
  <c r="AB29" i="10"/>
  <c r="Z29" i="10"/>
  <c r="C29" i="10"/>
  <c r="B29" i="10"/>
  <c r="Z28" i="10"/>
  <c r="C28" i="10"/>
  <c r="B28" i="10" s="1"/>
  <c r="Z27" i="10"/>
  <c r="C27" i="10"/>
  <c r="B27" i="10"/>
  <c r="AB26" i="10"/>
  <c r="Z26" i="10"/>
  <c r="C26" i="10"/>
  <c r="B26" i="10" s="1"/>
  <c r="Z25" i="10"/>
  <c r="C25" i="10"/>
  <c r="B25" i="10"/>
  <c r="Z24" i="10"/>
  <c r="C24" i="10"/>
  <c r="B24" i="10"/>
  <c r="AB23" i="10"/>
  <c r="Z23" i="10"/>
  <c r="C23" i="10"/>
  <c r="B23" i="10" s="1"/>
  <c r="Z22" i="10"/>
  <c r="C22" i="10"/>
  <c r="B22" i="10" s="1"/>
  <c r="AB21" i="10"/>
  <c r="Z21" i="10"/>
  <c r="C21" i="10"/>
  <c r="B21" i="10"/>
  <c r="Z20" i="10"/>
  <c r="C20" i="10"/>
  <c r="B20" i="10" s="1"/>
  <c r="Z19" i="10"/>
  <c r="C19" i="10"/>
  <c r="B19" i="10"/>
  <c r="AB19" i="10" s="1"/>
  <c r="Z18" i="10"/>
  <c r="C18" i="10"/>
  <c r="B18" i="10"/>
  <c r="AB17" i="10"/>
  <c r="Z17" i="10"/>
  <c r="C17" i="10"/>
  <c r="B17" i="10" s="1"/>
  <c r="Z16" i="10"/>
  <c r="C16" i="10"/>
  <c r="B16" i="10"/>
  <c r="Z15" i="10"/>
  <c r="C15" i="10"/>
  <c r="B15" i="10"/>
  <c r="Z14" i="10"/>
  <c r="C14" i="10"/>
  <c r="B14" i="10" s="1"/>
  <c r="Z13" i="10"/>
  <c r="C13" i="10"/>
  <c r="B13" i="10" s="1"/>
  <c r="AB13" i="10" s="1"/>
  <c r="Z12" i="10"/>
  <c r="C12" i="10"/>
  <c r="B12" i="10"/>
  <c r="AB11" i="10"/>
  <c r="Z11" i="10"/>
  <c r="C11" i="10"/>
  <c r="B11" i="10" s="1"/>
  <c r="Z10" i="10"/>
  <c r="C10" i="10"/>
  <c r="B10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Z44" i="9"/>
  <c r="C44" i="9"/>
  <c r="B44" i="9"/>
  <c r="Z43" i="9"/>
  <c r="C43" i="9"/>
  <c r="B43" i="9" s="1"/>
  <c r="Z42" i="9"/>
  <c r="C42" i="9"/>
  <c r="B42" i="9"/>
  <c r="AB41" i="9"/>
  <c r="Z41" i="9"/>
  <c r="C41" i="9"/>
  <c r="B41" i="9"/>
  <c r="Z40" i="9"/>
  <c r="C40" i="9"/>
  <c r="B40" i="9" s="1"/>
  <c r="Z39" i="9"/>
  <c r="C39" i="9"/>
  <c r="B39" i="9"/>
  <c r="Z38" i="9"/>
  <c r="C38" i="9"/>
  <c r="B38" i="9"/>
  <c r="AA30" i="9" s="1"/>
  <c r="Z37" i="9"/>
  <c r="C37" i="9"/>
  <c r="B37" i="9"/>
  <c r="Z36" i="9"/>
  <c r="C36" i="9"/>
  <c r="B36" i="9"/>
  <c r="AB35" i="9"/>
  <c r="Z35" i="9"/>
  <c r="C35" i="9"/>
  <c r="B35" i="9"/>
  <c r="Z34" i="9"/>
  <c r="C34" i="9"/>
  <c r="B34" i="9" s="1"/>
  <c r="Z33" i="9"/>
  <c r="C33" i="9"/>
  <c r="B33" i="9"/>
  <c r="AB32" i="9"/>
  <c r="Z32" i="9"/>
  <c r="C32" i="9"/>
  <c r="B32" i="9"/>
  <c r="Z31" i="9"/>
  <c r="C31" i="9"/>
  <c r="B31" i="9" s="1"/>
  <c r="Z30" i="9"/>
  <c r="C30" i="9"/>
  <c r="B30" i="9"/>
  <c r="Z29" i="9"/>
  <c r="C29" i="9"/>
  <c r="B29" i="9"/>
  <c r="Z28" i="9"/>
  <c r="C28" i="9"/>
  <c r="B28" i="9" s="1"/>
  <c r="Z27" i="9"/>
  <c r="C27" i="9"/>
  <c r="B27" i="9"/>
  <c r="AB26" i="9"/>
  <c r="Z26" i="9"/>
  <c r="C26" i="9"/>
  <c r="B26" i="9"/>
  <c r="Z25" i="9"/>
  <c r="C25" i="9"/>
  <c r="B25" i="9"/>
  <c r="Z24" i="9"/>
  <c r="C24" i="9"/>
  <c r="B24" i="9"/>
  <c r="Z23" i="9"/>
  <c r="C23" i="9"/>
  <c r="B23" i="9"/>
  <c r="Z22" i="9"/>
  <c r="C22" i="9"/>
  <c r="B22" i="9" s="1"/>
  <c r="Z21" i="9"/>
  <c r="C21" i="9"/>
  <c r="B21" i="9"/>
  <c r="AB20" i="9"/>
  <c r="Z20" i="9"/>
  <c r="C20" i="9"/>
  <c r="B20" i="9"/>
  <c r="Z19" i="9"/>
  <c r="C19" i="9"/>
  <c r="B19" i="9"/>
  <c r="Z18" i="9"/>
  <c r="C18" i="9"/>
  <c r="B18" i="9"/>
  <c r="Z17" i="9"/>
  <c r="C17" i="9"/>
  <c r="B17" i="9"/>
  <c r="Z16" i="9"/>
  <c r="C16" i="9"/>
  <c r="B16" i="9"/>
  <c r="Z15" i="9"/>
  <c r="C15" i="9"/>
  <c r="B15" i="9"/>
  <c r="Z14" i="9"/>
  <c r="C14" i="9"/>
  <c r="B14" i="9"/>
  <c r="Z13" i="9"/>
  <c r="C13" i="9"/>
  <c r="B13" i="9"/>
  <c r="AB13" i="9" s="1"/>
  <c r="Z12" i="9"/>
  <c r="C12" i="9"/>
  <c r="B12" i="9"/>
  <c r="Z11" i="9"/>
  <c r="C11" i="9"/>
  <c r="B11" i="9"/>
  <c r="Z10" i="9"/>
  <c r="C10" i="9"/>
  <c r="B10" i="9"/>
  <c r="U7" i="9"/>
  <c r="T7" i="9"/>
  <c r="S7" i="9"/>
  <c r="R7" i="9"/>
  <c r="Q7" i="9"/>
  <c r="P7" i="9"/>
  <c r="O7" i="9"/>
  <c r="N7" i="9"/>
  <c r="M7" i="9"/>
  <c r="L7" i="9"/>
  <c r="K7" i="9"/>
  <c r="J7" i="9"/>
  <c r="I7" i="9"/>
  <c r="Z44" i="8"/>
  <c r="C44" i="8"/>
  <c r="B44" i="8" s="1"/>
  <c r="Z43" i="8"/>
  <c r="C43" i="8"/>
  <c r="B43" i="8"/>
  <c r="AB42" i="8"/>
  <c r="Z42" i="8"/>
  <c r="C42" i="8"/>
  <c r="B42" i="8" s="1"/>
  <c r="AB41" i="8"/>
  <c r="Z41" i="8"/>
  <c r="C41" i="8"/>
  <c r="B41" i="8"/>
  <c r="Z40" i="8"/>
  <c r="C40" i="8"/>
  <c r="B40" i="8"/>
  <c r="AB39" i="8"/>
  <c r="Z39" i="8"/>
  <c r="C39" i="8"/>
  <c r="B39" i="8" s="1"/>
  <c r="Z38" i="8"/>
  <c r="C38" i="8"/>
  <c r="B38" i="8"/>
  <c r="AB37" i="8"/>
  <c r="Z37" i="8"/>
  <c r="C37" i="8"/>
  <c r="B37" i="8" s="1"/>
  <c r="Z36" i="8"/>
  <c r="C36" i="8"/>
  <c r="B36" i="8"/>
  <c r="Z35" i="8"/>
  <c r="C35" i="8"/>
  <c r="B35" i="8"/>
  <c r="Z34" i="8"/>
  <c r="C34" i="8"/>
  <c r="B34" i="8" s="1"/>
  <c r="AB34" i="8" s="1"/>
  <c r="Z33" i="8"/>
  <c r="C33" i="8"/>
  <c r="B33" i="8"/>
  <c r="AB32" i="8"/>
  <c r="Z32" i="8"/>
  <c r="C32" i="8"/>
  <c r="B32" i="8" s="1"/>
  <c r="Z31" i="8"/>
  <c r="C31" i="8"/>
  <c r="B31" i="8" s="1"/>
  <c r="Z30" i="8"/>
  <c r="C30" i="8"/>
  <c r="B30" i="8"/>
  <c r="Z29" i="8"/>
  <c r="C29" i="8"/>
  <c r="B29" i="8" s="1"/>
  <c r="AB28" i="8"/>
  <c r="Z28" i="8"/>
  <c r="C28" i="8"/>
  <c r="B28" i="8"/>
  <c r="Z27" i="8"/>
  <c r="C27" i="8"/>
  <c r="B27" i="8" s="1"/>
  <c r="AB26" i="8"/>
  <c r="Z26" i="8"/>
  <c r="C26" i="8"/>
  <c r="B26" i="8"/>
  <c r="Z25" i="8"/>
  <c r="C25" i="8"/>
  <c r="B25" i="8"/>
  <c r="Z24" i="8"/>
  <c r="C24" i="8"/>
  <c r="B24" i="8"/>
  <c r="Z23" i="8"/>
  <c r="C23" i="8"/>
  <c r="B23" i="8" s="1"/>
  <c r="Z22" i="8"/>
  <c r="C22" i="8"/>
  <c r="B22" i="8" s="1"/>
  <c r="Z21" i="8"/>
  <c r="C21" i="8"/>
  <c r="B21" i="8"/>
  <c r="AB20" i="8"/>
  <c r="Z20" i="8"/>
  <c r="D20" i="8"/>
  <c r="C20" i="8"/>
  <c r="B20" i="8"/>
  <c r="Z19" i="8"/>
  <c r="C19" i="8"/>
  <c r="B19" i="8"/>
  <c r="AB18" i="8"/>
  <c r="Z18" i="8"/>
  <c r="C18" i="8"/>
  <c r="B18" i="8" s="1"/>
  <c r="Z17" i="8"/>
  <c r="C17" i="8"/>
  <c r="B17" i="8" s="1"/>
  <c r="Z16" i="8"/>
  <c r="C16" i="8"/>
  <c r="B16" i="8"/>
  <c r="Z15" i="8"/>
  <c r="C15" i="8"/>
  <c r="B15" i="8" s="1"/>
  <c r="AB14" i="8"/>
  <c r="Z14" i="8"/>
  <c r="C14" i="8"/>
  <c r="B14" i="8"/>
  <c r="Z13" i="8"/>
  <c r="C13" i="8"/>
  <c r="B13" i="8"/>
  <c r="AB12" i="8"/>
  <c r="Z12" i="8"/>
  <c r="C12" i="8"/>
  <c r="B12" i="8"/>
  <c r="Z11" i="8"/>
  <c r="C11" i="8"/>
  <c r="B11" i="8"/>
  <c r="AB10" i="8"/>
  <c r="Z10" i="8"/>
  <c r="C10" i="8"/>
  <c r="B10" i="8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C44" i="7"/>
  <c r="B44" i="7"/>
  <c r="AB43" i="7"/>
  <c r="Z43" i="7"/>
  <c r="C43" i="7"/>
  <c r="B43" i="7"/>
  <c r="Z42" i="7"/>
  <c r="C42" i="7"/>
  <c r="B42" i="7"/>
  <c r="Z41" i="7"/>
  <c r="C41" i="7"/>
  <c r="B41" i="7"/>
  <c r="AB40" i="7"/>
  <c r="Z40" i="7"/>
  <c r="C40" i="7"/>
  <c r="B40" i="7"/>
  <c r="Z39" i="7"/>
  <c r="C39" i="7"/>
  <c r="B39" i="7"/>
  <c r="AD38" i="7"/>
  <c r="Z38" i="7"/>
  <c r="C38" i="7"/>
  <c r="B38" i="7" s="1"/>
  <c r="Z37" i="7"/>
  <c r="C37" i="7"/>
  <c r="B37" i="7"/>
  <c r="Z36" i="7"/>
  <c r="C36" i="7"/>
  <c r="B36" i="7"/>
  <c r="Z35" i="7"/>
  <c r="C35" i="7"/>
  <c r="B35" i="7" s="1"/>
  <c r="AB34" i="7"/>
  <c r="Z34" i="7"/>
  <c r="C34" i="7"/>
  <c r="B34" i="7"/>
  <c r="Z33" i="7"/>
  <c r="C33" i="7"/>
  <c r="B33" i="7" s="1"/>
  <c r="Z32" i="7"/>
  <c r="C32" i="7"/>
  <c r="B32" i="7"/>
  <c r="AB32" i="7" s="1"/>
  <c r="AB31" i="7"/>
  <c r="Z31" i="7"/>
  <c r="C31" i="7"/>
  <c r="B31" i="7"/>
  <c r="Z30" i="7"/>
  <c r="C30" i="7"/>
  <c r="B30" i="7"/>
  <c r="Z29" i="7"/>
  <c r="C29" i="7"/>
  <c r="B29" i="7" s="1"/>
  <c r="AB29" i="7" s="1"/>
  <c r="Z28" i="7"/>
  <c r="C28" i="7"/>
  <c r="B28" i="7"/>
  <c r="AB27" i="7"/>
  <c r="Z27" i="7"/>
  <c r="C27" i="7"/>
  <c r="B27" i="7"/>
  <c r="Z26" i="7"/>
  <c r="C26" i="7"/>
  <c r="B26" i="7" s="1"/>
  <c r="Z25" i="7"/>
  <c r="C25" i="7"/>
  <c r="B25" i="7"/>
  <c r="Z24" i="7"/>
  <c r="C24" i="7"/>
  <c r="B24" i="7" s="1"/>
  <c r="Z23" i="7"/>
  <c r="C23" i="7"/>
  <c r="B23" i="7"/>
  <c r="AB23" i="7" s="1"/>
  <c r="Z22" i="7"/>
  <c r="C22" i="7"/>
  <c r="B22" i="7"/>
  <c r="AB21" i="7"/>
  <c r="Z21" i="7"/>
  <c r="C21" i="7"/>
  <c r="B21" i="7" s="1"/>
  <c r="Z20" i="7"/>
  <c r="C20" i="7"/>
  <c r="B20" i="7"/>
  <c r="Z19" i="7"/>
  <c r="C19" i="7"/>
  <c r="B19" i="7"/>
  <c r="AB18" i="7"/>
  <c r="Z18" i="7"/>
  <c r="C18" i="7"/>
  <c r="B18" i="7"/>
  <c r="Z17" i="7"/>
  <c r="C17" i="7"/>
  <c r="B17" i="7"/>
  <c r="Z16" i="7"/>
  <c r="C16" i="7"/>
  <c r="B16" i="7"/>
  <c r="AB15" i="7"/>
  <c r="Z15" i="7"/>
  <c r="C15" i="7"/>
  <c r="B15" i="7" s="1"/>
  <c r="Z14" i="7"/>
  <c r="C14" i="7"/>
  <c r="B14" i="7"/>
  <c r="AB13" i="7"/>
  <c r="Z13" i="7"/>
  <c r="C13" i="7"/>
  <c r="B13" i="7"/>
  <c r="Z12" i="7"/>
  <c r="C12" i="7"/>
  <c r="B12" i="7"/>
  <c r="Z11" i="7"/>
  <c r="C11" i="7"/>
  <c r="B11" i="7"/>
  <c r="Z10" i="7"/>
  <c r="C10" i="7"/>
  <c r="B10" i="7" s="1"/>
  <c r="U7" i="7"/>
  <c r="T7" i="7"/>
  <c r="S7" i="7"/>
  <c r="R7" i="7"/>
  <c r="Q7" i="7"/>
  <c r="P7" i="7"/>
  <c r="O7" i="7"/>
  <c r="N7" i="7"/>
  <c r="M7" i="7"/>
  <c r="L7" i="7"/>
  <c r="K7" i="7"/>
  <c r="J7" i="7"/>
  <c r="I7" i="7"/>
  <c r="C44" i="6"/>
  <c r="B44" i="6" s="1"/>
  <c r="C43" i="6"/>
  <c r="B43" i="6" s="1"/>
  <c r="AB43" i="6" s="1"/>
  <c r="C42" i="6"/>
  <c r="B42" i="6" s="1"/>
  <c r="C41" i="6"/>
  <c r="B41" i="6" s="1"/>
  <c r="C40" i="6"/>
  <c r="B40" i="6" s="1"/>
  <c r="AB40" i="6" s="1"/>
  <c r="C39" i="6"/>
  <c r="B39" i="6" s="1"/>
  <c r="C38" i="6"/>
  <c r="B38" i="6"/>
  <c r="C37" i="6"/>
  <c r="B37" i="6" s="1"/>
  <c r="AB37" i="6" s="1"/>
  <c r="C36" i="6"/>
  <c r="B36" i="6" s="1"/>
  <c r="C35" i="6"/>
  <c r="B35" i="6" s="1"/>
  <c r="C34" i="6"/>
  <c r="B34" i="6" s="1"/>
  <c r="AB34" i="6" s="1"/>
  <c r="C33" i="6"/>
  <c r="B33" i="6" s="1"/>
  <c r="C32" i="6"/>
  <c r="B32" i="6" s="1"/>
  <c r="C31" i="6"/>
  <c r="B31" i="6" s="1"/>
  <c r="AB31" i="6" s="1"/>
  <c r="C30" i="6"/>
  <c r="B30" i="6" s="1"/>
  <c r="AB30" i="6" s="1"/>
  <c r="C29" i="6"/>
  <c r="B29" i="6" s="1"/>
  <c r="C28" i="6"/>
  <c r="B28" i="6"/>
  <c r="AB28" i="6" s="1"/>
  <c r="C27" i="6"/>
  <c r="B27" i="6"/>
  <c r="C26" i="6"/>
  <c r="B26" i="6" s="1"/>
  <c r="C25" i="6"/>
  <c r="B25" i="6" s="1"/>
  <c r="AB25" i="6" s="1"/>
  <c r="C24" i="6"/>
  <c r="B24" i="6" s="1"/>
  <c r="AB24" i="6" s="1"/>
  <c r="C23" i="6"/>
  <c r="C22" i="6"/>
  <c r="B22" i="6" s="1"/>
  <c r="AB22" i="6" s="1"/>
  <c r="C21" i="6"/>
  <c r="B21" i="6" s="1"/>
  <c r="C20" i="6"/>
  <c r="B20" i="6" s="1"/>
  <c r="C19" i="6"/>
  <c r="B19" i="6" s="1"/>
  <c r="AB19" i="6" s="1"/>
  <c r="C18" i="6"/>
  <c r="B18" i="6" s="1"/>
  <c r="C17" i="6"/>
  <c r="B17" i="6"/>
  <c r="C16" i="6"/>
  <c r="B16" i="6" s="1"/>
  <c r="AB16" i="6" s="1"/>
  <c r="C15" i="6"/>
  <c r="B15" i="6"/>
  <c r="AB15" i="6" s="1"/>
  <c r="C14" i="6"/>
  <c r="B14" i="6" s="1"/>
  <c r="C13" i="6"/>
  <c r="B13" i="6"/>
  <c r="AB13" i="6" s="1"/>
  <c r="C12" i="6"/>
  <c r="B12" i="6"/>
  <c r="C11" i="6"/>
  <c r="B11" i="6"/>
  <c r="C10" i="6"/>
  <c r="B10" i="6"/>
  <c r="AB10" i="6" s="1"/>
  <c r="AB44" i="5"/>
  <c r="C44" i="5"/>
  <c r="B44" i="5"/>
  <c r="AB43" i="5"/>
  <c r="C43" i="5"/>
  <c r="B43" i="5" s="1"/>
  <c r="C42" i="5"/>
  <c r="B42" i="5"/>
  <c r="C41" i="5"/>
  <c r="B41" i="5" s="1"/>
  <c r="C40" i="5"/>
  <c r="B40" i="5"/>
  <c r="AB39" i="5"/>
  <c r="C39" i="5"/>
  <c r="B39" i="5"/>
  <c r="C38" i="5"/>
  <c r="B38" i="5"/>
  <c r="AB37" i="5"/>
  <c r="C37" i="5"/>
  <c r="B37" i="5" s="1"/>
  <c r="C36" i="5"/>
  <c r="B36" i="5"/>
  <c r="C35" i="5"/>
  <c r="B35" i="5"/>
  <c r="C34" i="5"/>
  <c r="B34" i="5" s="1"/>
  <c r="C33" i="5"/>
  <c r="B33" i="5"/>
  <c r="AB33" i="5" s="1"/>
  <c r="C32" i="5"/>
  <c r="B32" i="5"/>
  <c r="C31" i="5"/>
  <c r="B31" i="5" s="1"/>
  <c r="C30" i="5"/>
  <c r="B30" i="5"/>
  <c r="AB29" i="5"/>
  <c r="C29" i="5"/>
  <c r="B29" i="5" s="1"/>
  <c r="C28" i="5"/>
  <c r="B28" i="5"/>
  <c r="AB27" i="5"/>
  <c r="C27" i="5"/>
  <c r="B27" i="5"/>
  <c r="C26" i="5"/>
  <c r="B26" i="5"/>
  <c r="C25" i="5"/>
  <c r="B25" i="5" s="1"/>
  <c r="C24" i="5"/>
  <c r="B24" i="5" s="1"/>
  <c r="C23" i="5"/>
  <c r="B23" i="5"/>
  <c r="C22" i="5"/>
  <c r="B22" i="5" s="1"/>
  <c r="C21" i="5"/>
  <c r="B21" i="5" s="1"/>
  <c r="C20" i="5"/>
  <c r="B20" i="5"/>
  <c r="C19" i="5"/>
  <c r="B19" i="5" s="1"/>
  <c r="C18" i="5"/>
  <c r="B18" i="5"/>
  <c r="C17" i="5"/>
  <c r="B17" i="5" s="1"/>
  <c r="C16" i="5"/>
  <c r="B16" i="5"/>
  <c r="AB15" i="5"/>
  <c r="C15" i="5"/>
  <c r="B15" i="5"/>
  <c r="C14" i="5"/>
  <c r="B14" i="5"/>
  <c r="C13" i="5"/>
  <c r="B13" i="5" s="1"/>
  <c r="C12" i="5"/>
  <c r="C11" i="5"/>
  <c r="B11" i="5"/>
  <c r="C10" i="5"/>
  <c r="B10" i="5" s="1"/>
  <c r="U7" i="5"/>
  <c r="T7" i="5"/>
  <c r="S7" i="5"/>
  <c r="R7" i="5"/>
  <c r="Q7" i="5"/>
  <c r="P7" i="5"/>
  <c r="O7" i="5"/>
  <c r="N7" i="5"/>
  <c r="M7" i="5"/>
  <c r="L7" i="5"/>
  <c r="K7" i="5"/>
  <c r="J7" i="5"/>
  <c r="I7" i="5"/>
  <c r="Z44" i="4"/>
  <c r="C44" i="4"/>
  <c r="B44" i="4"/>
  <c r="AB43" i="4"/>
  <c r="Z43" i="4"/>
  <c r="C43" i="4"/>
  <c r="B43" i="4"/>
  <c r="Z42" i="4"/>
  <c r="C42" i="4"/>
  <c r="B42" i="4"/>
  <c r="Z41" i="4"/>
  <c r="C41" i="4"/>
  <c r="B41" i="4"/>
  <c r="AB40" i="4"/>
  <c r="Z40" i="4"/>
  <c r="C40" i="4"/>
  <c r="B40" i="4" s="1"/>
  <c r="Z39" i="4"/>
  <c r="C39" i="4"/>
  <c r="B39" i="4" s="1"/>
  <c r="AB38" i="4"/>
  <c r="Z38" i="4"/>
  <c r="C38" i="4"/>
  <c r="B38" i="4" s="1"/>
  <c r="Z37" i="4"/>
  <c r="C37" i="4"/>
  <c r="B37" i="4" s="1"/>
  <c r="AB36" i="4"/>
  <c r="Z36" i="4"/>
  <c r="C36" i="4"/>
  <c r="B36" i="4"/>
  <c r="Z35" i="4"/>
  <c r="C35" i="4"/>
  <c r="B35" i="4" s="1"/>
  <c r="AB34" i="4"/>
  <c r="Z34" i="4"/>
  <c r="C34" i="4"/>
  <c r="B34" i="4"/>
  <c r="Z33" i="4"/>
  <c r="C33" i="4"/>
  <c r="B33" i="4" s="1"/>
  <c r="AB32" i="4"/>
  <c r="Z32" i="4"/>
  <c r="C32" i="4"/>
  <c r="B32" i="4"/>
  <c r="Z31" i="4"/>
  <c r="C31" i="4"/>
  <c r="B31" i="4"/>
  <c r="Z30" i="4"/>
  <c r="C30" i="4"/>
  <c r="B30" i="4"/>
  <c r="AB29" i="4"/>
  <c r="Z29" i="4"/>
  <c r="C29" i="4"/>
  <c r="B29" i="4"/>
  <c r="Z28" i="4"/>
  <c r="C28" i="4"/>
  <c r="B28" i="4" s="1"/>
  <c r="Z27" i="4"/>
  <c r="C27" i="4"/>
  <c r="B27" i="4" s="1"/>
  <c r="AB26" i="4"/>
  <c r="Z26" i="4"/>
  <c r="C26" i="4"/>
  <c r="B26" i="4" s="1"/>
  <c r="Z25" i="4"/>
  <c r="C25" i="4"/>
  <c r="B25" i="4"/>
  <c r="AB24" i="4"/>
  <c r="Z24" i="4"/>
  <c r="C24" i="4"/>
  <c r="B24" i="4" s="1"/>
  <c r="Z23" i="4"/>
  <c r="C23" i="4"/>
  <c r="B23" i="4"/>
  <c r="Z22" i="4"/>
  <c r="C22" i="4"/>
  <c r="B22" i="4" s="1"/>
  <c r="Z21" i="4"/>
  <c r="C21" i="4"/>
  <c r="B21" i="4"/>
  <c r="Z20" i="4"/>
  <c r="C20" i="4"/>
  <c r="B20" i="4" s="1"/>
  <c r="Z19" i="4"/>
  <c r="C19" i="4"/>
  <c r="B19" i="4"/>
  <c r="AB18" i="4"/>
  <c r="Z18" i="4"/>
  <c r="C18" i="4"/>
  <c r="B18" i="4"/>
  <c r="Z17" i="4"/>
  <c r="C17" i="4"/>
  <c r="B17" i="4" s="1"/>
  <c r="AB16" i="4"/>
  <c r="Z16" i="4"/>
  <c r="C16" i="4"/>
  <c r="B16" i="4" s="1"/>
  <c r="Z15" i="4"/>
  <c r="C15" i="4"/>
  <c r="B15" i="4" s="1"/>
  <c r="Z14" i="4"/>
  <c r="C14" i="4"/>
  <c r="B14" i="4" s="1"/>
  <c r="Z13" i="4"/>
  <c r="C13" i="4"/>
  <c r="B13" i="4" s="1"/>
  <c r="Z12" i="4"/>
  <c r="C12" i="4"/>
  <c r="B12" i="4" s="1"/>
  <c r="Z11" i="4"/>
  <c r="C11" i="4"/>
  <c r="AB10" i="4"/>
  <c r="Z10" i="4"/>
  <c r="C10" i="4"/>
  <c r="B10" i="4"/>
  <c r="U7" i="4"/>
  <c r="T7" i="4"/>
  <c r="S7" i="4"/>
  <c r="R7" i="4"/>
  <c r="Q7" i="4"/>
  <c r="P7" i="4"/>
  <c r="O7" i="4"/>
  <c r="N7" i="4"/>
  <c r="M7" i="4"/>
  <c r="L7" i="4"/>
  <c r="K7" i="4"/>
  <c r="J7" i="4"/>
  <c r="I7" i="4"/>
  <c r="B7" i="3" a="1"/>
  <c r="I37" i="3" a="1"/>
  <c r="S32" i="3" a="1"/>
  <c r="I28" i="3" a="1"/>
  <c r="E38" i="3" a="1"/>
  <c r="O33" i="3" a="1"/>
  <c r="E29" i="3" a="1"/>
  <c r="O24" i="3" a="1"/>
  <c r="O35" i="3" a="1"/>
  <c r="I29" i="3" a="1"/>
  <c r="S20" i="3" a="1"/>
  <c r="F34" i="3" a="1"/>
  <c r="L27" i="3" a="1"/>
  <c r="H36" i="3" a="1"/>
  <c r="G17" i="3" a="1"/>
  <c r="K12" i="3" a="1"/>
  <c r="G8" i="3" a="1"/>
  <c r="M36" i="2" a="1"/>
  <c r="P26" i="2" a="1"/>
  <c r="B39" i="2" a="1"/>
  <c r="B31" i="2" a="1"/>
  <c r="M33" i="3" a="1"/>
  <c r="H19" i="3" a="1"/>
  <c r="R14" i="3" a="1"/>
  <c r="Q28" i="3" a="1"/>
  <c r="P25" i="3" a="1"/>
  <c r="F35" i="2" a="1"/>
  <c r="I25" i="2" a="1"/>
  <c r="S18" i="3" a="1"/>
  <c r="N9" i="3" a="1"/>
  <c r="I35" i="2" a="1"/>
  <c r="H24" i="2" a="1"/>
  <c r="C15" i="2" a="1"/>
  <c r="R34" i="3" a="1"/>
  <c r="E14" i="3" a="1"/>
  <c r="M29" i="2" a="1"/>
  <c r="D18" i="2" a="1"/>
  <c r="G8" i="2" a="1"/>
  <c r="G19" i="3" a="1"/>
  <c r="I11" i="3" a="1"/>
  <c r="E38" i="2" a="1"/>
  <c r="K27" i="2" a="1"/>
  <c r="H19" i="2" a="1"/>
  <c r="H11" i="2" a="1"/>
  <c r="J34" i="1" a="1"/>
  <c r="N15" i="3" a="1"/>
  <c r="C36" i="2" a="1"/>
  <c r="F24" i="2" a="1"/>
  <c r="I14" i="2" a="1"/>
  <c r="R36" i="3" a="1"/>
  <c r="R20" i="3" a="1"/>
  <c r="R10" i="3" a="1"/>
  <c r="C38" i="2" a="1"/>
  <c r="M24" i="2" a="1"/>
  <c r="G15" i="2" a="1"/>
  <c r="J5" i="2" a="1"/>
  <c r="L8" i="3" a="1"/>
  <c r="G22" i="2" a="1"/>
  <c r="C9" i="2" a="1"/>
  <c r="F6" i="3" a="1"/>
  <c r="O21" i="2" a="1"/>
  <c r="K7" i="2" a="1"/>
  <c r="I18" i="3" a="1"/>
  <c r="J33" i="2" a="1"/>
  <c r="L18" i="2" a="1"/>
  <c r="Q6" i="2" a="1"/>
  <c r="S9" i="3" a="1"/>
  <c r="N25" i="2" a="1"/>
  <c r="J8" i="2" a="1"/>
  <c r="I5" i="3" a="1"/>
  <c r="E22" i="2" a="1"/>
  <c r="J38" i="1" a="1"/>
  <c r="O6" i="3" a="1"/>
  <c r="B22" i="2" a="1"/>
  <c r="I5" i="2" a="1"/>
  <c r="N34" i="2" a="1"/>
  <c r="Q8" i="2" a="1"/>
  <c r="G25" i="2" a="1"/>
  <c r="M12" i="3" a="1"/>
  <c r="J32" i="1" a="1"/>
  <c r="E30" i="2" a="1"/>
  <c r="S23" i="3" a="1"/>
  <c r="B12" i="2" a="1"/>
  <c r="L26" i="2" a="1"/>
  <c r="C26" i="2" a="1"/>
  <c r="O11" i="3" a="1"/>
  <c r="L22" i="3" a="1"/>
  <c r="P20" i="2" a="1"/>
  <c r="L7" i="2" a="1"/>
  <c r="F19" i="2" a="1"/>
  <c r="J12" i="2" a="1"/>
  <c r="P8" i="2" a="1"/>
  <c r="Q36" i="3" a="1"/>
  <c r="M32" i="3" a="1"/>
  <c r="Q27" i="3" a="1"/>
  <c r="S37" i="3" a="1"/>
  <c r="I33" i="3" a="1"/>
  <c r="S28" i="3" a="1"/>
  <c r="I24" i="3" a="1"/>
  <c r="F35" i="3" a="1"/>
  <c r="K28" i="3" a="1"/>
  <c r="M20" i="3" a="1"/>
  <c r="R33" i="3" a="1"/>
  <c r="O26" i="3" a="1"/>
  <c r="P35" i="3" a="1"/>
  <c r="P21" i="3" a="1"/>
  <c r="O16" i="3" a="1"/>
  <c r="E12" i="3" a="1"/>
  <c r="O7" i="3" a="1"/>
  <c r="G36" i="2" a="1"/>
  <c r="J26" i="2" a="1"/>
  <c r="Q37" i="2" a="1"/>
  <c r="Q29" i="2" a="1"/>
  <c r="F32" i="3" a="1"/>
  <c r="P18" i="3" a="1"/>
  <c r="L14" i="3" a="1"/>
  <c r="J27" i="3" a="1"/>
  <c r="F25" i="3" a="1"/>
  <c r="O33" i="2" a="1"/>
  <c r="C25" i="2" a="1"/>
  <c r="H18" i="3" a="1"/>
  <c r="F9" i="3" a="1"/>
  <c r="L34" i="2" a="1"/>
  <c r="O23" i="2" a="1"/>
  <c r="L13" i="2" a="1"/>
  <c r="N32" i="3" a="1"/>
  <c r="P13" i="3" a="1"/>
  <c r="P28" i="2" a="1"/>
  <c r="M16" i="2" a="1"/>
  <c r="P6" i="2" a="1"/>
  <c r="R18" i="3" a="1"/>
  <c r="K10" i="3" a="1"/>
  <c r="P37" i="2" a="1"/>
  <c r="J25" i="2" a="1"/>
  <c r="B19" i="2" a="1"/>
  <c r="B11" i="2" a="1"/>
  <c r="J31" i="1" a="1"/>
  <c r="M13" i="3" a="1"/>
  <c r="O35" i="2" a="1"/>
  <c r="O22" i="2" a="1"/>
  <c r="C14" i="2" a="1"/>
  <c r="R35" i="3" a="1"/>
  <c r="O18" i="3" a="1"/>
  <c r="J10" i="3" a="1"/>
  <c r="G37" i="2" a="1"/>
  <c r="M23" i="2" a="1"/>
  <c r="P13" i="2" a="1"/>
  <c r="D5" i="2" a="1"/>
  <c r="S7" i="3" a="1"/>
  <c r="G21" i="2" a="1"/>
  <c r="N8" i="2" a="1"/>
  <c r="I23" i="3" a="1"/>
  <c r="K5" i="3" a="1"/>
  <c r="O20" i="2" a="1"/>
  <c r="M5" i="2" a="1"/>
  <c r="J17" i="3" a="1"/>
  <c r="O32" i="2" a="1"/>
  <c r="G14" i="2" a="1"/>
  <c r="F33" i="3" a="1"/>
  <c r="M7" i="3" a="1"/>
  <c r="N22" i="2" a="1"/>
  <c r="J7" i="2" a="1"/>
  <c r="H37" i="3" a="1"/>
  <c r="G38" i="2" a="1"/>
  <c r="K20" i="2" a="1"/>
  <c r="J36" i="1" a="1"/>
  <c r="M39" i="2" a="1"/>
  <c r="M21" i="2" a="1"/>
  <c r="R30" i="3" a="1"/>
  <c r="D33" i="2" a="1"/>
  <c r="F7" i="2" a="1"/>
  <c r="H21" i="2" a="1"/>
  <c r="O38" i="2" a="1"/>
  <c r="L14" i="2" a="1"/>
  <c r="E28" i="2" a="1"/>
  <c r="M18" i="3" a="1"/>
  <c r="E8" i="2" a="1"/>
  <c r="P19" i="2" a="1"/>
  <c r="L24" i="2" a="1"/>
  <c r="O9" i="3" a="1"/>
  <c r="L19" i="3" a="1"/>
  <c r="Q5" i="3" a="1"/>
  <c r="H10" i="2" a="1"/>
  <c r="I9" i="3" a="1"/>
  <c r="G9" i="2" a="1"/>
  <c r="J28" i="1" a="1"/>
  <c r="M13" i="2" a="1"/>
  <c r="P20" i="3" a="1"/>
  <c r="H22" i="2" a="1"/>
  <c r="O38" i="3" a="1"/>
  <c r="B13" i="2" a="1"/>
  <c r="H23" i="3" a="1"/>
  <c r="K36" i="3" a="1"/>
  <c r="G32" i="3" a="1"/>
  <c r="K27" i="3" a="1"/>
  <c r="M37" i="3" a="1"/>
  <c r="Q32" i="3" a="1"/>
  <c r="M28" i="3" a="1"/>
  <c r="Q23" i="3" a="1"/>
  <c r="Q34" i="3" a="1"/>
  <c r="M27" i="3" a="1"/>
  <c r="N39" i="3" a="1"/>
  <c r="H33" i="3" a="1"/>
  <c r="K25" i="3" a="1"/>
  <c r="J34" i="3" a="1"/>
  <c r="I21" i="3" a="1"/>
  <c r="I16" i="3" a="1"/>
  <c r="S11" i="3" a="1"/>
  <c r="I7" i="3" a="1"/>
  <c r="P34" i="2" a="1"/>
  <c r="D26" i="2" a="1"/>
  <c r="K37" i="2" a="1"/>
  <c r="K29" i="2" a="1"/>
  <c r="S30" i="3" a="1"/>
  <c r="J18" i="3" a="1"/>
  <c r="F14" i="3" a="1"/>
  <c r="I26" i="3" a="1"/>
  <c r="R24" i="3" a="1"/>
  <c r="I33" i="2" a="1"/>
  <c r="L39" i="3" a="1"/>
  <c r="G16" i="3" a="1"/>
  <c r="P8" i="3" a="1"/>
  <c r="K32" i="2" a="1"/>
  <c r="I23" i="2" a="1"/>
  <c r="F13" i="2" a="1"/>
  <c r="H31" i="3" a="1"/>
  <c r="F5" i="3" a="1"/>
  <c r="D27" i="2" a="1"/>
  <c r="G16" i="2" a="1"/>
  <c r="J6" i="2" a="1"/>
  <c r="G18" i="3" a="1"/>
  <c r="M9" i="3" a="1"/>
  <c r="H37" i="2" a="1"/>
  <c r="B25" i="2" a="1"/>
  <c r="Q17" i="2" a="1"/>
  <c r="Q9" i="2" a="1"/>
  <c r="H39" i="3" a="1"/>
  <c r="O12" i="3" a="1"/>
  <c r="B34" i="2" a="1"/>
  <c r="I22" i="2" a="1"/>
  <c r="L12" i="2" a="1"/>
  <c r="L34" i="3" a="1"/>
  <c r="F18" i="3" a="1"/>
  <c r="L9" i="3" a="1"/>
  <c r="J36" i="2" a="1"/>
  <c r="G23" i="2" a="1"/>
  <c r="J13" i="2" a="1"/>
  <c r="R31" i="3" a="1"/>
  <c r="E39" i="2" a="1"/>
  <c r="M18" i="2" a="1"/>
  <c r="C8" i="2" a="1"/>
  <c r="H22" i="3" a="1"/>
  <c r="I38" i="2" a="1"/>
  <c r="D20" i="2" a="1"/>
  <c r="C5" i="2" a="1"/>
  <c r="M15" i="3" a="1"/>
  <c r="I31" i="2" a="1"/>
  <c r="G13" i="2" a="1"/>
  <c r="J29" i="3" a="1"/>
  <c r="N21" i="2" a="1"/>
  <c r="L5" i="2" a="1"/>
  <c r="H35" i="3" a="1"/>
  <c r="Q36" i="2" a="1"/>
  <c r="K19" i="2" a="1"/>
  <c r="J29" i="1" a="1"/>
  <c r="L37" i="2" a="1"/>
  <c r="B20" i="2" a="1"/>
  <c r="N28" i="3" a="1"/>
  <c r="L32" i="2" a="1"/>
  <c r="G6" i="2" a="1"/>
  <c r="Q18" i="2" a="1"/>
  <c r="D37" i="2" a="1"/>
  <c r="K34" i="3" a="1"/>
  <c r="Q26" i="2" a="1"/>
  <c r="D7" i="2" a="1"/>
  <c r="C17" i="2" a="1"/>
  <c r="J23" i="2" a="1"/>
  <c r="R5" i="3" a="1"/>
  <c r="N17" i="3" a="1"/>
  <c r="H25" i="2" a="1"/>
  <c r="M22" i="3" a="1"/>
  <c r="B24" i="2" a="1"/>
  <c r="I36" i="2" a="1"/>
  <c r="L30" i="3" a="1"/>
  <c r="F18" i="2" a="1"/>
  <c r="G39" i="2" a="1"/>
  <c r="I21" i="2" a="1"/>
  <c r="P9" i="3" a="1"/>
  <c r="Q11" i="2" a="1"/>
  <c r="H38" i="2" a="1"/>
  <c r="J25" i="1" a="1"/>
  <c r="Q16" i="2" a="1"/>
  <c r="H17" i="2" a="1"/>
  <c r="H10" i="3" a="1"/>
  <c r="B14" i="2" a="1"/>
  <c r="F37" i="2" a="1"/>
  <c r="B26" i="2" a="1"/>
  <c r="K15" i="2" a="1"/>
  <c r="H32" i="2" a="1"/>
  <c r="Q35" i="2" a="1"/>
  <c r="K13" i="3" a="1"/>
  <c r="K35" i="3" a="1"/>
  <c r="B15" i="2" a="1"/>
  <c r="E36" i="3" a="1"/>
  <c r="O31" i="3" a="1"/>
  <c r="E27" i="3" a="1"/>
  <c r="G37" i="3" a="1"/>
  <c r="K32" i="3" a="1"/>
  <c r="G28" i="3" a="1"/>
  <c r="K23" i="3" a="1"/>
  <c r="H34" i="3" a="1"/>
  <c r="P26" i="3" a="1"/>
  <c r="F39" i="3" a="1"/>
  <c r="J32" i="3" a="1"/>
  <c r="N33" i="3" a="1"/>
  <c r="O20" i="3" a="1"/>
  <c r="Q15" i="3" a="1"/>
  <c r="M11" i="3" a="1"/>
  <c r="Q6" i="3" a="1"/>
  <c r="J34" i="2" a="1"/>
  <c r="J26" i="3" a="1"/>
  <c r="E37" i="2" a="1"/>
  <c r="E29" i="2" a="1"/>
  <c r="L29" i="3" a="1"/>
  <c r="N13" i="3" a="1"/>
  <c r="Q25" i="3" a="1"/>
  <c r="H24" i="3" a="1"/>
  <c r="C33" i="2" a="1"/>
  <c r="L38" i="3" a="1"/>
  <c r="R15" i="3" a="1"/>
  <c r="H8" i="3" a="1"/>
  <c r="C32" i="2" a="1"/>
  <c r="C23" i="2" a="1"/>
  <c r="O11" i="2" a="1"/>
  <c r="S27" i="3" a="1"/>
  <c r="J39" i="2" a="1"/>
  <c r="O26" i="2" a="1"/>
  <c r="P14" i="2" a="1"/>
  <c r="D6" i="2" a="1"/>
  <c r="P17" i="3" a="1"/>
  <c r="G35" i="2" a="1"/>
  <c r="N24" i="2" a="1"/>
  <c r="K17" i="2" a="1"/>
  <c r="K9" i="2" a="1"/>
  <c r="N34" i="3" a="1"/>
  <c r="Q11" i="3" a="1"/>
  <c r="F33" i="2" a="1"/>
  <c r="C22" i="2" a="1"/>
  <c r="F12" i="2" a="1"/>
  <c r="I32" i="3" a="1"/>
  <c r="O17" i="3" a="1"/>
  <c r="N8" i="3" a="1"/>
  <c r="I34" i="2" a="1"/>
  <c r="P21" i="2" a="1"/>
  <c r="M35" i="2" a="1"/>
  <c r="B18" i="2" a="1"/>
  <c r="L6" i="2" a="1"/>
  <c r="F21" i="3" a="1"/>
  <c r="N37" i="2" a="1"/>
  <c r="D19" i="2" a="1"/>
  <c r="J30" i="1" a="1"/>
  <c r="S13" i="3" a="1"/>
  <c r="M30" i="2" a="1"/>
  <c r="M10" i="2" a="1"/>
  <c r="G27" i="3" a="1"/>
  <c r="O39" i="2" a="1"/>
  <c r="C21" i="2" a="1"/>
  <c r="B5" i="2" a="1"/>
  <c r="N25" i="3" a="1"/>
  <c r="O34" i="2" a="1"/>
  <c r="K18" i="2" a="1"/>
  <c r="P36" i="3" a="1"/>
  <c r="P36" i="2" a="1"/>
  <c r="H18" i="2" a="1"/>
  <c r="E24" i="3" a="1"/>
  <c r="K30" i="2" a="1"/>
  <c r="N36" i="3" a="1"/>
  <c r="D16" i="2" a="1"/>
  <c r="P33" i="2" a="1"/>
  <c r="L28" i="3" a="1"/>
  <c r="F25" i="2" a="1"/>
  <c r="L12" i="3" a="1"/>
  <c r="H9" i="2" a="1"/>
  <c r="E11" i="3" a="1"/>
  <c r="E20" i="2" a="1"/>
  <c r="K19" i="3" a="1"/>
  <c r="N20" i="2" a="1"/>
  <c r="M24" i="3" a="1"/>
  <c r="N32" i="2" a="1"/>
  <c r="B36" i="2" a="1"/>
  <c r="S21" i="3" a="1"/>
  <c r="D24" i="2" a="1"/>
  <c r="P32" i="3" a="1"/>
  <c r="N28" i="2" a="1"/>
  <c r="L20" i="3" a="1"/>
  <c r="J37" i="2" a="1"/>
  <c r="K39" i="2" a="1"/>
  <c r="F10" i="2" a="1"/>
  <c r="G6" i="3" a="1"/>
  <c r="O32" i="3" a="1"/>
  <c r="F32" i="2" a="1"/>
  <c r="E30" i="3" a="1"/>
  <c r="R12" i="3" a="1"/>
  <c r="B7" i="2" a="1"/>
  <c r="L8" i="2" a="1"/>
  <c r="S35" i="3" a="1"/>
  <c r="I31" i="3" a="1"/>
  <c r="S26" i="3" a="1"/>
  <c r="O36" i="3" a="1"/>
  <c r="E32" i="3" a="1"/>
  <c r="O27" i="3" a="1"/>
  <c r="E23" i="3" a="1"/>
  <c r="S33" i="3" a="1"/>
  <c r="L25" i="3" a="1"/>
  <c r="P38" i="3" a="1"/>
  <c r="L31" i="3" a="1"/>
  <c r="Q24" i="3" a="1"/>
  <c r="H32" i="3" a="1"/>
  <c r="H20" i="3" a="1"/>
  <c r="K15" i="3" a="1"/>
  <c r="G11" i="3" a="1"/>
  <c r="K6" i="3" a="1"/>
  <c r="D34" i="2" a="1"/>
  <c r="R25" i="3" a="1"/>
  <c r="N35" i="2" a="1"/>
  <c r="N27" i="2" a="1"/>
  <c r="E28" i="3" a="1"/>
  <c r="R17" i="3" a="1"/>
  <c r="M39" i="3" a="1"/>
  <c r="H25" i="3" a="1"/>
  <c r="L23" i="3" a="1"/>
  <c r="L31" i="2" a="1"/>
  <c r="F37" i="3" a="1"/>
  <c r="G15" i="3" a="1"/>
  <c r="R7" i="3" a="1"/>
  <c r="O31" i="2" a="1"/>
  <c r="L21" i="2" a="1"/>
  <c r="I11" i="2" a="1"/>
  <c r="P23" i="3" a="1"/>
  <c r="M38" i="2" a="1"/>
  <c r="G26" i="2" a="1"/>
  <c r="J14" i="2" a="1"/>
  <c r="O15" i="3" a="1"/>
  <c r="O8" i="3" a="1"/>
  <c r="K34" i="2" a="1"/>
  <c r="G24" i="2" a="1"/>
  <c r="E17" i="2" a="1"/>
  <c r="E9" i="2" a="1"/>
  <c r="L33" i="3" a="1"/>
  <c r="S10" i="3" a="1"/>
  <c r="Q32" i="2" a="1"/>
  <c r="L20" i="2" a="1"/>
  <c r="O10" i="2" a="1"/>
  <c r="P28" i="3" a="1"/>
  <c r="M33" i="2" a="1"/>
  <c r="J21" i="2" a="1"/>
  <c r="M11" i="2" a="1"/>
  <c r="P24" i="3" a="1"/>
  <c r="L33" i="2" a="1"/>
  <c r="M17" i="2" a="1"/>
  <c r="B6" i="2" a="1"/>
  <c r="H36" i="2" a="1"/>
  <c r="J16" i="2" a="1"/>
  <c r="Q7" i="2" a="1"/>
  <c r="I12" i="3" a="1"/>
  <c r="G29" i="2" a="1"/>
  <c r="B10" i="2" a="1"/>
  <c r="G23" i="3" a="1"/>
  <c r="H34" i="2" a="1"/>
  <c r="O25" i="3" a="1"/>
  <c r="B23" i="2" a="1"/>
  <c r="Q39" i="3" a="1"/>
  <c r="M35" i="3" a="1"/>
  <c r="Q30" i="3" a="1"/>
  <c r="M26" i="3" a="1"/>
  <c r="I36" i="3" a="1"/>
  <c r="S31" i="3" a="1"/>
  <c r="I27" i="3" a="1"/>
  <c r="P39" i="3" a="1"/>
  <c r="J33" i="3" a="1"/>
  <c r="H38" i="3" a="1"/>
  <c r="J24" i="3" a="1"/>
  <c r="P31" i="3" a="1"/>
  <c r="O19" i="3" a="1"/>
  <c r="E15" i="3" a="1"/>
  <c r="O10" i="3" a="1"/>
  <c r="E6" i="3" a="1"/>
  <c r="M32" i="2" a="1"/>
  <c r="I25" i="3" a="1"/>
  <c r="H35" i="2" a="1"/>
  <c r="H27" i="2" a="1"/>
  <c r="Q22" i="3" a="1"/>
  <c r="L17" i="3" a="1"/>
  <c r="F38" i="3" a="1"/>
  <c r="S24" i="3" a="1"/>
  <c r="E20" i="3" a="1"/>
  <c r="F31" i="2" a="1"/>
  <c r="J31" i="3" a="1"/>
  <c r="P14" i="3" a="1"/>
  <c r="J7" i="3" a="1"/>
  <c r="B30" i="2" a="1"/>
  <c r="F21" i="2" a="1"/>
  <c r="C11" i="2" a="1"/>
  <c r="N21" i="3" a="1"/>
  <c r="L36" i="2" a="1"/>
  <c r="P22" i="2" a="1"/>
  <c r="D14" i="2" a="1"/>
  <c r="E37" i="3" a="1"/>
  <c r="F15" i="3" a="1"/>
  <c r="F8" i="3" a="1"/>
  <c r="N33" i="2" a="1"/>
  <c r="N23" i="2" a="1"/>
  <c r="N15" i="2" a="1"/>
  <c r="N7" i="2" a="1"/>
  <c r="F31" i="3" a="1"/>
  <c r="E8" i="3" a="1"/>
  <c r="I32" i="2" a="1"/>
  <c r="F20" i="2" a="1"/>
  <c r="I10" i="2" a="1"/>
  <c r="P27" i="3" a="1"/>
  <c r="N14" i="3" a="1"/>
  <c r="P7" i="3" a="1"/>
  <c r="P32" i="2" a="1"/>
  <c r="D21" i="2" a="1"/>
  <c r="G11" i="2" a="1"/>
  <c r="G21" i="3" a="1"/>
  <c r="E32" i="2" a="1"/>
  <c r="B17" i="2" a="1"/>
  <c r="J26" i="1" a="1"/>
  <c r="E19" i="3" a="1"/>
  <c r="F34" i="2" a="1"/>
  <c r="J15" i="2" a="1"/>
  <c r="L37" i="3" a="1"/>
  <c r="G9" i="3" a="1"/>
  <c r="E27" i="2" a="1"/>
  <c r="M9" i="2" a="1"/>
  <c r="M37" i="2" a="1"/>
  <c r="C20" i="2" a="1"/>
  <c r="J22" i="1" a="1"/>
  <c r="I17" i="3" a="1"/>
  <c r="G31" i="2" a="1"/>
  <c r="Q15" i="2" a="1"/>
  <c r="F29" i="3" a="1"/>
  <c r="J35" i="2" a="1"/>
  <c r="H16" i="2" a="1"/>
  <c r="P19" i="3" a="1"/>
  <c r="D23" i="2" a="1"/>
  <c r="J25" i="3" a="1"/>
  <c r="F11" i="2" a="1"/>
  <c r="L23" i="2" a="1"/>
  <c r="R16" i="3" a="1"/>
  <c r="Q19" i="2" a="1"/>
  <c r="Q8" i="3" a="1"/>
  <c r="H14" i="3" a="1"/>
  <c r="R23" i="3" a="1"/>
  <c r="Q10" i="2" a="1"/>
  <c r="I20" i="2" a="1"/>
  <c r="G34" i="2" a="1"/>
  <c r="P5" i="3" a="1"/>
  <c r="K24" i="2" a="1"/>
  <c r="O16" i="2" a="1"/>
  <c r="E18" i="2" a="1"/>
  <c r="G27" i="2" a="1"/>
  <c r="O34" i="3" a="1"/>
  <c r="K26" i="3" a="1"/>
  <c r="N31" i="3" a="1"/>
  <c r="J37" i="3" a="1"/>
  <c r="N29" i="3" a="1"/>
  <c r="M14" i="3" a="1"/>
  <c r="M5" i="3" a="1"/>
  <c r="Q33" i="2" a="1"/>
  <c r="O21" i="3" a="1"/>
  <c r="L35" i="3" a="1"/>
  <c r="F39" i="2" a="1"/>
  <c r="Q28" i="2" a="1"/>
  <c r="F9" i="2" a="1"/>
  <c r="P35" i="2" a="1"/>
  <c r="G12" i="2" a="1"/>
  <c r="R27" i="3" a="1"/>
  <c r="Q19" i="3" a="1"/>
  <c r="L29" i="2" a="1"/>
  <c r="K39" i="3" a="1"/>
  <c r="G35" i="3" a="1"/>
  <c r="K30" i="3" a="1"/>
  <c r="G26" i="3" a="1"/>
  <c r="Q35" i="3" a="1"/>
  <c r="M31" i="3" a="1"/>
  <c r="Q26" i="3" a="1"/>
  <c r="G39" i="3" a="1"/>
  <c r="L32" i="3" a="1"/>
  <c r="H26" i="3" a="1"/>
  <c r="R37" i="3" a="1"/>
  <c r="N30" i="3" a="1"/>
  <c r="O23" i="3" a="1"/>
  <c r="H30" i="3" a="1"/>
  <c r="I19" i="3" a="1"/>
  <c r="S14" i="3" a="1"/>
  <c r="I10" i="3" a="1"/>
  <c r="S5" i="3" a="1"/>
  <c r="G32" i="2" a="1"/>
  <c r="L24" i="3" a="1"/>
  <c r="B35" i="2" a="1"/>
  <c r="B27" i="2" a="1"/>
  <c r="J22" i="3" a="1"/>
  <c r="F17" i="3" a="1"/>
  <c r="S36" i="3" a="1"/>
  <c r="K24" i="3" a="1"/>
  <c r="L39" i="2" a="1"/>
  <c r="O29" i="2" a="1"/>
  <c r="J30" i="3" a="1"/>
  <c r="F13" i="3" a="1"/>
  <c r="L6" i="3" a="1"/>
  <c r="F29" i="2" a="1"/>
  <c r="O19" i="2" a="1"/>
  <c r="L9" i="2" a="1"/>
  <c r="J20" i="3" a="1"/>
  <c r="D36" i="2" a="1"/>
  <c r="J22" i="2" a="1"/>
  <c r="M12" i="2" a="1"/>
  <c r="P33" i="3" a="1"/>
  <c r="O14" i="3" a="1"/>
  <c r="Q7" i="3" a="1"/>
  <c r="B32" i="2" a="1"/>
  <c r="H23" i="2" a="1"/>
  <c r="H15" i="2" a="1"/>
  <c r="H7" i="2" a="1"/>
  <c r="I20" i="3" a="1"/>
  <c r="G7" i="3" a="1"/>
  <c r="H30" i="2" a="1"/>
  <c r="O18" i="2" a="1"/>
  <c r="C10" i="2" a="1"/>
  <c r="N26" i="3" a="1"/>
  <c r="L13" i="3" a="1"/>
  <c r="F7" i="3" a="1"/>
  <c r="D31" i="2" a="1"/>
  <c r="M19" i="2" a="1"/>
  <c r="P9" i="2" a="1"/>
  <c r="L18" i="3" a="1"/>
  <c r="J31" i="2" a="1"/>
  <c r="B16" i="2" a="1"/>
  <c r="C31" i="2" a="1"/>
  <c r="K17" i="3" a="1"/>
  <c r="D32" i="2" a="1"/>
  <c r="P12" i="2" a="1"/>
  <c r="I35" i="3" a="1"/>
  <c r="J8" i="3" a="1"/>
  <c r="I24" i="2" a="1"/>
  <c r="B9" i="2" a="1"/>
  <c r="F36" i="2" a="1"/>
  <c r="I17" i="2" a="1"/>
  <c r="Q20" i="3" a="1"/>
  <c r="L15" i="3" a="1"/>
  <c r="L30" i="2" a="1"/>
  <c r="F15" i="2" a="1"/>
  <c r="F27" i="3" a="1"/>
  <c r="H33" i="2" a="1"/>
  <c r="N13" i="2" a="1"/>
  <c r="I15" i="3" a="1"/>
  <c r="J20" i="2" a="1"/>
  <c r="N22" i="3" a="1"/>
  <c r="O8" i="2" a="1"/>
  <c r="K22" i="2" a="1"/>
  <c r="I14" i="3" a="1"/>
  <c r="C16" i="2" a="1"/>
  <c r="K38" i="2" a="1"/>
  <c r="G10" i="3" a="1"/>
  <c r="K20" i="3" a="1"/>
  <c r="D8" i="2" a="1"/>
  <c r="E39" i="3" a="1"/>
  <c r="G31" i="3" a="1"/>
  <c r="R38" i="3" a="1"/>
  <c r="O22" i="3" a="1"/>
  <c r="F30" i="3" a="1"/>
  <c r="Q18" i="3" a="1"/>
  <c r="Q9" i="3" a="1"/>
  <c r="P30" i="2" a="1"/>
  <c r="Q25" i="2" a="1"/>
  <c r="N16" i="3" a="1"/>
  <c r="M23" i="3" a="1"/>
  <c r="I29" i="2" a="1"/>
  <c r="O5" i="3" a="1"/>
  <c r="R19" i="3" a="1"/>
  <c r="D22" i="2" a="1"/>
  <c r="H7" i="3" a="1"/>
  <c r="M31" i="2" a="1"/>
  <c r="I6" i="3" a="1"/>
  <c r="I18" i="2" a="1"/>
  <c r="F24" i="3" a="1"/>
  <c r="S38" i="3" a="1"/>
  <c r="I34" i="3" a="1"/>
  <c r="S29" i="3" a="1"/>
  <c r="O39" i="3" a="1"/>
  <c r="E35" i="3" a="1"/>
  <c r="O30" i="3" a="1"/>
  <c r="E26" i="3" a="1"/>
  <c r="I38" i="3" a="1"/>
  <c r="E31" i="3" a="1"/>
  <c r="I22" i="3" a="1"/>
  <c r="L36" i="3" a="1"/>
  <c r="P29" i="3" a="1"/>
  <c r="R39" i="3" a="1"/>
  <c r="F28" i="3" a="1"/>
  <c r="K18" i="3" a="1"/>
  <c r="G14" i="3" a="1"/>
  <c r="K9" i="3" a="1"/>
  <c r="G5" i="3" a="1"/>
  <c r="J30" i="2" a="1"/>
  <c r="N23" i="3" a="1"/>
  <c r="K33" i="2" a="1"/>
  <c r="K25" i="2" a="1"/>
  <c r="H21" i="3" a="1"/>
  <c r="H16" i="3" a="1"/>
  <c r="E34" i="3" a="1"/>
  <c r="O37" i="2" a="1"/>
  <c r="C29" i="2" a="1"/>
  <c r="E25" i="3" a="1"/>
  <c r="H12" i="3" a="1"/>
  <c r="C39" i="2" a="1"/>
  <c r="I28" i="2" a="1"/>
  <c r="L17" i="2" a="1"/>
  <c r="O7" i="2" a="1"/>
  <c r="Q17" i="3" a="1"/>
  <c r="C34" i="2" a="1"/>
  <c r="M20" i="2" a="1"/>
  <c r="P10" i="2" a="1"/>
  <c r="G24" i="3" a="1"/>
  <c r="E13" i="3" a="1"/>
  <c r="S6" i="3" a="1"/>
  <c r="E31" i="2" a="1"/>
  <c r="Q21" i="2" a="1"/>
  <c r="Q13" i="2" a="1"/>
  <c r="Q5" i="2" a="1"/>
  <c r="F19" i="3" a="1"/>
  <c r="E5" i="3" a="1"/>
  <c r="O28" i="2" a="1"/>
  <c r="C18" i="2" a="1"/>
  <c r="F8" i="2" a="1"/>
  <c r="J23" i="3" a="1"/>
  <c r="N12" i="3" a="1"/>
  <c r="H6" i="3" a="1"/>
  <c r="G30" i="2" a="1"/>
  <c r="P17" i="2" a="1"/>
  <c r="D9" i="2" a="1"/>
  <c r="S15" i="3" a="1"/>
  <c r="H29" i="2" a="1"/>
  <c r="H13" i="2" a="1"/>
  <c r="K12" i="2" a="1"/>
  <c r="J12" i="3" a="1"/>
  <c r="L28" i="2" a="1"/>
  <c r="P11" i="2" a="1"/>
  <c r="Q31" i="3" a="1"/>
  <c r="J5" i="3" a="1"/>
  <c r="F23" i="2" a="1"/>
  <c r="K6" i="2" a="1"/>
  <c r="Q14" i="3" a="1"/>
  <c r="E34" i="2" a="1"/>
  <c r="O13" i="2" a="1"/>
  <c r="H5" i="3" a="1"/>
  <c r="K11" i="3" a="1"/>
  <c r="J28" i="2" a="1"/>
  <c r="F14" i="2" a="1"/>
  <c r="K14" i="3" a="1"/>
  <c r="O27" i="2" a="1"/>
  <c r="N12" i="2" a="1"/>
  <c r="F11" i="3" a="1"/>
  <c r="P16" i="2" a="1"/>
  <c r="J21" i="3" a="1"/>
  <c r="J24" i="1" a="1"/>
  <c r="G17" i="2" a="1"/>
  <c r="O9" i="2" a="1"/>
  <c r="P24" i="2" a="1"/>
  <c r="B38" i="2" a="1"/>
  <c r="M34" i="2" a="1"/>
  <c r="L26" i="3" a="1"/>
  <c r="P7" i="2" a="1"/>
  <c r="C24" i="2" a="1"/>
  <c r="G5" i="2" a="1"/>
  <c r="R21" i="3" a="1"/>
  <c r="Q12" i="2" a="1"/>
  <c r="J11" i="2" a="1"/>
  <c r="D15" i="2" a="1"/>
  <c r="E25" i="2" a="1"/>
  <c r="L27" i="2" a="1"/>
  <c r="J11" i="3" a="1"/>
  <c r="H26" i="2" a="1"/>
  <c r="F12" i="3" a="1"/>
  <c r="J17" i="2" a="1"/>
  <c r="D39" i="2" a="1"/>
  <c r="Q22" i="2" a="1"/>
  <c r="N14" i="2" a="1"/>
  <c r="R13" i="3" a="1"/>
  <c r="E24" i="2" a="1"/>
  <c r="Q13" i="3" a="1"/>
  <c r="E26" i="2" a="1"/>
  <c r="C12" i="2" a="1"/>
  <c r="E15" i="2" a="1"/>
  <c r="E7" i="3" a="1"/>
  <c r="I12" i="2" a="1"/>
  <c r="H8" i="2" a="1"/>
  <c r="N36" i="2" a="1"/>
  <c r="M19" i="3" a="1"/>
  <c r="N6" i="2" a="1"/>
  <c r="J33" i="1" a="1"/>
  <c r="F6" i="2" a="1"/>
  <c r="K33" i="3" a="1"/>
  <c r="G29" i="3" a="1"/>
  <c r="Q38" i="3" a="1"/>
  <c r="Q29" i="3" a="1"/>
  <c r="M36" i="3" a="1"/>
  <c r="K21" i="3" a="1"/>
  <c r="P37" i="3" a="1"/>
  <c r="S17" i="3" a="1"/>
  <c r="M38" i="3" a="1"/>
  <c r="Q33" i="3" a="1"/>
  <c r="M29" i="3" a="1"/>
  <c r="I39" i="3" a="1"/>
  <c r="S34" i="3" a="1"/>
  <c r="I30" i="3" a="1"/>
  <c r="S25" i="3" a="1"/>
  <c r="K37" i="3" a="1"/>
  <c r="P30" i="3" a="1"/>
  <c r="Q21" i="3" a="1"/>
  <c r="N35" i="3" a="1"/>
  <c r="H29" i="3" a="1"/>
  <c r="J38" i="3" a="1"/>
  <c r="N27" i="3" a="1"/>
  <c r="E18" i="3" a="1"/>
  <c r="O13" i="3" a="1"/>
  <c r="E9" i="3" a="1"/>
  <c r="P38" i="2" a="1"/>
  <c r="D30" i="2" a="1"/>
  <c r="F23" i="3" a="1"/>
  <c r="E33" i="2" a="1"/>
  <c r="N20" i="3" a="1"/>
  <c r="P15" i="3" a="1"/>
  <c r="R32" i="3" a="1"/>
  <c r="F20" i="3" a="1"/>
  <c r="I37" i="2" a="1"/>
  <c r="G22" i="3" a="1"/>
  <c r="N38" i="2" a="1"/>
  <c r="F17" i="2" a="1"/>
  <c r="I7" i="2" a="1"/>
  <c r="H17" i="3" a="1"/>
  <c r="G33" i="2" a="1"/>
  <c r="G20" i="2" a="1"/>
  <c r="J10" i="2" a="1"/>
  <c r="S22" i="3" a="1"/>
  <c r="P12" i="3" a="1"/>
  <c r="J6" i="3" a="1"/>
  <c r="Q30" i="2" a="1"/>
  <c r="K21" i="2" a="1"/>
  <c r="K13" i="2" a="1"/>
  <c r="K5" i="2" a="1"/>
  <c r="E17" i="3" a="1"/>
  <c r="I39" i="2" a="1"/>
  <c r="C27" i="2" a="1"/>
  <c r="L16" i="2" a="1"/>
  <c r="O6" i="2" a="1"/>
  <c r="P22" i="3" a="1"/>
  <c r="L5" i="3" a="1"/>
  <c r="F28" i="2" a="1"/>
  <c r="M7" i="2" a="1"/>
  <c r="G13" i="3" a="1"/>
  <c r="B28" i="2" a="1"/>
  <c r="H12" i="2" a="1"/>
  <c r="S39" i="3" a="1"/>
  <c r="N11" i="3" a="1"/>
  <c r="Q27" i="2" a="1"/>
  <c r="E11" i="2" a="1"/>
  <c r="O29" i="3" a="1"/>
  <c r="K28" i="2" a="1"/>
  <c r="O12" i="2" a="1"/>
  <c r="P15" i="2" a="1"/>
  <c r="I8" i="3" a="1"/>
  <c r="L11" i="2" a="1"/>
  <c r="M10" i="3" a="1"/>
  <c r="F36" i="3" a="1"/>
  <c r="O36" i="2" a="1"/>
  <c r="K23" i="2" a="1"/>
  <c r="B33" i="2" a="1"/>
  <c r="M6" i="2" a="1"/>
  <c r="E19" i="2" a="1"/>
  <c r="J9" i="3" a="1"/>
  <c r="N5" i="2" a="1"/>
  <c r="G38" i="3" a="1"/>
  <c r="M34" i="3" a="1"/>
  <c r="M25" i="3" a="1"/>
  <c r="G30" i="3" a="1"/>
  <c r="R28" i="3" a="1"/>
  <c r="R22" i="3" a="1"/>
  <c r="I13" i="3" a="1"/>
  <c r="G25" i="3" a="1"/>
  <c r="J38" i="2" a="1"/>
  <c r="J15" i="3" a="1"/>
  <c r="L10" i="3" a="1"/>
  <c r="F16" i="3" a="1"/>
  <c r="Q39" i="2" a="1"/>
  <c r="K36" i="2" a="1"/>
  <c r="E10" i="3" a="1"/>
  <c r="Q10" i="3" a="1"/>
  <c r="B37" i="2" a="1"/>
  <c r="P27" i="2" a="1"/>
  <c r="P23" i="2" a="1"/>
  <c r="I9" i="2" a="1"/>
  <c r="N18" i="3" a="1"/>
  <c r="G18" i="2" a="1"/>
  <c r="H5" i="2" a="1"/>
  <c r="I8" i="2" a="1"/>
  <c r="I13" i="2" a="1"/>
  <c r="M27" i="2" a="1"/>
  <c r="M6" i="3" a="1"/>
  <c r="I27" i="2" a="1"/>
  <c r="N9" i="2" a="1"/>
  <c r="C7" i="2" a="1"/>
  <c r="Q37" i="3" a="1"/>
  <c r="G20" i="3" a="1"/>
  <c r="P10" i="3" a="1"/>
  <c r="J13" i="3" a="1"/>
  <c r="K35" i="2" a="1"/>
  <c r="D38" i="2" a="1"/>
  <c r="J32" i="2" a="1"/>
  <c r="D29" i="2" a="1"/>
  <c r="N26" i="2" a="1"/>
  <c r="P39" i="2" a="1"/>
  <c r="H9" i="3" a="1"/>
  <c r="K8" i="3" a="1"/>
  <c r="Q34" i="2" a="1"/>
  <c r="I26" i="2" a="1"/>
  <c r="E23" i="2" a="1"/>
  <c r="S16" i="3" a="1"/>
  <c r="J21" i="1" a="1"/>
  <c r="K14" i="2" a="1"/>
  <c r="G12" i="3" a="1"/>
  <c r="L7" i="3" a="1"/>
  <c r="Q20" i="2" a="1"/>
  <c r="M22" i="2" a="1"/>
  <c r="R6" i="3" a="1"/>
  <c r="R29" i="3" a="1"/>
  <c r="M28" i="2" a="1"/>
  <c r="K31" i="3" a="1"/>
  <c r="F38" i="2" a="1"/>
  <c r="I30" i="2" a="1"/>
  <c r="H28" i="2" a="1"/>
  <c r="F26" i="2" a="1"/>
  <c r="O30" i="2" a="1"/>
  <c r="C30" i="2" a="1"/>
  <c r="N30" i="2" a="1"/>
  <c r="Q23" i="2" a="1"/>
  <c r="I16" i="2" a="1"/>
  <c r="Q14" i="2" a="1"/>
  <c r="S12" i="3" a="1"/>
  <c r="N18" i="2" a="1"/>
  <c r="E5" i="2" a="1"/>
  <c r="Q24" i="2" a="1"/>
  <c r="R9" i="3" a="1"/>
  <c r="J29" i="2" a="1"/>
  <c r="Q12" i="3" a="1"/>
  <c r="H20" i="2" a="1"/>
  <c r="N24" i="3" a="1"/>
  <c r="N19" i="3" a="1"/>
  <c r="E21" i="3" a="1"/>
  <c r="G28" i="2" a="1"/>
  <c r="D30" i="3" a="1"/>
  <c r="E36" i="2" a="1"/>
  <c r="P18" i="2" a="1"/>
  <c r="E21" i="2" a="1"/>
  <c r="F16" i="2" a="1"/>
  <c r="J27" i="2" a="1"/>
  <c r="P25" i="2" a="1"/>
  <c r="K26" i="2" a="1"/>
  <c r="F22" i="2" a="1"/>
  <c r="D12" i="2" a="1"/>
  <c r="L10" i="2" a="1"/>
  <c r="K7" i="3" a="1"/>
  <c r="E7" i="2" a="1"/>
  <c r="C35" i="2" a="1"/>
  <c r="O17" i="2" a="1"/>
  <c r="M30" i="3" a="1"/>
  <c r="K31" i="2" a="1"/>
  <c r="N16" i="2" a="1"/>
  <c r="H13" i="3" a="1"/>
  <c r="R8" i="3" a="1"/>
  <c r="N17" i="2" a="1"/>
  <c r="L22" i="2" a="1"/>
  <c r="D35" i="2" a="1"/>
  <c r="N29" i="2" a="1"/>
  <c r="N38" i="3" a="1"/>
  <c r="O15" i="2" a="1"/>
  <c r="O25" i="2" a="1"/>
  <c r="L11" i="3" a="1"/>
  <c r="E16" i="3" a="1"/>
  <c r="N7" i="3" a="1"/>
  <c r="P34" i="3" a="1"/>
  <c r="N39" i="2" a="1"/>
  <c r="R26" i="3" a="1"/>
  <c r="L25" i="2" a="1"/>
  <c r="J18" i="2" a="1"/>
  <c r="N19" i="2" a="1"/>
  <c r="O14" i="2" a="1"/>
  <c r="M26" i="2" a="1"/>
  <c r="J24" i="2" a="1"/>
  <c r="D25" i="2" a="1"/>
  <c r="L19" i="2" a="1"/>
  <c r="D11" i="2" a="1"/>
  <c r="H6" i="2" a="1"/>
  <c r="N6" i="3" a="1"/>
  <c r="E6" i="2" a="1"/>
  <c r="F10" i="3" a="1"/>
  <c r="E33" i="3" a="1"/>
  <c r="L35" i="2" a="1"/>
  <c r="E22" i="3" a="1"/>
  <c r="K8" i="2" a="1"/>
  <c r="K11" i="2" a="1"/>
  <c r="C28" i="2" a="1"/>
  <c r="J23" i="1" a="1"/>
  <c r="R11" i="3" a="1"/>
  <c r="K29" i="3" a="1"/>
  <c r="Q16" i="3" a="1"/>
  <c r="L38" i="2" a="1"/>
  <c r="B29" i="2" a="1"/>
  <c r="F5" i="2" a="1"/>
  <c r="G10" i="2" a="1"/>
  <c r="J28" i="3" a="1"/>
  <c r="H39" i="2" a="1"/>
  <c r="F26" i="3" a="1"/>
  <c r="O24" i="2" a="1"/>
  <c r="D10" i="2" a="1"/>
  <c r="E13" i="2" a="1"/>
  <c r="I6" i="2" a="1"/>
  <c r="G19" i="2" a="1"/>
  <c r="H14" i="2" a="1"/>
  <c r="E12" i="2" a="1"/>
  <c r="B8" i="2" a="1"/>
  <c r="J14" i="3" a="1"/>
  <c r="J16" i="3" a="1"/>
  <c r="J19" i="2" a="1"/>
  <c r="H31" i="2" a="1"/>
  <c r="G36" i="3" a="1"/>
  <c r="G7" i="2" a="1"/>
  <c r="M25" i="2" a="1"/>
  <c r="H15" i="3" a="1"/>
  <c r="G34" i="3" a="1"/>
  <c r="S19" i="3" a="1"/>
  <c r="H11" i="3" a="1"/>
  <c r="P6" i="3" a="1"/>
  <c r="H28" i="3" a="1"/>
  <c r="K16" i="2" a="1"/>
  <c r="M16" i="3" a="1"/>
  <c r="O37" i="3" a="1"/>
  <c r="N31" i="2" a="1"/>
  <c r="C37" i="2" a="1"/>
  <c r="I19" i="2" a="1"/>
  <c r="M8" i="2" a="1"/>
  <c r="N11" i="2" a="1"/>
  <c r="C6" i="2" a="1"/>
  <c r="D17" i="2" a="1"/>
  <c r="N10" i="2" a="1"/>
  <c r="E10" i="2" a="1"/>
  <c r="Q31" i="2" a="1"/>
  <c r="K10" i="2" a="1"/>
  <c r="N10" i="3" a="1"/>
  <c r="E14" i="2" a="1"/>
  <c r="J27" i="1" a="1"/>
  <c r="K22" i="3" a="1"/>
  <c r="F22" i="3" a="1"/>
  <c r="M15" i="2" a="1"/>
  <c r="J35" i="1" a="1"/>
  <c r="P31" i="2" a="1"/>
  <c r="P16" i="3" a="1"/>
  <c r="S8" i="3" a="1"/>
  <c r="J39" i="3" a="1"/>
  <c r="P5" i="2" a="1"/>
  <c r="F30" i="2" a="1"/>
  <c r="M8" i="3" a="1"/>
  <c r="N5" i="3" a="1"/>
  <c r="L16" i="3" a="1"/>
  <c r="C13" i="2" a="1"/>
  <c r="D28" i="2" a="1"/>
  <c r="L15" i="2" a="1"/>
  <c r="O28" i="3" a="1"/>
  <c r="M17" i="3" a="1"/>
  <c r="N37" i="3" a="1"/>
  <c r="F27" i="2" a="1"/>
  <c r="I15" i="2" a="1"/>
  <c r="M21" i="3" a="1"/>
  <c r="J37" i="1" a="1"/>
  <c r="L21" i="3" a="1"/>
  <c r="J9" i="2" a="1"/>
  <c r="E16" i="2" a="1"/>
  <c r="G33" i="3" a="1"/>
  <c r="K16" i="3" a="1"/>
  <c r="P29" i="2" a="1"/>
  <c r="J36" i="3" a="1"/>
  <c r="M14" i="2" a="1"/>
  <c r="O5" i="2" a="1"/>
  <c r="Q38" i="2" a="1"/>
  <c r="K38" i="3" a="1"/>
  <c r="P11" i="3" a="1"/>
  <c r="H27" i="3" a="1"/>
  <c r="E35" i="2" a="1"/>
  <c r="J35" i="3" a="1"/>
  <c r="J19" i="3" a="1"/>
  <c r="B7" i="3" l="1"/>
  <c r="P8" i="2"/>
  <c r="J23" i="1"/>
  <c r="J27" i="1"/>
  <c r="F6" i="2"/>
  <c r="D15" i="2"/>
  <c r="L22" i="2"/>
  <c r="G27" i="2"/>
  <c r="F32" i="2"/>
  <c r="F37" i="2"/>
  <c r="K19" i="3"/>
  <c r="L30" i="3"/>
  <c r="J28" i="1"/>
  <c r="J12" i="2"/>
  <c r="H13" i="3"/>
  <c r="M30" i="3"/>
  <c r="N5" i="2"/>
  <c r="J11" i="2"/>
  <c r="K14" i="2"/>
  <c r="E18" i="2"/>
  <c r="B26" i="2"/>
  <c r="G6" i="3"/>
  <c r="Q11" i="2"/>
  <c r="I36" i="2"/>
  <c r="G9" i="2"/>
  <c r="F19" i="2"/>
  <c r="M27" i="2"/>
  <c r="J33" i="1"/>
  <c r="Q12" i="2"/>
  <c r="L15" i="2"/>
  <c r="K13" i="3"/>
  <c r="O32" i="3"/>
  <c r="F10" i="2"/>
  <c r="E20" i="2"/>
  <c r="B24" i="2"/>
  <c r="I9" i="3"/>
  <c r="L7" i="2"/>
  <c r="K16" i="2"/>
  <c r="H20" i="2"/>
  <c r="J9" i="3"/>
  <c r="R21" i="3"/>
  <c r="Q38" i="2"/>
  <c r="O16" i="2"/>
  <c r="K24" i="2"/>
  <c r="K39" i="2"/>
  <c r="P9" i="3"/>
  <c r="M22" i="3"/>
  <c r="H10" i="2"/>
  <c r="P20" i="2"/>
  <c r="J29" i="2"/>
  <c r="N38" i="3"/>
  <c r="N6" i="2"/>
  <c r="G5" i="2"/>
  <c r="N17" i="2"/>
  <c r="Q35" i="2"/>
  <c r="P5" i="3"/>
  <c r="B14" i="2"/>
  <c r="I21" i="2"/>
  <c r="H25" i="2"/>
  <c r="Q5" i="3"/>
  <c r="N16" i="2"/>
  <c r="O17" i="2"/>
  <c r="E19" i="2"/>
  <c r="C24" i="2"/>
  <c r="I27" i="2"/>
  <c r="H32" i="2"/>
  <c r="G34" i="2"/>
  <c r="J37" i="2"/>
  <c r="E11" i="3"/>
  <c r="N17" i="3"/>
  <c r="L19" i="3"/>
  <c r="L22" i="3"/>
  <c r="J21" i="1"/>
  <c r="H5" i="2"/>
  <c r="M6" i="2"/>
  <c r="P7" i="2"/>
  <c r="G10" i="2"/>
  <c r="K15" i="2"/>
  <c r="I20" i="2"/>
  <c r="H34" i="2"/>
  <c r="G39" i="2"/>
  <c r="R5" i="3"/>
  <c r="O9" i="3"/>
  <c r="O11" i="3"/>
  <c r="J13" i="3"/>
  <c r="H15" i="3"/>
  <c r="M19" i="3"/>
  <c r="L26" i="3"/>
  <c r="O5" i="2"/>
  <c r="D8" i="2"/>
  <c r="Q10" i="2"/>
  <c r="B13" i="2"/>
  <c r="F18" i="2"/>
  <c r="J23" i="2"/>
  <c r="L24" i="2"/>
  <c r="C26" i="2"/>
  <c r="C28" i="2"/>
  <c r="N29" i="2"/>
  <c r="B33" i="2"/>
  <c r="M34" i="2"/>
  <c r="F10" i="3"/>
  <c r="K20" i="3"/>
  <c r="R23" i="3"/>
  <c r="O38" i="3"/>
  <c r="H9" i="2"/>
  <c r="C17" i="2"/>
  <c r="P19" i="2"/>
  <c r="L26" i="2"/>
  <c r="K31" i="2"/>
  <c r="C35" i="2"/>
  <c r="N36" i="2"/>
  <c r="B38" i="2"/>
  <c r="M6" i="3"/>
  <c r="G10" i="3"/>
  <c r="H14" i="3"/>
  <c r="L20" i="3"/>
  <c r="D7" i="2"/>
  <c r="E8" i="2"/>
  <c r="B12" i="2"/>
  <c r="I13" i="2"/>
  <c r="G18" i="2"/>
  <c r="K23" i="2"/>
  <c r="P24" i="2"/>
  <c r="D28" i="2"/>
  <c r="K38" i="2"/>
  <c r="Q8" i="3"/>
  <c r="H10" i="3"/>
  <c r="L12" i="3"/>
  <c r="M18" i="3"/>
  <c r="S23" i="3"/>
  <c r="H28" i="3"/>
  <c r="Q20" i="2"/>
  <c r="H8" i="2"/>
  <c r="O9" i="2"/>
  <c r="M14" i="2"/>
  <c r="C16" i="2"/>
  <c r="Q19" i="2"/>
  <c r="H22" i="2"/>
  <c r="F25" i="2"/>
  <c r="Q26" i="2"/>
  <c r="E28" i="2"/>
  <c r="E30" i="2"/>
  <c r="P31" i="2"/>
  <c r="D35" i="2"/>
  <c r="O36" i="2"/>
  <c r="R8" i="3"/>
  <c r="I14" i="3"/>
  <c r="R16" i="3"/>
  <c r="P20" i="3"/>
  <c r="L28" i="3"/>
  <c r="K34" i="3"/>
  <c r="L14" i="2"/>
  <c r="J32" i="1"/>
  <c r="E6" i="2"/>
  <c r="E7" i="2"/>
  <c r="I12" i="2"/>
  <c r="G17" i="2"/>
  <c r="N18" i="2"/>
  <c r="K22" i="2"/>
  <c r="L23" i="2"/>
  <c r="N28" i="2"/>
  <c r="P33" i="2"/>
  <c r="D37" i="2"/>
  <c r="O38" i="2"/>
  <c r="M12" i="3"/>
  <c r="S16" i="3"/>
  <c r="N18" i="3"/>
  <c r="F36" i="3"/>
  <c r="J24" i="1"/>
  <c r="F5" i="2"/>
  <c r="O8" i="2"/>
  <c r="F11" i="2"/>
  <c r="M13" i="2"/>
  <c r="D16" i="2"/>
  <c r="Q18" i="2"/>
  <c r="H21" i="2"/>
  <c r="G25" i="2"/>
  <c r="F30" i="2"/>
  <c r="E35" i="2"/>
  <c r="E7" i="3"/>
  <c r="J21" i="3"/>
  <c r="J36" i="3"/>
  <c r="N22" i="3"/>
  <c r="J25" i="3"/>
  <c r="P32" i="3"/>
  <c r="N36" i="3"/>
  <c r="G6" i="2"/>
  <c r="F7" i="2"/>
  <c r="Q8" i="2"/>
  <c r="K11" i="2"/>
  <c r="E14" i="2"/>
  <c r="E15" i="2"/>
  <c r="P16" i="2"/>
  <c r="J19" i="2"/>
  <c r="J20" i="2"/>
  <c r="D23" i="2"/>
  <c r="D24" i="2"/>
  <c r="K30" i="2"/>
  <c r="L32" i="2"/>
  <c r="D33" i="2"/>
  <c r="N34" i="2"/>
  <c r="N6" i="3"/>
  <c r="K7" i="3"/>
  <c r="M10" i="3"/>
  <c r="F11" i="3"/>
  <c r="S12" i="3"/>
  <c r="I15" i="3"/>
  <c r="P19" i="3"/>
  <c r="S21" i="3"/>
  <c r="E24" i="3"/>
  <c r="N28" i="3"/>
  <c r="R30" i="3"/>
  <c r="I5" i="2"/>
  <c r="I8" i="2"/>
  <c r="I9" i="2"/>
  <c r="C12" i="2"/>
  <c r="N12" i="2"/>
  <c r="C13" i="2"/>
  <c r="N13" i="2"/>
  <c r="H16" i="2"/>
  <c r="H17" i="2"/>
  <c r="H18" i="2"/>
  <c r="B20" i="2"/>
  <c r="M21" i="2"/>
  <c r="B22" i="2"/>
  <c r="M22" i="2"/>
  <c r="M25" i="2"/>
  <c r="E26" i="2"/>
  <c r="O27" i="2"/>
  <c r="P29" i="2"/>
  <c r="H33" i="2"/>
  <c r="J35" i="2"/>
  <c r="B36" i="2"/>
  <c r="P36" i="2"/>
  <c r="L37" i="2"/>
  <c r="M39" i="2"/>
  <c r="O6" i="3"/>
  <c r="R9" i="3"/>
  <c r="N10" i="3"/>
  <c r="Q13" i="3"/>
  <c r="K14" i="3"/>
  <c r="J16" i="3"/>
  <c r="F27" i="3"/>
  <c r="F29" i="3"/>
  <c r="P36" i="3"/>
  <c r="J29" i="1"/>
  <c r="J36" i="1"/>
  <c r="J38" i="1"/>
  <c r="H6" i="2"/>
  <c r="L10" i="2"/>
  <c r="L11" i="2"/>
  <c r="F14" i="2"/>
  <c r="Q14" i="2"/>
  <c r="F15" i="2"/>
  <c r="Q15" i="2"/>
  <c r="Q16" i="2"/>
  <c r="K18" i="2"/>
  <c r="K19" i="2"/>
  <c r="K20" i="2"/>
  <c r="E22" i="2"/>
  <c r="E23" i="2"/>
  <c r="P23" i="2"/>
  <c r="E24" i="2"/>
  <c r="J28" i="2"/>
  <c r="B29" i="2"/>
  <c r="L30" i="2"/>
  <c r="G31" i="2"/>
  <c r="N32" i="2"/>
  <c r="O34" i="2"/>
  <c r="Q36" i="2"/>
  <c r="G38" i="2"/>
  <c r="I5" i="3"/>
  <c r="P6" i="3"/>
  <c r="L7" i="3"/>
  <c r="I8" i="3"/>
  <c r="K11" i="3"/>
  <c r="L15" i="3"/>
  <c r="I17" i="3"/>
  <c r="M24" i="3"/>
  <c r="N25" i="3"/>
  <c r="H35" i="3"/>
  <c r="H37" i="3"/>
  <c r="J35" i="1"/>
  <c r="K10" i="2"/>
  <c r="P15" i="2"/>
  <c r="H5" i="3"/>
  <c r="J14" i="3"/>
  <c r="Q20" i="3"/>
  <c r="J22" i="1"/>
  <c r="J25" i="1"/>
  <c r="B5" i="2"/>
  <c r="L5" i="2"/>
  <c r="J7" i="2"/>
  <c r="J8" i="2"/>
  <c r="D11" i="2"/>
  <c r="D12" i="2"/>
  <c r="O12" i="2"/>
  <c r="O13" i="2"/>
  <c r="I16" i="2"/>
  <c r="I17" i="2"/>
  <c r="C20" i="2"/>
  <c r="N20" i="2"/>
  <c r="C21" i="2"/>
  <c r="N21" i="2"/>
  <c r="N22" i="2"/>
  <c r="N25" i="2"/>
  <c r="I26" i="2"/>
  <c r="P27" i="2"/>
  <c r="K28" i="2"/>
  <c r="E34" i="2"/>
  <c r="K35" i="2"/>
  <c r="F36" i="2"/>
  <c r="M37" i="2"/>
  <c r="H38" i="2"/>
  <c r="O39" i="2"/>
  <c r="M7" i="3"/>
  <c r="S9" i="3"/>
  <c r="P10" i="3"/>
  <c r="L11" i="3"/>
  <c r="R13" i="3"/>
  <c r="Q14" i="3"/>
  <c r="K16" i="3"/>
  <c r="G23" i="3"/>
  <c r="G27" i="3"/>
  <c r="J29" i="3"/>
  <c r="F33" i="3"/>
  <c r="Q6" i="2"/>
  <c r="Q24" i="2"/>
  <c r="Q31" i="2"/>
  <c r="N14" i="2"/>
  <c r="K6" i="2"/>
  <c r="B8" i="2"/>
  <c r="B9" i="2"/>
  <c r="M9" i="2"/>
  <c r="B10" i="2"/>
  <c r="M10" i="2"/>
  <c r="G13" i="2"/>
  <c r="G14" i="2"/>
  <c r="L18" i="2"/>
  <c r="L19" i="2"/>
  <c r="F22" i="2"/>
  <c r="Q22" i="2"/>
  <c r="F23" i="2"/>
  <c r="Q23" i="2"/>
  <c r="I24" i="2"/>
  <c r="E27" i="2"/>
  <c r="G29" i="2"/>
  <c r="M30" i="2"/>
  <c r="I31" i="2"/>
  <c r="O32" i="2"/>
  <c r="J33" i="2"/>
  <c r="Q34" i="2"/>
  <c r="B37" i="2"/>
  <c r="D39" i="2"/>
  <c r="J5" i="3"/>
  <c r="N7" i="3"/>
  <c r="J8" i="3"/>
  <c r="G9" i="3"/>
  <c r="I12" i="3"/>
  <c r="S13" i="3"/>
  <c r="M15" i="3"/>
  <c r="J17" i="3"/>
  <c r="I18" i="3"/>
  <c r="N24" i="3"/>
  <c r="H27" i="3"/>
  <c r="O29" i="3"/>
  <c r="Q31" i="3"/>
  <c r="G33" i="3"/>
  <c r="I35" i="3"/>
  <c r="L37" i="3"/>
  <c r="Q7" i="2"/>
  <c r="J30" i="1"/>
  <c r="C5" i="2"/>
  <c r="M5" i="2"/>
  <c r="K7" i="2"/>
  <c r="K8" i="2"/>
  <c r="E10" i="2"/>
  <c r="E11" i="2"/>
  <c r="P11" i="2"/>
  <c r="E12" i="2"/>
  <c r="P12" i="2"/>
  <c r="J15" i="2"/>
  <c r="J16" i="2"/>
  <c r="D19" i="2"/>
  <c r="D20" i="2"/>
  <c r="O20" i="2"/>
  <c r="O21" i="2"/>
  <c r="D25" i="2"/>
  <c r="K26" i="2"/>
  <c r="Q27" i="2"/>
  <c r="L28" i="2"/>
  <c r="N30" i="2"/>
  <c r="D32" i="2"/>
  <c r="F34" i="2"/>
  <c r="H36" i="2"/>
  <c r="N37" i="2"/>
  <c r="I38" i="2"/>
  <c r="K5" i="3"/>
  <c r="F6" i="3"/>
  <c r="K8" i="3"/>
  <c r="Q10" i="3"/>
  <c r="N11" i="3"/>
  <c r="J12" i="3"/>
  <c r="L16" i="3"/>
  <c r="K17" i="3"/>
  <c r="E19" i="3"/>
  <c r="F21" i="3"/>
  <c r="H22" i="3"/>
  <c r="I23" i="3"/>
  <c r="J35" i="3"/>
  <c r="Q37" i="3"/>
  <c r="S39" i="3"/>
  <c r="K12" i="2"/>
  <c r="E16" i="2"/>
  <c r="C31" i="2"/>
  <c r="J26" i="1"/>
  <c r="B6" i="2"/>
  <c r="L6" i="2"/>
  <c r="C8" i="2"/>
  <c r="N8" i="2"/>
  <c r="C9" i="2"/>
  <c r="N9" i="2"/>
  <c r="N10" i="2"/>
  <c r="H12" i="2"/>
  <c r="H13" i="2"/>
  <c r="H14" i="2"/>
  <c r="B16" i="2"/>
  <c r="B17" i="2"/>
  <c r="M17" i="2"/>
  <c r="B18" i="2"/>
  <c r="M18" i="2"/>
  <c r="G21" i="2"/>
  <c r="G22" i="2"/>
  <c r="J24" i="2"/>
  <c r="P25" i="2"/>
  <c r="B28" i="2"/>
  <c r="H29" i="2"/>
  <c r="C30" i="2"/>
  <c r="J31" i="2"/>
  <c r="E32" i="2"/>
  <c r="L33" i="2"/>
  <c r="M35" i="2"/>
  <c r="E39" i="2"/>
  <c r="S7" i="3"/>
  <c r="L8" i="3"/>
  <c r="H9" i="3"/>
  <c r="E10" i="3"/>
  <c r="G13" i="3"/>
  <c r="S15" i="3"/>
  <c r="M16" i="3"/>
  <c r="L18" i="3"/>
  <c r="G21" i="3"/>
  <c r="P24" i="3"/>
  <c r="R31" i="3"/>
  <c r="D5" i="2"/>
  <c r="J5" i="2"/>
  <c r="P5" i="2"/>
  <c r="G7" i="2"/>
  <c r="M7" i="2"/>
  <c r="D9" i="2"/>
  <c r="J9" i="2"/>
  <c r="P9" i="2"/>
  <c r="G11" i="2"/>
  <c r="M11" i="2"/>
  <c r="J13" i="2"/>
  <c r="P13" i="2"/>
  <c r="G15" i="2"/>
  <c r="M15" i="2"/>
  <c r="D17" i="2"/>
  <c r="J17" i="2"/>
  <c r="P17" i="2"/>
  <c r="G19" i="2"/>
  <c r="M19" i="2"/>
  <c r="D21" i="2"/>
  <c r="J21" i="2"/>
  <c r="P21" i="2"/>
  <c r="G23" i="2"/>
  <c r="M23" i="2"/>
  <c r="M24" i="2"/>
  <c r="M26" i="2"/>
  <c r="J27" i="2"/>
  <c r="F28" i="2"/>
  <c r="G30" i="2"/>
  <c r="O30" i="2"/>
  <c r="D31" i="2"/>
  <c r="P32" i="2"/>
  <c r="M33" i="2"/>
  <c r="I34" i="2"/>
  <c r="J36" i="2"/>
  <c r="G37" i="2"/>
  <c r="C38" i="2"/>
  <c r="P39" i="2"/>
  <c r="L5" i="3"/>
  <c r="H6" i="3"/>
  <c r="R6" i="3"/>
  <c r="F7" i="3"/>
  <c r="P7" i="3"/>
  <c r="N8" i="3"/>
  <c r="L9" i="3"/>
  <c r="J10" i="3"/>
  <c r="R10" i="3"/>
  <c r="H11" i="3"/>
  <c r="P11" i="3"/>
  <c r="F12" i="3"/>
  <c r="N12" i="3"/>
  <c r="L13" i="3"/>
  <c r="N14" i="3"/>
  <c r="O17" i="3"/>
  <c r="F18" i="3"/>
  <c r="O18" i="3"/>
  <c r="R20" i="3"/>
  <c r="L21" i="3"/>
  <c r="E22" i="3"/>
  <c r="P22" i="3"/>
  <c r="J23" i="3"/>
  <c r="F24" i="3"/>
  <c r="N26" i="3"/>
  <c r="P27" i="3"/>
  <c r="P28" i="3"/>
  <c r="I32" i="3"/>
  <c r="L34" i="3"/>
  <c r="R35" i="3"/>
  <c r="R36" i="3"/>
  <c r="C6" i="2"/>
  <c r="I6" i="2"/>
  <c r="O6" i="2"/>
  <c r="F8" i="2"/>
  <c r="L8" i="2"/>
  <c r="C10" i="2"/>
  <c r="I10" i="2"/>
  <c r="O10" i="2"/>
  <c r="F12" i="2"/>
  <c r="L12" i="2"/>
  <c r="C14" i="2"/>
  <c r="I14" i="2"/>
  <c r="O14" i="2"/>
  <c r="F16" i="2"/>
  <c r="L16" i="2"/>
  <c r="C18" i="2"/>
  <c r="I18" i="2"/>
  <c r="O18" i="2"/>
  <c r="F20" i="2"/>
  <c r="L20" i="2"/>
  <c r="C22" i="2"/>
  <c r="I22" i="2"/>
  <c r="O22" i="2"/>
  <c r="F24" i="2"/>
  <c r="F26" i="2"/>
  <c r="N26" i="2"/>
  <c r="C27" i="2"/>
  <c r="O28" i="2"/>
  <c r="L29" i="2"/>
  <c r="H30" i="2"/>
  <c r="I32" i="2"/>
  <c r="Q32" i="2"/>
  <c r="F33" i="2"/>
  <c r="B34" i="2"/>
  <c r="O35" i="2"/>
  <c r="C36" i="2"/>
  <c r="K36" i="2"/>
  <c r="L38" i="2"/>
  <c r="I39" i="2"/>
  <c r="E5" i="3"/>
  <c r="I6" i="3"/>
  <c r="G7" i="3"/>
  <c r="E8" i="3"/>
  <c r="S10" i="3"/>
  <c r="Q11" i="3"/>
  <c r="O12" i="3"/>
  <c r="M13" i="3"/>
  <c r="N15" i="3"/>
  <c r="E16" i="3"/>
  <c r="P16" i="3"/>
  <c r="E17" i="3"/>
  <c r="F19" i="3"/>
  <c r="Q19" i="3"/>
  <c r="I20" i="3"/>
  <c r="F31" i="3"/>
  <c r="L33" i="3"/>
  <c r="N34" i="3"/>
  <c r="H39" i="3"/>
  <c r="J31" i="1"/>
  <c r="J34" i="1"/>
  <c r="J37" i="1"/>
  <c r="E5" i="2"/>
  <c r="K5" i="2"/>
  <c r="Q5" i="2"/>
  <c r="B7" i="2"/>
  <c r="H7" i="2"/>
  <c r="N7" i="2"/>
  <c r="E9" i="2"/>
  <c r="K9" i="2"/>
  <c r="Q9" i="2"/>
  <c r="B11" i="2"/>
  <c r="H11" i="2"/>
  <c r="N11" i="2"/>
  <c r="E13" i="2"/>
  <c r="K13" i="2"/>
  <c r="Q13" i="2"/>
  <c r="B15" i="2"/>
  <c r="H15" i="2"/>
  <c r="N15" i="2"/>
  <c r="E17" i="2"/>
  <c r="K17" i="2"/>
  <c r="Q17" i="2"/>
  <c r="B19" i="2"/>
  <c r="H19" i="2"/>
  <c r="N19" i="2"/>
  <c r="E21" i="2"/>
  <c r="K21" i="2"/>
  <c r="Q21" i="2"/>
  <c r="B23" i="2"/>
  <c r="H23" i="2"/>
  <c r="N23" i="2"/>
  <c r="G24" i="2"/>
  <c r="N24" i="2"/>
  <c r="B25" i="2"/>
  <c r="J25" i="2"/>
  <c r="K27" i="2"/>
  <c r="H28" i="2"/>
  <c r="D29" i="2"/>
  <c r="Q30" i="2"/>
  <c r="E31" i="2"/>
  <c r="M31" i="2"/>
  <c r="B32" i="2"/>
  <c r="N33" i="2"/>
  <c r="K34" i="2"/>
  <c r="G35" i="2"/>
  <c r="H37" i="2"/>
  <c r="P37" i="2"/>
  <c r="E38" i="2"/>
  <c r="Q39" i="2"/>
  <c r="N5" i="3"/>
  <c r="J6" i="3"/>
  <c r="S6" i="3"/>
  <c r="H7" i="3"/>
  <c r="Q7" i="3"/>
  <c r="F8" i="3"/>
  <c r="O8" i="3"/>
  <c r="M9" i="3"/>
  <c r="K10" i="3"/>
  <c r="I11" i="3"/>
  <c r="R11" i="3"/>
  <c r="G12" i="3"/>
  <c r="P12" i="3"/>
  <c r="E13" i="3"/>
  <c r="O14" i="3"/>
  <c r="F15" i="3"/>
  <c r="O15" i="3"/>
  <c r="P17" i="3"/>
  <c r="G18" i="3"/>
  <c r="R18" i="3"/>
  <c r="G19" i="3"/>
  <c r="M21" i="3"/>
  <c r="F22" i="3"/>
  <c r="S22" i="3"/>
  <c r="G24" i="3"/>
  <c r="R27" i="3"/>
  <c r="P33" i="3"/>
  <c r="E37" i="3"/>
  <c r="D6" i="2"/>
  <c r="J6" i="2"/>
  <c r="P6" i="2"/>
  <c r="G8" i="2"/>
  <c r="M8" i="2"/>
  <c r="D10" i="2"/>
  <c r="J10" i="2"/>
  <c r="P10" i="2"/>
  <c r="G12" i="2"/>
  <c r="M12" i="2"/>
  <c r="D14" i="2"/>
  <c r="J14" i="2"/>
  <c r="P14" i="2"/>
  <c r="G16" i="2"/>
  <c r="M16" i="2"/>
  <c r="D18" i="2"/>
  <c r="J18" i="2"/>
  <c r="P18" i="2"/>
  <c r="G20" i="2"/>
  <c r="M20" i="2"/>
  <c r="D22" i="2"/>
  <c r="J22" i="2"/>
  <c r="P22" i="2"/>
  <c r="G26" i="2"/>
  <c r="O26" i="2"/>
  <c r="D27" i="2"/>
  <c r="P28" i="2"/>
  <c r="M29" i="2"/>
  <c r="I30" i="2"/>
  <c r="J32" i="2"/>
  <c r="G33" i="2"/>
  <c r="C34" i="2"/>
  <c r="P35" i="2"/>
  <c r="D36" i="2"/>
  <c r="L36" i="2"/>
  <c r="M38" i="2"/>
  <c r="J39" i="2"/>
  <c r="F5" i="3"/>
  <c r="P13" i="3"/>
  <c r="E14" i="3"/>
  <c r="F16" i="3"/>
  <c r="Q16" i="3"/>
  <c r="H17" i="3"/>
  <c r="Q17" i="3"/>
  <c r="R19" i="3"/>
  <c r="J20" i="3"/>
  <c r="N21" i="3"/>
  <c r="P23" i="3"/>
  <c r="S27" i="3"/>
  <c r="H31" i="3"/>
  <c r="N32" i="3"/>
  <c r="R34" i="3"/>
  <c r="J39" i="3"/>
  <c r="C7" i="2"/>
  <c r="I7" i="2"/>
  <c r="O7" i="2"/>
  <c r="F9" i="2"/>
  <c r="L9" i="2"/>
  <c r="C11" i="2"/>
  <c r="I11" i="2"/>
  <c r="O11" i="2"/>
  <c r="F13" i="2"/>
  <c r="L13" i="2"/>
  <c r="C15" i="2"/>
  <c r="I15" i="2"/>
  <c r="O15" i="2"/>
  <c r="F17" i="2"/>
  <c r="L17" i="2"/>
  <c r="I19" i="2"/>
  <c r="O19" i="2"/>
  <c r="F21" i="2"/>
  <c r="L21" i="2"/>
  <c r="C23" i="2"/>
  <c r="I23" i="2"/>
  <c r="O23" i="2"/>
  <c r="H24" i="2"/>
  <c r="O24" i="2"/>
  <c r="L25" i="2"/>
  <c r="H26" i="2"/>
  <c r="I28" i="2"/>
  <c r="Q28" i="2"/>
  <c r="F29" i="2"/>
  <c r="B30" i="2"/>
  <c r="O31" i="2"/>
  <c r="C32" i="2"/>
  <c r="K32" i="2"/>
  <c r="L34" i="2"/>
  <c r="I35" i="2"/>
  <c r="E36" i="2"/>
  <c r="F38" i="2"/>
  <c r="N38" i="2"/>
  <c r="C39" i="2"/>
  <c r="O5" i="3"/>
  <c r="L6" i="3"/>
  <c r="J7" i="3"/>
  <c r="R7" i="3"/>
  <c r="H8" i="3"/>
  <c r="P8" i="3"/>
  <c r="F9" i="3"/>
  <c r="N9" i="3"/>
  <c r="L10" i="3"/>
  <c r="J11" i="3"/>
  <c r="H12" i="3"/>
  <c r="R12" i="3"/>
  <c r="F13" i="3"/>
  <c r="P14" i="3"/>
  <c r="G15" i="3"/>
  <c r="R15" i="3"/>
  <c r="G16" i="3"/>
  <c r="H18" i="3"/>
  <c r="S18" i="3"/>
  <c r="J19" i="3"/>
  <c r="S19" i="3"/>
  <c r="G22" i="3"/>
  <c r="E25" i="3"/>
  <c r="J30" i="3"/>
  <c r="J31" i="3"/>
  <c r="F37" i="3"/>
  <c r="L38" i="3"/>
  <c r="L39" i="3"/>
  <c r="C25" i="2"/>
  <c r="I25" i="2"/>
  <c r="O25" i="2"/>
  <c r="F27" i="2"/>
  <c r="L27" i="2"/>
  <c r="C29" i="2"/>
  <c r="I29" i="2"/>
  <c r="O29" i="2"/>
  <c r="F31" i="2"/>
  <c r="L31" i="2"/>
  <c r="C33" i="2"/>
  <c r="I33" i="2"/>
  <c r="O33" i="2"/>
  <c r="F35" i="2"/>
  <c r="L35" i="2"/>
  <c r="C37" i="2"/>
  <c r="I37" i="2"/>
  <c r="O37" i="2"/>
  <c r="F39" i="2"/>
  <c r="L39" i="2"/>
  <c r="E20" i="3"/>
  <c r="L23" i="3"/>
  <c r="H24" i="3"/>
  <c r="R24" i="3"/>
  <c r="F25" i="3"/>
  <c r="P25" i="3"/>
  <c r="F26" i="3"/>
  <c r="R26" i="3"/>
  <c r="F20" i="3"/>
  <c r="M23" i="3"/>
  <c r="K24" i="3"/>
  <c r="S24" i="3"/>
  <c r="H25" i="3"/>
  <c r="Q25" i="3"/>
  <c r="I26" i="3"/>
  <c r="J27" i="3"/>
  <c r="Q28" i="3"/>
  <c r="D30" i="3"/>
  <c r="K31" i="3"/>
  <c r="R32" i="3"/>
  <c r="E34" i="3"/>
  <c r="L35" i="3"/>
  <c r="S36" i="3"/>
  <c r="F38" i="3"/>
  <c r="M39" i="3"/>
  <c r="N13" i="3"/>
  <c r="F14" i="3"/>
  <c r="L14" i="3"/>
  <c r="R14" i="3"/>
  <c r="J15" i="3"/>
  <c r="P15" i="3"/>
  <c r="H16" i="3"/>
  <c r="N16" i="3"/>
  <c r="F17" i="3"/>
  <c r="L17" i="3"/>
  <c r="R17" i="3"/>
  <c r="J18" i="3"/>
  <c r="P18" i="3"/>
  <c r="H19" i="3"/>
  <c r="N19" i="3"/>
  <c r="G20" i="3"/>
  <c r="N20" i="3"/>
  <c r="H21" i="3"/>
  <c r="O21" i="3"/>
  <c r="J22" i="3"/>
  <c r="Q22" i="3"/>
  <c r="E28" i="3"/>
  <c r="L29" i="3"/>
  <c r="S30" i="3"/>
  <c r="F32" i="3"/>
  <c r="M33" i="3"/>
  <c r="G36" i="3"/>
  <c r="N37" i="3"/>
  <c r="E25" i="2"/>
  <c r="K25" i="2"/>
  <c r="Q25" i="2"/>
  <c r="B27" i="2"/>
  <c r="H27" i="2"/>
  <c r="N27" i="2"/>
  <c r="E29" i="2"/>
  <c r="K29" i="2"/>
  <c r="Q29" i="2"/>
  <c r="B31" i="2"/>
  <c r="H31" i="2"/>
  <c r="N31" i="2"/>
  <c r="E33" i="2"/>
  <c r="K33" i="2"/>
  <c r="Q33" i="2"/>
  <c r="B35" i="2"/>
  <c r="H35" i="2"/>
  <c r="N35" i="2"/>
  <c r="E37" i="2"/>
  <c r="K37" i="2"/>
  <c r="Q37" i="2"/>
  <c r="B39" i="2"/>
  <c r="H39" i="2"/>
  <c r="N39" i="2"/>
  <c r="F23" i="3"/>
  <c r="N23" i="3"/>
  <c r="L24" i="3"/>
  <c r="I25" i="3"/>
  <c r="R25" i="3"/>
  <c r="J26" i="3"/>
  <c r="D26" i="2"/>
  <c r="J26" i="2"/>
  <c r="P26" i="2"/>
  <c r="G28" i="2"/>
  <c r="M28" i="2"/>
  <c r="D30" i="2"/>
  <c r="J30" i="2"/>
  <c r="P30" i="2"/>
  <c r="G32" i="2"/>
  <c r="M32" i="2"/>
  <c r="D34" i="2"/>
  <c r="J34" i="2"/>
  <c r="P34" i="2"/>
  <c r="G36" i="2"/>
  <c r="M36" i="2"/>
  <c r="D38" i="2"/>
  <c r="J38" i="2"/>
  <c r="P38" i="2"/>
  <c r="G5" i="3"/>
  <c r="M5" i="3"/>
  <c r="S5" i="3"/>
  <c r="E6" i="3"/>
  <c r="K6" i="3"/>
  <c r="Q6" i="3"/>
  <c r="I7" i="3"/>
  <c r="O7" i="3"/>
  <c r="G8" i="3"/>
  <c r="M8" i="3"/>
  <c r="S8" i="3"/>
  <c r="E9" i="3"/>
  <c r="K9" i="3"/>
  <c r="Q9" i="3"/>
  <c r="I10" i="3"/>
  <c r="O10" i="3"/>
  <c r="G11" i="3"/>
  <c r="M11" i="3"/>
  <c r="S11" i="3"/>
  <c r="E12" i="3"/>
  <c r="K12" i="3"/>
  <c r="Q12" i="3"/>
  <c r="I13" i="3"/>
  <c r="O13" i="3"/>
  <c r="G14" i="3"/>
  <c r="M14" i="3"/>
  <c r="S14" i="3"/>
  <c r="E15" i="3"/>
  <c r="K15" i="3"/>
  <c r="Q15" i="3"/>
  <c r="I16" i="3"/>
  <c r="O16" i="3"/>
  <c r="G17" i="3"/>
  <c r="M17" i="3"/>
  <c r="S17" i="3"/>
  <c r="E18" i="3"/>
  <c r="K18" i="3"/>
  <c r="Q18" i="3"/>
  <c r="I19" i="3"/>
  <c r="O19" i="3"/>
  <c r="H20" i="3"/>
  <c r="O20" i="3"/>
  <c r="I21" i="3"/>
  <c r="P21" i="3"/>
  <c r="K22" i="3"/>
  <c r="R22" i="3"/>
  <c r="N27" i="3"/>
  <c r="F28" i="3"/>
  <c r="N29" i="3"/>
  <c r="H30" i="3"/>
  <c r="P31" i="3"/>
  <c r="H32" i="3"/>
  <c r="N33" i="3"/>
  <c r="J34" i="3"/>
  <c r="P35" i="3"/>
  <c r="H36" i="3"/>
  <c r="P37" i="3"/>
  <c r="J38" i="3"/>
  <c r="R39" i="3"/>
  <c r="H23" i="3"/>
  <c r="O23" i="3"/>
  <c r="J24" i="3"/>
  <c r="Q24" i="3"/>
  <c r="K25" i="3"/>
  <c r="O26" i="3"/>
  <c r="L27" i="3"/>
  <c r="J28" i="3"/>
  <c r="R28" i="3"/>
  <c r="H29" i="3"/>
  <c r="P29" i="3"/>
  <c r="F30" i="3"/>
  <c r="N30" i="3"/>
  <c r="L31" i="3"/>
  <c r="J32" i="3"/>
  <c r="H33" i="3"/>
  <c r="R33" i="3"/>
  <c r="F34" i="3"/>
  <c r="P34" i="3"/>
  <c r="N35" i="3"/>
  <c r="L36" i="3"/>
  <c r="J37" i="3"/>
  <c r="R37" i="3"/>
  <c r="H38" i="3"/>
  <c r="P38" i="3"/>
  <c r="F39" i="3"/>
  <c r="N39" i="3"/>
  <c r="M20" i="3"/>
  <c r="S20" i="3"/>
  <c r="E21" i="3"/>
  <c r="K21" i="3"/>
  <c r="Q21" i="3"/>
  <c r="I22" i="3"/>
  <c r="O22" i="3"/>
  <c r="H26" i="3"/>
  <c r="L25" i="3"/>
  <c r="P26" i="3"/>
  <c r="M27" i="3"/>
  <c r="K28" i="3"/>
  <c r="I29" i="3"/>
  <c r="R29" i="3"/>
  <c r="G30" i="3"/>
  <c r="P30" i="3"/>
  <c r="E31" i="3"/>
  <c r="N31" i="3"/>
  <c r="L32" i="3"/>
  <c r="J33" i="3"/>
  <c r="S33" i="3"/>
  <c r="H34" i="3"/>
  <c r="Q34" i="3"/>
  <c r="F35" i="3"/>
  <c r="O35" i="3"/>
  <c r="M36" i="3"/>
  <c r="K37" i="3"/>
  <c r="I38" i="3"/>
  <c r="R38" i="3"/>
  <c r="G39" i="3"/>
  <c r="P39" i="3"/>
  <c r="E23" i="3"/>
  <c r="K23" i="3"/>
  <c r="Q23" i="3"/>
  <c r="I24" i="3"/>
  <c r="O24" i="3"/>
  <c r="G25" i="3"/>
  <c r="M25" i="3"/>
  <c r="S25" i="3"/>
  <c r="E26" i="3"/>
  <c r="K26" i="3"/>
  <c r="Q26" i="3"/>
  <c r="I27" i="3"/>
  <c r="O27" i="3"/>
  <c r="G28" i="3"/>
  <c r="M28" i="3"/>
  <c r="S28" i="3"/>
  <c r="E29" i="3"/>
  <c r="K29" i="3"/>
  <c r="Q29" i="3"/>
  <c r="I30" i="3"/>
  <c r="O30" i="3"/>
  <c r="G31" i="3"/>
  <c r="M31" i="3"/>
  <c r="S31" i="3"/>
  <c r="E32" i="3"/>
  <c r="K32" i="3"/>
  <c r="Q32" i="3"/>
  <c r="I33" i="3"/>
  <c r="O33" i="3"/>
  <c r="G34" i="3"/>
  <c r="M34" i="3"/>
  <c r="S34" i="3"/>
  <c r="E35" i="3"/>
  <c r="K35" i="3"/>
  <c r="Q35" i="3"/>
  <c r="I36" i="3"/>
  <c r="O36" i="3"/>
  <c r="G37" i="3"/>
  <c r="M37" i="3"/>
  <c r="S37" i="3"/>
  <c r="E38" i="3"/>
  <c r="K38" i="3"/>
  <c r="Q38" i="3"/>
  <c r="I39" i="3"/>
  <c r="O39" i="3"/>
  <c r="O25" i="3"/>
  <c r="G26" i="3"/>
  <c r="M26" i="3"/>
  <c r="S26" i="3"/>
  <c r="E27" i="3"/>
  <c r="K27" i="3"/>
  <c r="Q27" i="3"/>
  <c r="I28" i="3"/>
  <c r="O28" i="3"/>
  <c r="G29" i="3"/>
  <c r="M29" i="3"/>
  <c r="S29" i="3"/>
  <c r="E30" i="3"/>
  <c r="K30" i="3"/>
  <c r="Q30" i="3"/>
  <c r="I31" i="3"/>
  <c r="O31" i="3"/>
  <c r="G32" i="3"/>
  <c r="M32" i="3"/>
  <c r="S32" i="3"/>
  <c r="E33" i="3"/>
  <c r="K33" i="3"/>
  <c r="Q33" i="3"/>
  <c r="I34" i="3"/>
  <c r="O34" i="3"/>
  <c r="G35" i="3"/>
  <c r="M35" i="3"/>
  <c r="S35" i="3"/>
  <c r="E36" i="3"/>
  <c r="K36" i="3"/>
  <c r="Q36" i="3"/>
  <c r="I37" i="3"/>
  <c r="O37" i="3"/>
  <c r="G38" i="3"/>
  <c r="M38" i="3"/>
  <c r="S38" i="3"/>
  <c r="E39" i="3"/>
  <c r="K39" i="3"/>
  <c r="Q39" i="3"/>
  <c r="AB20" i="4"/>
  <c r="AA20" i="4"/>
  <c r="AD26" i="9"/>
  <c r="AD38" i="9"/>
  <c r="AB38" i="9"/>
  <c r="AA38" i="9"/>
  <c r="D38" i="9"/>
  <c r="AD30" i="9"/>
  <c r="AB24" i="5"/>
  <c r="AA24" i="5"/>
  <c r="D24" i="5"/>
  <c r="B23" i="6"/>
  <c r="AD42" i="7"/>
  <c r="AA42" i="7"/>
  <c r="D42" i="7"/>
  <c r="AB42" i="7"/>
  <c r="AA38" i="7"/>
  <c r="G7" i="5"/>
  <c r="B12" i="5"/>
  <c r="AA13" i="5"/>
  <c r="AD13" i="5"/>
  <c r="A13" i="5" s="1"/>
  <c r="AB13" i="5"/>
  <c r="D13" i="5"/>
  <c r="AA15" i="10"/>
  <c r="AD15" i="10"/>
  <c r="AB15" i="10"/>
  <c r="D15" i="10"/>
  <c r="AD23" i="10"/>
  <c r="AD13" i="10"/>
  <c r="AD19" i="10"/>
  <c r="D17" i="10"/>
  <c r="AD26" i="10"/>
  <c r="AA19" i="10"/>
  <c r="AA22" i="10"/>
  <c r="AD42" i="10"/>
  <c r="AA42" i="10"/>
  <c r="AD11" i="10"/>
  <c r="D14" i="10"/>
  <c r="AA29" i="10"/>
  <c r="AD17" i="10"/>
  <c r="D29" i="10"/>
  <c r="D36" i="10"/>
  <c r="AA11" i="10"/>
  <c r="AA37" i="9"/>
  <c r="AD17" i="5"/>
  <c r="A17" i="5" s="1"/>
  <c r="AA25" i="5"/>
  <c r="AD25" i="5"/>
  <c r="A25" i="5" s="1"/>
  <c r="AB25" i="5"/>
  <c r="D25" i="5"/>
  <c r="AD17" i="8"/>
  <c r="AB17" i="8"/>
  <c r="AA17" i="8"/>
  <c r="D17" i="8"/>
  <c r="AD28" i="8"/>
  <c r="AD12" i="8"/>
  <c r="AA14" i="8"/>
  <c r="AA28" i="8"/>
  <c r="AD20" i="8"/>
  <c r="D12" i="8"/>
  <c r="AD26" i="8"/>
  <c r="AA33" i="8"/>
  <c r="AA37" i="8"/>
  <c r="AA20" i="8"/>
  <c r="AA27" i="4"/>
  <c r="AB27" i="4"/>
  <c r="AA23" i="10"/>
  <c r="AB17" i="4"/>
  <c r="D17" i="4"/>
  <c r="AB39" i="4"/>
  <c r="D39" i="4"/>
  <c r="D25" i="7"/>
  <c r="AB24" i="9"/>
  <c r="D24" i="9"/>
  <c r="AD24" i="9"/>
  <c r="AA24" i="9"/>
  <c r="AD18" i="9"/>
  <c r="AD10" i="9"/>
  <c r="AD33" i="9"/>
  <c r="AA10" i="9"/>
  <c r="AD20" i="9"/>
  <c r="D13" i="9"/>
  <c r="AD31" i="9"/>
  <c r="AB31" i="9"/>
  <c r="D31" i="9"/>
  <c r="AA31" i="9"/>
  <c r="AD44" i="11"/>
  <c r="AB44" i="11"/>
  <c r="AA44" i="11"/>
  <c r="D44" i="11"/>
  <c r="AB28" i="12"/>
  <c r="AD28" i="12"/>
  <c r="AA28" i="12"/>
  <c r="AD41" i="5"/>
  <c r="A41" i="5" s="1"/>
  <c r="AB41" i="5"/>
  <c r="AA41" i="5"/>
  <c r="AB20" i="7"/>
  <c r="AD20" i="7"/>
  <c r="AA20" i="7"/>
  <c r="D20" i="7"/>
  <c r="D17" i="7"/>
  <c r="AA10" i="7"/>
  <c r="AB16" i="12"/>
  <c r="AA16" i="12"/>
  <c r="AB20" i="12"/>
  <c r="AA20" i="12"/>
  <c r="D20" i="12"/>
  <c r="AD20" i="12"/>
  <c r="AD17" i="13"/>
  <c r="AA17" i="13"/>
  <c r="AB17" i="13"/>
  <c r="D17" i="13"/>
  <c r="AA19" i="13"/>
  <c r="D41" i="5"/>
  <c r="AD44" i="8"/>
  <c r="AB44" i="8"/>
  <c r="AA44" i="8"/>
  <c r="D44" i="8"/>
  <c r="AB13" i="12"/>
  <c r="AD13" i="12"/>
  <c r="AA13" i="12"/>
  <c r="AB44" i="6"/>
  <c r="AD44" i="6"/>
  <c r="AA41" i="11"/>
  <c r="D41" i="11"/>
  <c r="AD41" i="11"/>
  <c r="AB41" i="11"/>
  <c r="AD36" i="11"/>
  <c r="AD12" i="11"/>
  <c r="AD37" i="4"/>
  <c r="A37" i="4" s="1"/>
  <c r="AB37" i="4"/>
  <c r="AA31" i="5"/>
  <c r="D31" i="5"/>
  <c r="AD39" i="7"/>
  <c r="AB39" i="7"/>
  <c r="AA39" i="7"/>
  <c r="D39" i="7"/>
  <c r="AD43" i="9"/>
  <c r="AB43" i="9"/>
  <c r="AA43" i="9"/>
  <c r="D43" i="9"/>
  <c r="AB42" i="19"/>
  <c r="AB21" i="4"/>
  <c r="AB19" i="5"/>
  <c r="AA19" i="5"/>
  <c r="D19" i="5"/>
  <c r="AD19" i="5"/>
  <c r="A19" i="5" s="1"/>
  <c r="AB14" i="7"/>
  <c r="AD14" i="7"/>
  <c r="AA14" i="7"/>
  <c r="D14" i="7"/>
  <c r="D28" i="7"/>
  <c r="AD36" i="7"/>
  <c r="AB36" i="7"/>
  <c r="AA36" i="7"/>
  <c r="D36" i="7"/>
  <c r="AB22" i="11"/>
  <c r="AD22" i="11"/>
  <c r="AA22" i="11"/>
  <c r="D22" i="11"/>
  <c r="AD33" i="11"/>
  <c r="AD23" i="11"/>
  <c r="AD30" i="11"/>
  <c r="AA14" i="11"/>
  <c r="AA33" i="11"/>
  <c r="AD37" i="11"/>
  <c r="AB37" i="11"/>
  <c r="AA37" i="11"/>
  <c r="D37" i="11"/>
  <c r="AB21" i="12"/>
  <c r="AD31" i="18"/>
  <c r="AB31" i="18"/>
  <c r="D31" i="18"/>
  <c r="AA31" i="18"/>
  <c r="AD23" i="18"/>
  <c r="F7" i="18"/>
  <c r="AD17" i="18"/>
  <c r="AD31" i="5"/>
  <c r="A31" i="5" s="1"/>
  <c r="AB14" i="6"/>
  <c r="G7" i="7"/>
  <c r="D32" i="7"/>
  <c r="G7" i="11"/>
  <c r="AB15" i="4"/>
  <c r="AD38" i="5"/>
  <c r="A38" i="5" s="1"/>
  <c r="AB38" i="5"/>
  <c r="AA38" i="5"/>
  <c r="D38" i="5"/>
  <c r="AB11" i="6"/>
  <c r="D43" i="6"/>
  <c r="D37" i="6"/>
  <c r="D31" i="6"/>
  <c r="AD41" i="6"/>
  <c r="AD11" i="6"/>
  <c r="AD34" i="6"/>
  <c r="AD28" i="6"/>
  <c r="AA17" i="7"/>
  <c r="AD38" i="8"/>
  <c r="AB38" i="8"/>
  <c r="AA38" i="8"/>
  <c r="D38" i="8"/>
  <c r="AD42" i="4"/>
  <c r="A42" i="4" s="1"/>
  <c r="AB42" i="4"/>
  <c r="AB35" i="6"/>
  <c r="D15" i="7"/>
  <c r="AB27" i="11"/>
  <c r="AD27" i="11"/>
  <c r="AA27" i="11"/>
  <c r="D27" i="11"/>
  <c r="AB12" i="14"/>
  <c r="AA12" i="14"/>
  <c r="D26" i="14"/>
  <c r="AA14" i="14"/>
  <c r="D21" i="14"/>
  <c r="D41" i="14"/>
  <c r="AA23" i="14"/>
  <c r="AA29" i="14"/>
  <c r="AD21" i="14"/>
  <c r="D40" i="14"/>
  <c r="D31" i="14"/>
  <c r="AD32" i="14"/>
  <c r="D28" i="14"/>
  <c r="AA26" i="14"/>
  <c r="AA43" i="14"/>
  <c r="D28" i="6"/>
  <c r="AD12" i="7"/>
  <c r="AB12" i="7"/>
  <c r="AA40" i="7"/>
  <c r="AA24" i="7"/>
  <c r="AD15" i="7"/>
  <c r="AA12" i="7"/>
  <c r="AD27" i="7"/>
  <c r="D18" i="7"/>
  <c r="AA32" i="7"/>
  <c r="AD43" i="7"/>
  <c r="AD40" i="7"/>
  <c r="AD19" i="7"/>
  <c r="AD32" i="7"/>
  <c r="AD22" i="7"/>
  <c r="AB22" i="7"/>
  <c r="AA22" i="7"/>
  <c r="D22" i="7"/>
  <c r="AD31" i="8"/>
  <c r="AA31" i="8"/>
  <c r="AB31" i="8"/>
  <c r="AB35" i="8"/>
  <c r="AA35" i="8"/>
  <c r="D35" i="8"/>
  <c r="AD35" i="8"/>
  <c r="AD33" i="19"/>
  <c r="AB33" i="19"/>
  <c r="AA28" i="5"/>
  <c r="AD28" i="5"/>
  <c r="A28" i="5" s="1"/>
  <c r="AB28" i="5"/>
  <c r="D28" i="5"/>
  <c r="AA15" i="7"/>
  <c r="AB44" i="7"/>
  <c r="AD44" i="7"/>
  <c r="AA44" i="7"/>
  <c r="D44" i="7"/>
  <c r="AD27" i="8"/>
  <c r="AB27" i="8"/>
  <c r="AA27" i="8"/>
  <c r="D27" i="8"/>
  <c r="D31" i="8"/>
  <c r="AB31" i="5"/>
  <c r="AB12" i="4"/>
  <c r="AA16" i="5"/>
  <c r="AD16" i="5"/>
  <c r="A16" i="5" s="1"/>
  <c r="AB16" i="5"/>
  <c r="D16" i="5"/>
  <c r="AB32" i="6"/>
  <c r="D12" i="7"/>
  <c r="AB16" i="13"/>
  <c r="AA16" i="13"/>
  <c r="D16" i="13"/>
  <c r="AD16" i="13"/>
  <c r="D34" i="13"/>
  <c r="B13" i="14"/>
  <c r="AA21" i="14" s="1"/>
  <c r="G7" i="14"/>
  <c r="AD22" i="4"/>
  <c r="A22" i="4" s="1"/>
  <c r="AB22" i="4"/>
  <c r="AB33" i="4"/>
  <c r="AA33" i="4"/>
  <c r="AD29" i="5"/>
  <c r="A29" i="5" s="1"/>
  <c r="AA29" i="5"/>
  <c r="AB26" i="7"/>
  <c r="AD26" i="7"/>
  <c r="AA26" i="7"/>
  <c r="D26" i="7"/>
  <c r="D18" i="8"/>
  <c r="AD18" i="8"/>
  <c r="AB21" i="9"/>
  <c r="D21" i="9"/>
  <c r="AD21" i="9"/>
  <c r="AA21" i="9"/>
  <c r="AA12" i="9"/>
  <c r="D34" i="14"/>
  <c r="AD38" i="14"/>
  <c r="AB38" i="14"/>
  <c r="AA38" i="14"/>
  <c r="D38" i="14"/>
  <c r="AB25" i="4"/>
  <c r="AB30" i="7"/>
  <c r="AA30" i="7"/>
  <c r="D30" i="7"/>
  <c r="AD30" i="7"/>
  <c r="AD40" i="9"/>
  <c r="AB40" i="9"/>
  <c r="AA40" i="9"/>
  <c r="AB31" i="10"/>
  <c r="AD31" i="10"/>
  <c r="F7" i="13"/>
  <c r="AD35" i="13"/>
  <c r="D33" i="13"/>
  <c r="AA22" i="13"/>
  <c r="AB10" i="13"/>
  <c r="AA40" i="13"/>
  <c r="AA27" i="13"/>
  <c r="AA10" i="13"/>
  <c r="AD33" i="13"/>
  <c r="D27" i="13"/>
  <c r="D10" i="13"/>
  <c r="D14" i="13"/>
  <c r="AD11" i="13"/>
  <c r="AD27" i="13"/>
  <c r="AD20" i="13"/>
  <c r="AD29" i="13"/>
  <c r="AD25" i="13"/>
  <c r="AD13" i="13"/>
  <c r="AD10" i="13"/>
  <c r="AA13" i="13"/>
  <c r="AD40" i="13"/>
  <c r="AD22" i="13"/>
  <c r="AD18" i="13"/>
  <c r="AD33" i="5"/>
  <c r="A33" i="5" s="1"/>
  <c r="D44" i="5"/>
  <c r="AD21" i="6"/>
  <c r="AB21" i="6"/>
  <c r="AA18" i="8"/>
  <c r="AA21" i="8"/>
  <c r="D21" i="8"/>
  <c r="AD21" i="8"/>
  <c r="AB21" i="8"/>
  <c r="D40" i="9"/>
  <c r="D31" i="10"/>
  <c r="AD24" i="11"/>
  <c r="AB24" i="11"/>
  <c r="AA24" i="11"/>
  <c r="D24" i="11"/>
  <c r="D39" i="14"/>
  <c r="AD39" i="14"/>
  <c r="AB39" i="14"/>
  <c r="AA39" i="14"/>
  <c r="AB13" i="15"/>
  <c r="AB34" i="16"/>
  <c r="D36" i="4"/>
  <c r="AD38" i="4"/>
  <c r="A38" i="4" s="1"/>
  <c r="AD16" i="4"/>
  <c r="A16" i="4" s="1"/>
  <c r="AD18" i="4"/>
  <c r="A18" i="4" s="1"/>
  <c r="AA10" i="4"/>
  <c r="AD23" i="4"/>
  <c r="A23" i="4" s="1"/>
  <c r="AB23" i="4"/>
  <c r="AB21" i="5"/>
  <c r="AD21" i="5"/>
  <c r="A21" i="5" s="1"/>
  <c r="AA40" i="5"/>
  <c r="AD40" i="5"/>
  <c r="A40" i="5" s="1"/>
  <c r="AB40" i="5"/>
  <c r="D40" i="5"/>
  <c r="D18" i="6"/>
  <c r="AB18" i="6"/>
  <c r="AB38" i="6"/>
  <c r="AA40" i="8"/>
  <c r="D40" i="8"/>
  <c r="AD40" i="8"/>
  <c r="AB40" i="8"/>
  <c r="D21" i="5"/>
  <c r="AD19" i="8"/>
  <c r="AB19" i="8"/>
  <c r="AA19" i="8"/>
  <c r="D19" i="8"/>
  <c r="AD41" i="9"/>
  <c r="AD44" i="9"/>
  <c r="AA31" i="10"/>
  <c r="AD32" i="13"/>
  <c r="AD37" i="13"/>
  <c r="AB37" i="13"/>
  <c r="AA37" i="13"/>
  <c r="D37" i="13"/>
  <c r="D35" i="14"/>
  <c r="AD35" i="14"/>
  <c r="AB35" i="14"/>
  <c r="AA35" i="14"/>
  <c r="AB28" i="4"/>
  <c r="D35" i="4"/>
  <c r="AB35" i="4"/>
  <c r="AD14" i="5"/>
  <c r="A14" i="5" s="1"/>
  <c r="AB14" i="5"/>
  <c r="AA14" i="5"/>
  <c r="D14" i="5"/>
  <c r="AB18" i="5"/>
  <c r="AD18" i="5"/>
  <c r="A18" i="5" s="1"/>
  <c r="AA18" i="5"/>
  <c r="D18" i="5"/>
  <c r="AD26" i="5"/>
  <c r="A26" i="5" s="1"/>
  <c r="AB26" i="5"/>
  <c r="AA26" i="5"/>
  <c r="D26" i="5"/>
  <c r="AB26" i="6"/>
  <c r="AA10" i="8"/>
  <c r="D10" i="8"/>
  <c r="D26" i="8"/>
  <c r="F7" i="8"/>
  <c r="AA42" i="8"/>
  <c r="AD39" i="8"/>
  <c r="D14" i="8"/>
  <c r="AA39" i="8"/>
  <c r="AD24" i="8"/>
  <c r="AA12" i="8"/>
  <c r="D15" i="8"/>
  <c r="AD15" i="8"/>
  <c r="AB15" i="8"/>
  <c r="AA15" i="8"/>
  <c r="AD34" i="8"/>
  <c r="AD37" i="8"/>
  <c r="AA18" i="9"/>
  <c r="AD28" i="9"/>
  <c r="AB28" i="9"/>
  <c r="AA28" i="9"/>
  <c r="D28" i="9"/>
  <c r="AD42" i="11"/>
  <c r="AB42" i="11"/>
  <c r="AA42" i="11"/>
  <c r="D42" i="11"/>
  <c r="AA44" i="13"/>
  <c r="AD44" i="13"/>
  <c r="AB44" i="13"/>
  <c r="D44" i="13"/>
  <c r="AB25" i="15"/>
  <c r="AD25" i="15"/>
  <c r="AD22" i="5"/>
  <c r="A22" i="5" s="1"/>
  <c r="AB22" i="5"/>
  <c r="AA22" i="5"/>
  <c r="D22" i="5"/>
  <c r="AD34" i="5"/>
  <c r="A34" i="5" s="1"/>
  <c r="AB34" i="5"/>
  <c r="AA34" i="5"/>
  <c r="D34" i="5"/>
  <c r="AD33" i="7"/>
  <c r="AB33" i="7"/>
  <c r="AA33" i="7"/>
  <c r="D33" i="7"/>
  <c r="AD16" i="8"/>
  <c r="AB16" i="8"/>
  <c r="AA16" i="8"/>
  <c r="AA41" i="8"/>
  <c r="AA35" i="9"/>
  <c r="AD21" i="11"/>
  <c r="AB21" i="11"/>
  <c r="AA21" i="11"/>
  <c r="AB31" i="11"/>
  <c r="AA31" i="11"/>
  <c r="D31" i="11"/>
  <c r="AD31" i="11"/>
  <c r="G7" i="4"/>
  <c r="B11" i="4"/>
  <c r="AD21" i="4" s="1"/>
  <c r="A21" i="4" s="1"/>
  <c r="AB14" i="4"/>
  <c r="AD31" i="4"/>
  <c r="A31" i="4" s="1"/>
  <c r="AB31" i="4"/>
  <c r="AB41" i="4"/>
  <c r="AD23" i="5"/>
  <c r="A23" i="5" s="1"/>
  <c r="D23" i="5"/>
  <c r="AB23" i="5"/>
  <c r="AD35" i="5"/>
  <c r="A35" i="5" s="1"/>
  <c r="D35" i="5"/>
  <c r="AB35" i="5"/>
  <c r="AD19" i="9"/>
  <c r="AB19" i="9"/>
  <c r="AA19" i="9"/>
  <c r="AA39" i="9"/>
  <c r="D17" i="9"/>
  <c r="D14" i="9"/>
  <c r="AA32" i="9"/>
  <c r="AD19" i="13"/>
  <c r="AB19" i="13"/>
  <c r="B11" i="15"/>
  <c r="D19" i="15" s="1"/>
  <c r="G7" i="15"/>
  <c r="AD11" i="5"/>
  <c r="A11" i="5" s="1"/>
  <c r="D11" i="5"/>
  <c r="AB11" i="5"/>
  <c r="AA11" i="5"/>
  <c r="AA39" i="5"/>
  <c r="AA17" i="5"/>
  <c r="AA15" i="5"/>
  <c r="AB36" i="6"/>
  <c r="AB42" i="6"/>
  <c r="AD28" i="7"/>
  <c r="AB28" i="7"/>
  <c r="AA28" i="7"/>
  <c r="AD34" i="7"/>
  <c r="AA34" i="7"/>
  <c r="D34" i="7"/>
  <c r="AD10" i="8"/>
  <c r="D16" i="8"/>
  <c r="AD23" i="8"/>
  <c r="AB23" i="8"/>
  <c r="AA23" i="8"/>
  <c r="D29" i="8"/>
  <c r="AD29" i="8"/>
  <c r="AB29" i="8"/>
  <c r="AA29" i="8"/>
  <c r="D39" i="8"/>
  <c r="D10" i="9"/>
  <c r="AA26" i="9"/>
  <c r="D26" i="9"/>
  <c r="AD35" i="9"/>
  <c r="AB20" i="10"/>
  <c r="AA20" i="10"/>
  <c r="D20" i="10"/>
  <c r="AD20" i="10"/>
  <c r="AB27" i="10"/>
  <c r="AA27" i="10"/>
  <c r="AD27" i="10"/>
  <c r="D27" i="10"/>
  <c r="F7" i="11"/>
  <c r="AD10" i="11"/>
  <c r="AB10" i="11"/>
  <c r="AA10" i="11"/>
  <c r="AA35" i="11"/>
  <c r="AA25" i="11"/>
  <c r="AA30" i="11"/>
  <c r="D11" i="11"/>
  <c r="D35" i="11"/>
  <c r="D25" i="11"/>
  <c r="D30" i="11"/>
  <c r="D14" i="11"/>
  <c r="AA11" i="11"/>
  <c r="AA43" i="11"/>
  <c r="AD25" i="11"/>
  <c r="AA16" i="11"/>
  <c r="AD28" i="11"/>
  <c r="D43" i="11"/>
  <c r="D16" i="11"/>
  <c r="AA28" i="11"/>
  <c r="D10" i="11"/>
  <c r="D39" i="11"/>
  <c r="D32" i="11"/>
  <c r="AD14" i="11"/>
  <c r="AD38" i="11"/>
  <c r="AA38" i="11"/>
  <c r="D21" i="11"/>
  <c r="AB15" i="12"/>
  <c r="AD15" i="12"/>
  <c r="AA15" i="12"/>
  <c r="D15" i="12"/>
  <c r="D19" i="13"/>
  <c r="AA23" i="13"/>
  <c r="AD23" i="13"/>
  <c r="AB23" i="13"/>
  <c r="D23" i="13"/>
  <c r="AD36" i="13"/>
  <c r="AB36" i="13"/>
  <c r="AA36" i="13"/>
  <c r="D36" i="13"/>
  <c r="AA41" i="13"/>
  <c r="AD41" i="13"/>
  <c r="AB41" i="13"/>
  <c r="D41" i="13"/>
  <c r="AB33" i="14"/>
  <c r="AD33" i="14"/>
  <c r="AA33" i="14"/>
  <c r="D33" i="14"/>
  <c r="AB19" i="15"/>
  <c r="AD19" i="15"/>
  <c r="G7" i="16"/>
  <c r="B11" i="16"/>
  <c r="AD29" i="16" s="1"/>
  <c r="AA23" i="5"/>
  <c r="AD27" i="5"/>
  <c r="A27" i="5" s="1"/>
  <c r="AA35" i="5"/>
  <c r="D39" i="5"/>
  <c r="AA43" i="5"/>
  <c r="D30" i="6"/>
  <c r="AB33" i="6"/>
  <c r="D13" i="7"/>
  <c r="D10" i="7"/>
  <c r="F7" i="7"/>
  <c r="AA43" i="7"/>
  <c r="D31" i="7"/>
  <c r="D29" i="7"/>
  <c r="AD18" i="7"/>
  <c r="D43" i="7"/>
  <c r="AD10" i="7"/>
  <c r="AA18" i="7"/>
  <c r="AB10" i="7"/>
  <c r="AD29" i="7"/>
  <c r="AD21" i="7"/>
  <c r="D40" i="7"/>
  <c r="AD13" i="7"/>
  <c r="D11" i="7"/>
  <c r="AD23" i="7"/>
  <c r="AA21" i="7"/>
  <c r="AA23" i="7"/>
  <c r="AA13" i="7"/>
  <c r="AB38" i="7"/>
  <c r="D38" i="7"/>
  <c r="AD11" i="8"/>
  <c r="AB11" i="8"/>
  <c r="AA11" i="8"/>
  <c r="D11" i="8"/>
  <c r="D23" i="8"/>
  <c r="AA26" i="8"/>
  <c r="AD32" i="8"/>
  <c r="D19" i="9"/>
  <c r="AD14" i="10"/>
  <c r="AB14" i="10"/>
  <c r="AA14" i="10"/>
  <c r="AD24" i="10"/>
  <c r="D12" i="10"/>
  <c r="AA17" i="10"/>
  <c r="D42" i="10"/>
  <c r="AA17" i="11"/>
  <c r="AB18" i="12"/>
  <c r="AD18" i="12"/>
  <c r="AA18" i="12"/>
  <c r="D18" i="12"/>
  <c r="D43" i="14"/>
  <c r="AB43" i="14"/>
  <c r="AB19" i="4"/>
  <c r="AD10" i="5"/>
  <c r="AD44" i="5"/>
  <c r="A44" i="5" s="1"/>
  <c r="AB10" i="5"/>
  <c r="AA10" i="5"/>
  <c r="AA44" i="5"/>
  <c r="D10" i="5"/>
  <c r="D32" i="5"/>
  <c r="AD32" i="5"/>
  <c r="A32" i="5" s="1"/>
  <c r="AB32" i="5"/>
  <c r="AA32" i="5"/>
  <c r="AA11" i="9"/>
  <c r="D11" i="9"/>
  <c r="D41" i="9"/>
  <c r="AD13" i="9"/>
  <c r="AD11" i="9"/>
  <c r="AA13" i="9"/>
  <c r="AB11" i="9"/>
  <c r="AD17" i="9"/>
  <c r="AB17" i="9"/>
  <c r="AD22" i="9"/>
  <c r="AB22" i="9"/>
  <c r="AA22" i="9"/>
  <c r="D22" i="9"/>
  <c r="AA33" i="9"/>
  <c r="AA12" i="10"/>
  <c r="AD12" i="10"/>
  <c r="AB12" i="10"/>
  <c r="D21" i="10"/>
  <c r="AB40" i="10"/>
  <c r="D40" i="10"/>
  <c r="AD40" i="10"/>
  <c r="AA40" i="10"/>
  <c r="B10" i="12"/>
  <c r="G7" i="12"/>
  <c r="AD23" i="12"/>
  <c r="AB23" i="12"/>
  <c r="AA23" i="12"/>
  <c r="AD26" i="12"/>
  <c r="AB26" i="12"/>
  <c r="AA26" i="12"/>
  <c r="D26" i="12"/>
  <c r="AD28" i="14"/>
  <c r="AB28" i="14"/>
  <c r="AA28" i="14"/>
  <c r="AD18" i="18"/>
  <c r="AB18" i="18"/>
  <c r="AA18" i="18"/>
  <c r="D18" i="18"/>
  <c r="D24" i="18"/>
  <c r="D15" i="18"/>
  <c r="AB24" i="19"/>
  <c r="AB34" i="19"/>
  <c r="AB44" i="4"/>
  <c r="D44" i="4"/>
  <c r="D20" i="5"/>
  <c r="AD20" i="5"/>
  <c r="A20" i="5" s="1"/>
  <c r="AB20" i="5"/>
  <c r="AA20" i="5"/>
  <c r="AD36" i="5"/>
  <c r="A36" i="5" s="1"/>
  <c r="AB36" i="5"/>
  <c r="AA36" i="5"/>
  <c r="D36" i="5"/>
  <c r="AB42" i="5"/>
  <c r="AA42" i="5"/>
  <c r="AD42" i="5"/>
  <c r="A42" i="5" s="1"/>
  <c r="D42" i="5"/>
  <c r="AD12" i="6"/>
  <c r="AB12" i="6"/>
  <c r="D39" i="6"/>
  <c r="AD37" i="7"/>
  <c r="AB37" i="7"/>
  <c r="AA37" i="7"/>
  <c r="D37" i="7"/>
  <c r="G7" i="8"/>
  <c r="AD22" i="8"/>
  <c r="AB22" i="8"/>
  <c r="AD25" i="8"/>
  <c r="AB25" i="8"/>
  <c r="AA25" i="8"/>
  <c r="AD33" i="8"/>
  <c r="AB33" i="8"/>
  <c r="AD36" i="8"/>
  <c r="AB36" i="8"/>
  <c r="AA36" i="8"/>
  <c r="D36" i="8"/>
  <c r="AD34" i="9"/>
  <c r="AB34" i="9"/>
  <c r="D34" i="9"/>
  <c r="AB42" i="9"/>
  <c r="D42" i="9"/>
  <c r="AD42" i="9"/>
  <c r="AA42" i="9"/>
  <c r="AB16" i="16"/>
  <c r="AB13" i="4"/>
  <c r="D32" i="4"/>
  <c r="AD34" i="4"/>
  <c r="A34" i="4" s="1"/>
  <c r="AB17" i="5"/>
  <c r="D27" i="5"/>
  <c r="AB17" i="6"/>
  <c r="AD27" i="6"/>
  <c r="AB27" i="6"/>
  <c r="AB29" i="6"/>
  <c r="AD29" i="6"/>
  <c r="AA16" i="7"/>
  <c r="D16" i="7"/>
  <c r="AD16" i="7"/>
  <c r="AB16" i="7"/>
  <c r="AD14" i="8"/>
  <c r="D22" i="8"/>
  <c r="D42" i="8"/>
  <c r="AD42" i="8"/>
  <c r="AD39" i="9"/>
  <c r="F7" i="10"/>
  <c r="AB10" i="10"/>
  <c r="AA26" i="10"/>
  <c r="D26" i="10"/>
  <c r="AD10" i="10"/>
  <c r="AD29" i="10"/>
  <c r="AA10" i="10"/>
  <c r="D30" i="10"/>
  <c r="AA43" i="10"/>
  <c r="AD35" i="10"/>
  <c r="D23" i="10"/>
  <c r="D13" i="10"/>
  <c r="AD37" i="10"/>
  <c r="AA35" i="10"/>
  <c r="AD32" i="10"/>
  <c r="D10" i="10"/>
  <c r="AA37" i="10"/>
  <c r="AD21" i="10"/>
  <c r="AB25" i="10"/>
  <c r="AD25" i="10"/>
  <c r="AA25" i="10"/>
  <c r="D25" i="10"/>
  <c r="AD30" i="10"/>
  <c r="AB34" i="10"/>
  <c r="AD34" i="10"/>
  <c r="AA34" i="10"/>
  <c r="D37" i="10"/>
  <c r="AA12" i="11"/>
  <c r="D12" i="11"/>
  <c r="AD39" i="11"/>
  <c r="AB39" i="11"/>
  <c r="AA39" i="11"/>
  <c r="AB34" i="12"/>
  <c r="AA34" i="12"/>
  <c r="AA11" i="13"/>
  <c r="D42" i="13"/>
  <c r="AD42" i="13"/>
  <c r="AB42" i="13"/>
  <c r="AA42" i="13"/>
  <c r="AB32" i="15"/>
  <c r="AA32" i="15"/>
  <c r="D24" i="4"/>
  <c r="D38" i="4"/>
  <c r="AA27" i="5"/>
  <c r="AB30" i="5"/>
  <c r="AD30" i="5"/>
  <c r="A30" i="5" s="1"/>
  <c r="AA30" i="5"/>
  <c r="D30" i="5"/>
  <c r="D33" i="5"/>
  <c r="AA37" i="5"/>
  <c r="AD39" i="5"/>
  <c r="D25" i="8"/>
  <c r="D28" i="8"/>
  <c r="D33" i="8"/>
  <c r="AA17" i="9"/>
  <c r="D23" i="9"/>
  <c r="AA29" i="9"/>
  <c r="D29" i="9"/>
  <c r="AD29" i="9"/>
  <c r="AB29" i="9"/>
  <c r="AA34" i="9"/>
  <c r="D37" i="9"/>
  <c r="D19" i="10"/>
  <c r="AB22" i="10"/>
  <c r="D22" i="10"/>
  <c r="AD22" i="10"/>
  <c r="AA28" i="10"/>
  <c r="D34" i="10"/>
  <c r="AB15" i="11"/>
  <c r="AA15" i="11"/>
  <c r="D15" i="11"/>
  <c r="AD15" i="11"/>
  <c r="AD19" i="11"/>
  <c r="AA19" i="11"/>
  <c r="AB19" i="11"/>
  <c r="D19" i="11"/>
  <c r="AB36" i="11"/>
  <c r="AA36" i="11"/>
  <c r="D36" i="11"/>
  <c r="D34" i="12"/>
  <c r="D37" i="12"/>
  <c r="AB40" i="12"/>
  <c r="D40" i="12"/>
  <c r="AD40" i="12"/>
  <c r="AA40" i="12"/>
  <c r="AA38" i="13"/>
  <c r="AB38" i="13"/>
  <c r="D38" i="13"/>
  <c r="AD38" i="13"/>
  <c r="AD44" i="15"/>
  <c r="AB44" i="15"/>
  <c r="AB30" i="4"/>
  <c r="AA44" i="4"/>
  <c r="D15" i="5"/>
  <c r="AA33" i="5"/>
  <c r="D37" i="5"/>
  <c r="D43" i="5"/>
  <c r="AB39" i="6"/>
  <c r="D24" i="7"/>
  <c r="AD24" i="7"/>
  <c r="AB24" i="7"/>
  <c r="AA22" i="8"/>
  <c r="D37" i="8"/>
  <c r="D12" i="9"/>
  <c r="AB15" i="9"/>
  <c r="D15" i="9"/>
  <c r="AD15" i="9"/>
  <c r="AA15" i="9"/>
  <c r="D35" i="9"/>
  <c r="AD28" i="10"/>
  <c r="AB31" i="12"/>
  <c r="AD31" i="12"/>
  <c r="AA31" i="12"/>
  <c r="D31" i="12"/>
  <c r="AA26" i="13"/>
  <c r="AB26" i="13"/>
  <c r="AD26" i="13"/>
  <c r="D26" i="13"/>
  <c r="AD34" i="13"/>
  <c r="AA34" i="13"/>
  <c r="AB34" i="13"/>
  <c r="AD42" i="17"/>
  <c r="AA42" i="17"/>
  <c r="D42" i="17"/>
  <c r="AB42" i="17"/>
  <c r="AD31" i="7"/>
  <c r="AB41" i="7"/>
  <c r="AA41" i="7"/>
  <c r="D41" i="7"/>
  <c r="AB13" i="8"/>
  <c r="AA13" i="8"/>
  <c r="D13" i="8"/>
  <c r="AB27" i="9"/>
  <c r="D27" i="9"/>
  <c r="AD27" i="9"/>
  <c r="AA27" i="9"/>
  <c r="AB36" i="9"/>
  <c r="D36" i="9"/>
  <c r="AD36" i="9"/>
  <c r="G7" i="10"/>
  <c r="AB43" i="10"/>
  <c r="D43" i="10"/>
  <c r="AD43" i="10"/>
  <c r="AD13" i="11"/>
  <c r="AB13" i="11"/>
  <c r="AA13" i="11"/>
  <c r="D13" i="11"/>
  <c r="AD16" i="11"/>
  <c r="AB16" i="11"/>
  <c r="AD44" i="12"/>
  <c r="AA44" i="12"/>
  <c r="AD14" i="13"/>
  <c r="AB14" i="13"/>
  <c r="AA14" i="13"/>
  <c r="AD36" i="14"/>
  <c r="AB36" i="14"/>
  <c r="AA36" i="14"/>
  <c r="D36" i="14"/>
  <c r="AA41" i="14"/>
  <c r="AB41" i="14"/>
  <c r="AD41" i="14"/>
  <c r="AD41" i="15"/>
  <c r="AB41" i="15"/>
  <c r="D41" i="15"/>
  <c r="AB35" i="7"/>
  <c r="D35" i="7"/>
  <c r="D34" i="8"/>
  <c r="D20" i="9"/>
  <c r="AD32" i="9"/>
  <c r="AA18" i="10"/>
  <c r="AB18" i="10"/>
  <c r="D18" i="10"/>
  <c r="AD34" i="11"/>
  <c r="AB34" i="11"/>
  <c r="AA34" i="11"/>
  <c r="AB40" i="11"/>
  <c r="D40" i="11"/>
  <c r="AB21" i="13"/>
  <c r="AD21" i="13"/>
  <c r="D21" i="13"/>
  <c r="D24" i="14"/>
  <c r="AB24" i="14"/>
  <c r="AB17" i="16"/>
  <c r="AD15" i="17"/>
  <c r="AA15" i="17"/>
  <c r="D15" i="17"/>
  <c r="AD19" i="17"/>
  <c r="AA23" i="17"/>
  <c r="AB20" i="6"/>
  <c r="AA27" i="7"/>
  <c r="D27" i="7"/>
  <c r="AD30" i="8"/>
  <c r="AB30" i="8"/>
  <c r="AA30" i="8"/>
  <c r="D32" i="8"/>
  <c r="AD41" i="8"/>
  <c r="AD43" i="8"/>
  <c r="AB43" i="8"/>
  <c r="AA43" i="8"/>
  <c r="AD25" i="9"/>
  <c r="AB25" i="9"/>
  <c r="AA25" i="9"/>
  <c r="D25" i="9"/>
  <c r="AA25" i="13"/>
  <c r="D25" i="13"/>
  <c r="AD28" i="13"/>
  <c r="AB28" i="13"/>
  <c r="AA28" i="13"/>
  <c r="D28" i="13"/>
  <c r="AA32" i="13"/>
  <c r="AB32" i="13"/>
  <c r="AB39" i="13"/>
  <c r="AD39" i="13"/>
  <c r="AA39" i="13"/>
  <c r="D39" i="13"/>
  <c r="AD12" i="17"/>
  <c r="AA12" i="17"/>
  <c r="AD44" i="17"/>
  <c r="D28" i="17"/>
  <c r="AD17" i="17"/>
  <c r="AA14" i="17"/>
  <c r="AA17" i="17"/>
  <c r="AD14" i="17"/>
  <c r="D18" i="17"/>
  <c r="AA25" i="17"/>
  <c r="AA28" i="17"/>
  <c r="AD23" i="17"/>
  <c r="AA20" i="18"/>
  <c r="D20" i="18"/>
  <c r="AB20" i="18"/>
  <c r="AD20" i="18"/>
  <c r="AB41" i="6"/>
  <c r="D41" i="6"/>
  <c r="AD11" i="7"/>
  <c r="AB11" i="7"/>
  <c r="AA11" i="7"/>
  <c r="AB17" i="7"/>
  <c r="AD17" i="7"/>
  <c r="D21" i="7"/>
  <c r="AD25" i="7"/>
  <c r="AB25" i="7"/>
  <c r="AA25" i="7"/>
  <c r="AA35" i="7"/>
  <c r="AD41" i="7"/>
  <c r="AD13" i="8"/>
  <c r="AB24" i="8"/>
  <c r="AA24" i="8"/>
  <c r="D24" i="8"/>
  <c r="AA34" i="8"/>
  <c r="AB10" i="9"/>
  <c r="F7" i="9"/>
  <c r="AD16" i="9"/>
  <c r="AB16" i="9"/>
  <c r="AA16" i="9"/>
  <c r="D16" i="9"/>
  <c r="AB30" i="9"/>
  <c r="D30" i="9"/>
  <c r="D32" i="9"/>
  <c r="AA36" i="9"/>
  <c r="D11" i="10"/>
  <c r="AB16" i="10"/>
  <c r="AD16" i="10"/>
  <c r="AA16" i="10"/>
  <c r="D16" i="10"/>
  <c r="AA21" i="10"/>
  <c r="AB28" i="10"/>
  <c r="D28" i="10"/>
  <c r="AD33" i="10"/>
  <c r="AB33" i="10"/>
  <c r="AA33" i="10"/>
  <c r="D33" i="10"/>
  <c r="AD38" i="10"/>
  <c r="AA38" i="10"/>
  <c r="D38" i="10"/>
  <c r="AD41" i="10"/>
  <c r="AB41" i="10"/>
  <c r="AA41" i="10"/>
  <c r="D41" i="10"/>
  <c r="AD29" i="11"/>
  <c r="AB29" i="11"/>
  <c r="AA29" i="11"/>
  <c r="D29" i="11"/>
  <c r="AD32" i="11"/>
  <c r="AA32" i="11"/>
  <c r="AB32" i="11"/>
  <c r="D34" i="11"/>
  <c r="AA40" i="11"/>
  <c r="AB33" i="12"/>
  <c r="AD33" i="12"/>
  <c r="AA33" i="12"/>
  <c r="D33" i="12"/>
  <c r="AB42" i="12"/>
  <c r="AD42" i="12"/>
  <c r="AA21" i="13"/>
  <c r="D32" i="13"/>
  <c r="AA24" i="14"/>
  <c r="AB15" i="17"/>
  <c r="D24" i="6"/>
  <c r="AB19" i="7"/>
  <c r="AA19" i="7"/>
  <c r="D19" i="7"/>
  <c r="D23" i="7"/>
  <c r="AA29" i="7"/>
  <c r="AA31" i="7"/>
  <c r="AD35" i="7"/>
  <c r="D30" i="8"/>
  <c r="AA32" i="8"/>
  <c r="D41" i="8"/>
  <c r="D43" i="8"/>
  <c r="G7" i="9"/>
  <c r="AB12" i="9"/>
  <c r="AD12" i="9"/>
  <c r="AD14" i="9"/>
  <c r="AB14" i="9"/>
  <c r="AA14" i="9"/>
  <c r="AA20" i="9"/>
  <c r="AD23" i="9"/>
  <c r="AB23" i="9"/>
  <c r="AA23" i="9"/>
  <c r="AA41" i="9"/>
  <c r="AB44" i="9"/>
  <c r="AA44" i="9"/>
  <c r="D44" i="9"/>
  <c r="AA13" i="10"/>
  <c r="AD18" i="10"/>
  <c r="AD36" i="10"/>
  <c r="AB36" i="10"/>
  <c r="AA36" i="10"/>
  <c r="D17" i="11"/>
  <c r="AD17" i="11"/>
  <c r="D20" i="11"/>
  <c r="AD20" i="11"/>
  <c r="AB20" i="11"/>
  <c r="AA20" i="11"/>
  <c r="AD26" i="11"/>
  <c r="AB26" i="11"/>
  <c r="AA26" i="11"/>
  <c r="D26" i="11"/>
  <c r="AD40" i="11"/>
  <c r="AB39" i="12"/>
  <c r="AD39" i="12"/>
  <c r="AB12" i="13"/>
  <c r="AD12" i="13"/>
  <c r="AA12" i="13"/>
  <c r="D12" i="13"/>
  <c r="AB15" i="13"/>
  <c r="AD15" i="13"/>
  <c r="AA15" i="13"/>
  <c r="D15" i="13"/>
  <c r="AB25" i="13"/>
  <c r="AA29" i="13"/>
  <c r="D29" i="13"/>
  <c r="AD15" i="14"/>
  <c r="AB15" i="14"/>
  <c r="AA15" i="14"/>
  <c r="AD24" i="14"/>
  <c r="D12" i="17"/>
  <c r="AD15" i="19"/>
  <c r="AB15" i="19"/>
  <c r="AD35" i="11"/>
  <c r="AB24" i="12"/>
  <c r="AD24" i="12"/>
  <c r="AB38" i="12"/>
  <c r="AA38" i="12"/>
  <c r="D38" i="12"/>
  <c r="G7" i="13"/>
  <c r="D30" i="13"/>
  <c r="AD30" i="13"/>
  <c r="AB30" i="13"/>
  <c r="D10" i="14"/>
  <c r="F7" i="14"/>
  <c r="D29" i="14"/>
  <c r="AD10" i="14"/>
  <c r="AB10" i="14"/>
  <c r="AA10" i="14"/>
  <c r="AD42" i="14"/>
  <c r="AD34" i="14"/>
  <c r="AD27" i="14"/>
  <c r="AA34" i="14"/>
  <c r="D16" i="14"/>
  <c r="AD29" i="14"/>
  <c r="AD44" i="14"/>
  <c r="AD31" i="14"/>
  <c r="AA31" i="14"/>
  <c r="AD26" i="14"/>
  <c r="AD16" i="14"/>
  <c r="AD19" i="14"/>
  <c r="AB40" i="17"/>
  <c r="AA40" i="17"/>
  <c r="D40" i="17"/>
  <c r="AD40" i="17"/>
  <c r="AB18" i="9"/>
  <c r="D18" i="9"/>
  <c r="AB33" i="9"/>
  <c r="D33" i="9"/>
  <c r="AB24" i="10"/>
  <c r="AA24" i="10"/>
  <c r="AA32" i="10"/>
  <c r="D32" i="10"/>
  <c r="AD39" i="10"/>
  <c r="AA39" i="10"/>
  <c r="AD11" i="11"/>
  <c r="AB18" i="13"/>
  <c r="D18" i="13"/>
  <c r="AD20" i="14"/>
  <c r="AB20" i="14"/>
  <c r="AA20" i="14"/>
  <c r="D20" i="14"/>
  <c r="AD21" i="18"/>
  <c r="AA21" i="18"/>
  <c r="AB21" i="18"/>
  <c r="D21" i="18"/>
  <c r="AD37" i="9"/>
  <c r="AB37" i="9"/>
  <c r="AB30" i="10"/>
  <c r="AA30" i="10"/>
  <c r="AD44" i="10"/>
  <c r="AB44" i="10"/>
  <c r="AA44" i="10"/>
  <c r="D44" i="10"/>
  <c r="AD18" i="11"/>
  <c r="AB18" i="11"/>
  <c r="AA18" i="11"/>
  <c r="D18" i="11"/>
  <c r="AA23" i="11"/>
  <c r="D23" i="11"/>
  <c r="D28" i="11"/>
  <c r="D33" i="11"/>
  <c r="D13" i="13"/>
  <c r="AD24" i="13"/>
  <c r="AB24" i="13"/>
  <c r="AA24" i="13"/>
  <c r="D24" i="13"/>
  <c r="AA43" i="13"/>
  <c r="AB17" i="14"/>
  <c r="AA17" i="14"/>
  <c r="D17" i="14"/>
  <c r="AD17" i="14"/>
  <c r="AD23" i="14"/>
  <c r="AB23" i="14"/>
  <c r="D23" i="14"/>
  <c r="AB30" i="15"/>
  <c r="AA30" i="15"/>
  <c r="AB32" i="16"/>
  <c r="D32" i="16"/>
  <c r="AD13" i="18"/>
  <c r="AB13" i="18"/>
  <c r="D13" i="18"/>
  <c r="AA13" i="18"/>
  <c r="AD35" i="18"/>
  <c r="AD11" i="18"/>
  <c r="AD43" i="18"/>
  <c r="D43" i="18"/>
  <c r="AB43" i="18"/>
  <c r="AB39" i="9"/>
  <c r="D39" i="9"/>
  <c r="D24" i="10"/>
  <c r="AB32" i="10"/>
  <c r="AB35" i="10"/>
  <c r="D35" i="10"/>
  <c r="D39" i="10"/>
  <c r="D38" i="11"/>
  <c r="AB22" i="12"/>
  <c r="D22" i="12"/>
  <c r="D29" i="12"/>
  <c r="AB36" i="12"/>
  <c r="AD36" i="12"/>
  <c r="AA36" i="12"/>
  <c r="AD41" i="12"/>
  <c r="AB41" i="12"/>
  <c r="AA41" i="12"/>
  <c r="AA18" i="13"/>
  <c r="AA30" i="13"/>
  <c r="D23" i="17"/>
  <c r="AB23" i="17"/>
  <c r="AA38" i="18"/>
  <c r="D38" i="18"/>
  <c r="AB38" i="18"/>
  <c r="AD38" i="18"/>
  <c r="AA44" i="14"/>
  <c r="AB44" i="14"/>
  <c r="D44" i="14"/>
  <c r="AB38" i="15"/>
  <c r="AD43" i="17"/>
  <c r="AB43" i="17"/>
  <c r="AA43" i="17"/>
  <c r="D43" i="17"/>
  <c r="AA11" i="18"/>
  <c r="D11" i="18"/>
  <c r="D37" i="18"/>
  <c r="D28" i="18"/>
  <c r="D19" i="18"/>
  <c r="D10" i="18"/>
  <c r="AB11" i="18"/>
  <c r="AD37" i="18"/>
  <c r="AD28" i="18"/>
  <c r="AD19" i="18"/>
  <c r="AD10" i="18"/>
  <c r="AA37" i="18"/>
  <c r="AD44" i="18"/>
  <c r="AA34" i="18"/>
  <c r="AA19" i="18"/>
  <c r="AA28" i="18"/>
  <c r="AA10" i="18"/>
  <c r="AD15" i="18"/>
  <c r="AA15" i="18"/>
  <c r="AD11" i="14"/>
  <c r="AD18" i="14"/>
  <c r="AD25" i="14"/>
  <c r="AB25" i="14"/>
  <c r="AA25" i="14"/>
  <c r="AB17" i="15"/>
  <c r="AB26" i="16"/>
  <c r="D22" i="13"/>
  <c r="AB33" i="13"/>
  <c r="AA33" i="13"/>
  <c r="AA35" i="13"/>
  <c r="D35" i="13"/>
  <c r="D11" i="14"/>
  <c r="AA16" i="14"/>
  <c r="D18" i="14"/>
  <c r="AB28" i="15"/>
  <c r="D28" i="15"/>
  <c r="AA36" i="15"/>
  <c r="D36" i="15"/>
  <c r="AB36" i="15"/>
  <c r="AB43" i="16"/>
  <c r="AD21" i="17"/>
  <c r="AA21" i="17"/>
  <c r="AB21" i="17"/>
  <c r="D21" i="17"/>
  <c r="AD34" i="17"/>
  <c r="AB34" i="17"/>
  <c r="D34" i="17"/>
  <c r="AD37" i="17"/>
  <c r="AB37" i="17"/>
  <c r="AA37" i="17"/>
  <c r="AB15" i="18"/>
  <c r="AD33" i="18"/>
  <c r="AA33" i="18"/>
  <c r="D25" i="12"/>
  <c r="D43" i="12"/>
  <c r="D11" i="13"/>
  <c r="D25" i="14"/>
  <c r="AD37" i="14"/>
  <c r="AB37" i="14"/>
  <c r="AA37" i="14"/>
  <c r="D37" i="14"/>
  <c r="AB12" i="15"/>
  <c r="D12" i="15"/>
  <c r="D17" i="15"/>
  <c r="D37" i="17"/>
  <c r="D33" i="18"/>
  <c r="AD36" i="18"/>
  <c r="AB36" i="18"/>
  <c r="AA36" i="18"/>
  <c r="D36" i="18"/>
  <c r="AA20" i="13"/>
  <c r="AB20" i="13"/>
  <c r="D20" i="13"/>
  <c r="AD31" i="13"/>
  <c r="AA31" i="13"/>
  <c r="AA11" i="14"/>
  <c r="AA18" i="14"/>
  <c r="AA30" i="14"/>
  <c r="AD30" i="14"/>
  <c r="AB30" i="14"/>
  <c r="D30" i="14"/>
  <c r="AB23" i="15"/>
  <c r="AA23" i="15"/>
  <c r="AD16" i="18"/>
  <c r="D16" i="18"/>
  <c r="AA16" i="18"/>
  <c r="AB16" i="18"/>
  <c r="D30" i="18"/>
  <c r="AA40" i="18"/>
  <c r="B13" i="19"/>
  <c r="AA27" i="19" s="1"/>
  <c r="G7" i="19"/>
  <c r="AB27" i="19"/>
  <c r="AA43" i="12"/>
  <c r="D31" i="13"/>
  <c r="D40" i="13"/>
  <c r="AB11" i="14"/>
  <c r="D14" i="14"/>
  <c r="AB18" i="14"/>
  <c r="AD40" i="14"/>
  <c r="AB40" i="14"/>
  <c r="AA40" i="14"/>
  <c r="D23" i="15"/>
  <c r="AD26" i="15"/>
  <c r="AB26" i="15"/>
  <c r="D26" i="15"/>
  <c r="AB34" i="15"/>
  <c r="AD34" i="15"/>
  <c r="AA34" i="15"/>
  <c r="AB13" i="16"/>
  <c r="D19" i="16"/>
  <c r="AB37" i="16"/>
  <c r="AD18" i="17"/>
  <c r="AA18" i="17"/>
  <c r="AB18" i="17"/>
  <c r="AB31" i="17"/>
  <c r="AA31" i="17"/>
  <c r="D31" i="17"/>
  <c r="AD31" i="17"/>
  <c r="AA34" i="17"/>
  <c r="AB33" i="18"/>
  <c r="AA41" i="18"/>
  <c r="D41" i="18"/>
  <c r="AD41" i="18"/>
  <c r="AB41" i="18"/>
  <c r="AD22" i="14"/>
  <c r="AB10" i="15"/>
  <c r="D10" i="15"/>
  <c r="AB14" i="15"/>
  <c r="AA18" i="15"/>
  <c r="D18" i="15"/>
  <c r="AB20" i="15"/>
  <c r="D20" i="15"/>
  <c r="D24" i="15"/>
  <c r="AA42" i="15"/>
  <c r="AB20" i="16"/>
  <c r="AB22" i="16"/>
  <c r="AB27" i="16"/>
  <c r="D27" i="17"/>
  <c r="D25" i="17"/>
  <c r="AD22" i="17"/>
  <c r="AD10" i="17"/>
  <c r="AD26" i="17"/>
  <c r="AA10" i="17"/>
  <c r="AB13" i="17"/>
  <c r="AA13" i="17"/>
  <c r="D13" i="17"/>
  <c r="AD13" i="17"/>
  <c r="AD16" i="17"/>
  <c r="AB16" i="17"/>
  <c r="AD24" i="17"/>
  <c r="AA24" i="17"/>
  <c r="D24" i="17"/>
  <c r="AB24" i="17"/>
  <c r="AD25" i="18"/>
  <c r="D25" i="18"/>
  <c r="AB16" i="15"/>
  <c r="D16" i="15"/>
  <c r="AD16" i="15"/>
  <c r="D10" i="17"/>
  <c r="D16" i="17"/>
  <c r="AA32" i="17"/>
  <c r="AB43" i="19"/>
  <c r="D22" i="14"/>
  <c r="D27" i="14"/>
  <c r="D32" i="14"/>
  <c r="D42" i="14"/>
  <c r="AA20" i="15"/>
  <c r="AA22" i="15"/>
  <c r="AB30" i="16"/>
  <c r="AB33" i="16"/>
  <c r="AD30" i="17"/>
  <c r="AA30" i="17"/>
  <c r="AA35" i="17"/>
  <c r="AA23" i="18"/>
  <c r="D23" i="18"/>
  <c r="AA25" i="18"/>
  <c r="AA32" i="18"/>
  <c r="D32" i="18"/>
  <c r="AB32" i="18"/>
  <c r="D43" i="13"/>
  <c r="AA10" i="15"/>
  <c r="AB18" i="15"/>
  <c r="AB10" i="17"/>
  <c r="AA16" i="17"/>
  <c r="D19" i="17"/>
  <c r="AD32" i="17"/>
  <c r="D38" i="17"/>
  <c r="AD38" i="17"/>
  <c r="AA38" i="17"/>
  <c r="AB38" i="17"/>
  <c r="AA14" i="18"/>
  <c r="D14" i="18"/>
  <c r="AD14" i="18"/>
  <c r="AB14" i="18"/>
  <c r="AB25" i="18"/>
  <c r="D19" i="14"/>
  <c r="AA22" i="14"/>
  <c r="AA27" i="14"/>
  <c r="AA32" i="14"/>
  <c r="AA42" i="14"/>
  <c r="AD10" i="15"/>
  <c r="AD24" i="15"/>
  <c r="AD35" i="15"/>
  <c r="AB35" i="15"/>
  <c r="AB37" i="15"/>
  <c r="D37" i="15"/>
  <c r="D39" i="15"/>
  <c r="AB43" i="15"/>
  <c r="D43" i="15"/>
  <c r="AD43" i="15"/>
  <c r="AB25" i="16"/>
  <c r="AB36" i="16"/>
  <c r="D14" i="17"/>
  <c r="D30" i="17"/>
  <c r="AD33" i="17"/>
  <c r="AA33" i="17"/>
  <c r="D33" i="17"/>
  <c r="AD35" i="17"/>
  <c r="AA41" i="17"/>
  <c r="AA44" i="17"/>
  <c r="G7" i="18"/>
  <c r="AA26" i="18"/>
  <c r="D26" i="18"/>
  <c r="AB26" i="18"/>
  <c r="AA29" i="18"/>
  <c r="D29" i="18"/>
  <c r="AB29" i="18"/>
  <c r="AD29" i="18"/>
  <c r="AB22" i="14"/>
  <c r="AA27" i="15"/>
  <c r="D27" i="15"/>
  <c r="AB29" i="15"/>
  <c r="D29" i="15"/>
  <c r="D33" i="15"/>
  <c r="AA10" i="16"/>
  <c r="AB28" i="16"/>
  <c r="AB41" i="16"/>
  <c r="AA19" i="17"/>
  <c r="AD28" i="17"/>
  <c r="AD36" i="17"/>
  <c r="AA36" i="17"/>
  <c r="AB36" i="17"/>
  <c r="D36" i="17"/>
  <c r="AD39" i="17"/>
  <c r="AA39" i="17"/>
  <c r="AB23" i="18"/>
  <c r="AD32" i="18"/>
  <c r="AB25" i="19"/>
  <c r="AA36" i="19"/>
  <c r="AD39" i="18"/>
  <c r="AA39" i="18"/>
  <c r="D22" i="19"/>
  <c r="AB22" i="19"/>
  <c r="AA22" i="19"/>
  <c r="AB22" i="17"/>
  <c r="AA22" i="17"/>
  <c r="D22" i="17"/>
  <c r="AD24" i="18"/>
  <c r="AA24" i="18"/>
  <c r="AD34" i="18"/>
  <c r="D34" i="18"/>
  <c r="D39" i="18"/>
  <c r="AD14" i="19"/>
  <c r="AB14" i="19"/>
  <c r="AB31" i="19"/>
  <c r="AD40" i="19"/>
  <c r="AB40" i="19"/>
  <c r="AB11" i="19"/>
  <c r="AB17" i="19"/>
  <c r="AA23" i="19"/>
  <c r="AB23" i="19"/>
  <c r="AB22" i="15"/>
  <c r="D22" i="15"/>
  <c r="AB31" i="15"/>
  <c r="AB40" i="15"/>
  <c r="D40" i="15"/>
  <c r="AD40" i="16"/>
  <c r="AD25" i="17"/>
  <c r="AB25" i="17"/>
  <c r="AD27" i="17"/>
  <c r="AA27" i="17"/>
  <c r="AB27" i="17"/>
  <c r="D29" i="17"/>
  <c r="AD29" i="17"/>
  <c r="AA29" i="17"/>
  <c r="AD12" i="18"/>
  <c r="AA12" i="18"/>
  <c r="AA17" i="18"/>
  <c r="D17" i="18"/>
  <c r="AD22" i="18"/>
  <c r="AB22" i="18"/>
  <c r="D22" i="18"/>
  <c r="AB39" i="18"/>
  <c r="AD42" i="18"/>
  <c r="AA42" i="18"/>
  <c r="D42" i="18"/>
  <c r="AB20" i="19"/>
  <c r="AA26" i="19"/>
  <c r="AB26" i="19"/>
  <c r="AD32" i="19"/>
  <c r="AA32" i="19"/>
  <c r="AB32" i="19"/>
  <c r="AB41" i="19"/>
  <c r="D20" i="17"/>
  <c r="AD20" i="17"/>
  <c r="AA20" i="17"/>
  <c r="D41" i="17"/>
  <c r="D12" i="18"/>
  <c r="AD27" i="18"/>
  <c r="AB27" i="18"/>
  <c r="AA27" i="18"/>
  <c r="AD29" i="19"/>
  <c r="AB29" i="19"/>
  <c r="AB35" i="19"/>
  <c r="D35" i="19"/>
  <c r="AB38" i="19"/>
  <c r="AB38" i="16"/>
  <c r="D11" i="17"/>
  <c r="AD11" i="17"/>
  <c r="AA11" i="17"/>
  <c r="D32" i="17"/>
  <c r="AA22" i="18"/>
  <c r="D27" i="18"/>
  <c r="AD30" i="18"/>
  <c r="AA30" i="18"/>
  <c r="AA35" i="18"/>
  <c r="D35" i="18"/>
  <c r="AD40" i="18"/>
  <c r="AB40" i="18"/>
  <c r="D40" i="18"/>
  <c r="AB42" i="18"/>
  <c r="F7" i="19"/>
  <c r="AD21" i="19"/>
  <c r="AD44" i="19"/>
  <c r="AB44" i="19"/>
  <c r="AA44" i="18"/>
  <c r="D44" i="18"/>
  <c r="D44" i="19"/>
  <c r="D17" i="17"/>
  <c r="D26" i="17"/>
  <c r="D35" i="17"/>
  <c r="D44" i="17"/>
  <c r="G7" i="17"/>
  <c r="AA10" i="19"/>
  <c r="AA19" i="19"/>
  <c r="D13" i="2" a="1"/>
  <c r="C31" i="3" a="1"/>
  <c r="B8" i="1"/>
  <c r="B28" i="1"/>
  <c r="B18" i="1"/>
  <c r="C17" i="3" a="1"/>
  <c r="C9" i="3" a="1"/>
  <c r="B15" i="3" a="1"/>
  <c r="C24" i="3" a="1"/>
  <c r="B17" i="1"/>
  <c r="C16" i="3" a="1"/>
  <c r="B21" i="2" a="1"/>
  <c r="B15" i="1"/>
  <c r="B34" i="1"/>
  <c r="B22" i="1"/>
  <c r="C35" i="3" a="1"/>
  <c r="B38" i="3" a="1"/>
  <c r="B27" i="1"/>
  <c r="B36" i="1"/>
  <c r="B9" i="3" a="1"/>
  <c r="C7" i="3" a="1"/>
  <c r="B10" i="1"/>
  <c r="B39" i="1"/>
  <c r="B16" i="1"/>
  <c r="B25" i="1"/>
  <c r="C5" i="3" a="1"/>
  <c r="C11" i="3" a="1"/>
  <c r="C8" i="3" a="1"/>
  <c r="B19" i="1"/>
  <c r="C27" i="3" a="1"/>
  <c r="J17" i="1"/>
  <c r="B22" i="3" a="1"/>
  <c r="C25" i="3" a="1"/>
  <c r="B38" i="1"/>
  <c r="J16" i="1"/>
  <c r="B41" i="1"/>
  <c r="B29" i="1"/>
  <c r="C23" i="3" a="1"/>
  <c r="C22" i="3" a="1"/>
  <c r="B13" i="1"/>
  <c r="C20" i="3" a="1"/>
  <c r="B23" i="1"/>
  <c r="C13" i="3" a="1"/>
  <c r="B14" i="1"/>
  <c r="B37" i="1"/>
  <c r="B9" i="1"/>
  <c r="B40" i="1"/>
  <c r="B27" i="3" a="1"/>
  <c r="B34" i="3" a="1"/>
  <c r="B21" i="1"/>
  <c r="C29" i="3" a="1"/>
  <c r="B33" i="1"/>
  <c r="C18" i="3" a="1"/>
  <c r="C15" i="3" a="1"/>
  <c r="B7" i="1"/>
  <c r="B32" i="1"/>
  <c r="B11" i="1"/>
  <c r="C19" i="2" a="1"/>
  <c r="C37" i="3" a="1"/>
  <c r="B30" i="3" a="1"/>
  <c r="C10" i="3" a="1"/>
  <c r="J18" i="1"/>
  <c r="C6" i="3" a="1"/>
  <c r="J15" i="1"/>
  <c r="B35" i="1"/>
  <c r="B20" i="1"/>
  <c r="B12" i="1"/>
  <c r="B6" i="3" a="1"/>
  <c r="B26" i="1"/>
  <c r="C12" i="3" a="1"/>
  <c r="C30" i="3" a="1"/>
  <c r="B31" i="1"/>
  <c r="B24" i="1"/>
  <c r="J19" i="1"/>
  <c r="C21" i="3" a="1"/>
  <c r="C36" i="3" a="1"/>
  <c r="C14" i="3" a="1"/>
  <c r="B31" i="3" a="1"/>
  <c r="B30" i="1"/>
  <c r="C39" i="3" a="1"/>
  <c r="D13" i="2" l="1"/>
  <c r="V13" i="2" s="1"/>
  <c r="AD42" i="6"/>
  <c r="AD17" i="6"/>
  <c r="B22" i="3"/>
  <c r="B34" i="3"/>
  <c r="B30" i="3"/>
  <c r="C22" i="3"/>
  <c r="B9" i="3"/>
  <c r="C8" i="3"/>
  <c r="C11" i="3"/>
  <c r="B38" i="3"/>
  <c r="C9" i="3"/>
  <c r="C15" i="3"/>
  <c r="B6" i="3"/>
  <c r="C36" i="3"/>
  <c r="C29" i="3"/>
  <c r="B15" i="3"/>
  <c r="C37" i="3"/>
  <c r="B27" i="3"/>
  <c r="C27" i="3"/>
  <c r="C23" i="3"/>
  <c r="C5" i="3"/>
  <c r="C35" i="3"/>
  <c r="C17" i="3"/>
  <c r="C39" i="3"/>
  <c r="C14" i="3"/>
  <c r="C21" i="3"/>
  <c r="C12" i="3"/>
  <c r="C6" i="3"/>
  <c r="C19" i="2"/>
  <c r="U19" i="2" s="1"/>
  <c r="L9" i="1" s="1"/>
  <c r="B21" i="2"/>
  <c r="C31" i="3"/>
  <c r="C18" i="3"/>
  <c r="B31" i="3"/>
  <c r="C30" i="3"/>
  <c r="C24" i="3"/>
  <c r="C10" i="3"/>
  <c r="C13" i="3"/>
  <c r="C20" i="3"/>
  <c r="C25" i="3"/>
  <c r="C7" i="3"/>
  <c r="C16" i="3"/>
  <c r="W11" i="2"/>
  <c r="V11" i="2"/>
  <c r="U11" i="2"/>
  <c r="T11" i="2"/>
  <c r="AA24" i="16"/>
  <c r="F7" i="16"/>
  <c r="AA36" i="16"/>
  <c r="AD43" i="16"/>
  <c r="A40" i="10"/>
  <c r="H7" i="7"/>
  <c r="AA19" i="16"/>
  <c r="D34" i="19"/>
  <c r="A14" i="11"/>
  <c r="AA16" i="19"/>
  <c r="A43" i="18"/>
  <c r="A30" i="13"/>
  <c r="A21" i="18"/>
  <c r="Q40" i="3"/>
  <c r="D26" i="16"/>
  <c r="D16" i="19"/>
  <c r="A11" i="18"/>
  <c r="A12" i="10"/>
  <c r="A11" i="11"/>
  <c r="A10" i="5"/>
  <c r="A19" i="8"/>
  <c r="A37" i="9"/>
  <c r="A23" i="9"/>
  <c r="A13" i="8"/>
  <c r="A31" i="7"/>
  <c r="AD11" i="16"/>
  <c r="AB11" i="16"/>
  <c r="AA41" i="16"/>
  <c r="D12" i="16"/>
  <c r="D41" i="16"/>
  <c r="AA38" i="16"/>
  <c r="AA11" i="16"/>
  <c r="AD15" i="16"/>
  <c r="D24" i="16"/>
  <c r="D11" i="16"/>
  <c r="AD21" i="16"/>
  <c r="AD36" i="16"/>
  <c r="AD23" i="16"/>
  <c r="D10" i="16"/>
  <c r="AA21" i="16"/>
  <c r="AD18" i="16"/>
  <c r="D15" i="16"/>
  <c r="AD12" i="16"/>
  <c r="AA23" i="16"/>
  <c r="AA29" i="16"/>
  <c r="D21" i="16"/>
  <c r="AD14" i="16"/>
  <c r="AA12" i="16"/>
  <c r="AA14" i="16"/>
  <c r="AA28" i="16"/>
  <c r="AD10" i="16"/>
  <c r="D28" i="16"/>
  <c r="D37" i="16"/>
  <c r="AA44" i="16"/>
  <c r="D23" i="16"/>
  <c r="AD19" i="16"/>
  <c r="D25" i="16"/>
  <c r="AA37" i="16"/>
  <c r="AA34" i="16"/>
  <c r="D14" i="16"/>
  <c r="AA13" i="16"/>
  <c r="AA20" i="16"/>
  <c r="AD42" i="16"/>
  <c r="AD33" i="16"/>
  <c r="D35" i="16"/>
  <c r="D34" i="16"/>
  <c r="AD32" i="16"/>
  <c r="AA43" i="16"/>
  <c r="AD13" i="16"/>
  <c r="AA22" i="16"/>
  <c r="AD25" i="16"/>
  <c r="AD35" i="16"/>
  <c r="AA42" i="16"/>
  <c r="AA32" i="16"/>
  <c r="D17" i="16"/>
  <c r="D43" i="16"/>
  <c r="AD22" i="16"/>
  <c r="D18" i="16"/>
  <c r="D31" i="16"/>
  <c r="D42" i="16"/>
  <c r="AD17" i="16"/>
  <c r="D13" i="16"/>
  <c r="D20" i="16"/>
  <c r="AD27" i="16"/>
  <c r="AA25" i="16"/>
  <c r="AD24" i="16"/>
  <c r="AD16" i="16"/>
  <c r="AA17" i="16"/>
  <c r="AD26" i="16"/>
  <c r="AA26" i="16"/>
  <c r="AD37" i="16"/>
  <c r="D27" i="16"/>
  <c r="AA30" i="16"/>
  <c r="D36" i="16"/>
  <c r="D40" i="16"/>
  <c r="AA40" i="16"/>
  <c r="AD31" i="16"/>
  <c r="D29" i="16"/>
  <c r="D16" i="16"/>
  <c r="AD41" i="16"/>
  <c r="D30" i="16"/>
  <c r="AA15" i="16"/>
  <c r="AA31" i="16"/>
  <c r="AD38" i="16"/>
  <c r="AA39" i="16"/>
  <c r="AA33" i="16"/>
  <c r="D39" i="16"/>
  <c r="AA18" i="16"/>
  <c r="D38" i="16"/>
  <c r="D33" i="16"/>
  <c r="AD39" i="16"/>
  <c r="D44" i="16"/>
  <c r="AD28" i="16"/>
  <c r="AD34" i="16"/>
  <c r="A13" i="11"/>
  <c r="D13" i="19"/>
  <c r="AD13" i="19"/>
  <c r="AB13" i="19"/>
  <c r="AA13" i="19"/>
  <c r="AD10" i="19"/>
  <c r="AA39" i="19"/>
  <c r="AA12" i="19"/>
  <c r="AA30" i="19"/>
  <c r="AA21" i="19"/>
  <c r="AD24" i="19"/>
  <c r="AD18" i="19"/>
  <c r="AD16" i="19"/>
  <c r="D25" i="19"/>
  <c r="AA14" i="19"/>
  <c r="AD38" i="19"/>
  <c r="D12" i="19"/>
  <c r="D10" i="19"/>
  <c r="AA28" i="19"/>
  <c r="AD42" i="19"/>
  <c r="AA33" i="19"/>
  <c r="D18" i="19"/>
  <c r="AD27" i="19"/>
  <c r="D39" i="19"/>
  <c r="D43" i="19"/>
  <c r="AA25" i="19"/>
  <c r="D14" i="19"/>
  <c r="D11" i="19"/>
  <c r="AD37" i="19"/>
  <c r="AA38" i="19"/>
  <c r="D29" i="19"/>
  <c r="D19" i="19"/>
  <c r="AA37" i="19"/>
  <c r="AD31" i="19"/>
  <c r="AA17" i="19"/>
  <c r="AA20" i="19"/>
  <c r="AD12" i="19"/>
  <c r="D37" i="19"/>
  <c r="D33" i="19"/>
  <c r="AA24" i="19"/>
  <c r="D27" i="19"/>
  <c r="AA43" i="19"/>
  <c r="AD25" i="19"/>
  <c r="D31" i="19"/>
  <c r="AD17" i="19"/>
  <c r="AD20" i="19"/>
  <c r="AD41" i="19"/>
  <c r="D38" i="19"/>
  <c r="D28" i="19"/>
  <c r="AA42" i="19"/>
  <c r="D24" i="19"/>
  <c r="AD19" i="19"/>
  <c r="AD43" i="19"/>
  <c r="AA41" i="19"/>
  <c r="D20" i="19"/>
  <c r="D41" i="19"/>
  <c r="D42" i="19"/>
  <c r="AA34" i="19"/>
  <c r="D30" i="19"/>
  <c r="D21" i="19"/>
  <c r="AA31" i="19"/>
  <c r="D17" i="19"/>
  <c r="D23" i="19"/>
  <c r="AA29" i="19"/>
  <c r="AD30" i="19"/>
  <c r="AD34" i="19"/>
  <c r="AA15" i="19"/>
  <c r="D40" i="19"/>
  <c r="AD23" i="19"/>
  <c r="AD26" i="19"/>
  <c r="AD39" i="19"/>
  <c r="D15" i="19"/>
  <c r="AA18" i="19"/>
  <c r="AD36" i="19"/>
  <c r="AD22" i="19"/>
  <c r="AD35" i="19"/>
  <c r="D36" i="19"/>
  <c r="AA40" i="19"/>
  <c r="AD28" i="19"/>
  <c r="D26" i="19"/>
  <c r="AA35" i="19"/>
  <c r="AA44" i="19"/>
  <c r="A34" i="11"/>
  <c r="A34" i="8"/>
  <c r="AD45" i="17"/>
  <c r="AD46" i="17" s="1"/>
  <c r="A41" i="17" s="1"/>
  <c r="AD30" i="16"/>
  <c r="A41" i="7"/>
  <c r="AA11" i="19"/>
  <c r="AA16" i="16"/>
  <c r="AD45" i="9"/>
  <c r="AD46" i="9" s="1"/>
  <c r="A13" i="9" s="1"/>
  <c r="A10" i="9"/>
  <c r="K40" i="3"/>
  <c r="A26" i="9"/>
  <c r="A29" i="9"/>
  <c r="AA27" i="16"/>
  <c r="A32" i="18"/>
  <c r="D22" i="16"/>
  <c r="AA35" i="16"/>
  <c r="H7" i="8"/>
  <c r="D32" i="19"/>
  <c r="AD11" i="19"/>
  <c r="AD44" i="16"/>
  <c r="AD20" i="16"/>
  <c r="A21" i="11"/>
  <c r="A35" i="8"/>
  <c r="A17" i="18"/>
  <c r="A12" i="11"/>
  <c r="A44" i="11"/>
  <c r="A18" i="9"/>
  <c r="AB23" i="6"/>
  <c r="D23" i="6"/>
  <c r="AD23" i="6"/>
  <c r="AD13" i="6"/>
  <c r="AD16" i="6"/>
  <c r="D40" i="6"/>
  <c r="AD22" i="6"/>
  <c r="D19" i="6"/>
  <c r="F40" i="3"/>
  <c r="T25" i="2"/>
  <c r="W25" i="2"/>
  <c r="V25" i="2"/>
  <c r="K10" i="1" s="1"/>
  <c r="U25" i="2"/>
  <c r="L10" i="1" s="1"/>
  <c r="W34" i="2"/>
  <c r="V34" i="2"/>
  <c r="U34" i="2"/>
  <c r="T34" i="2"/>
  <c r="W20" i="2"/>
  <c r="V20" i="2"/>
  <c r="U20" i="2"/>
  <c r="T20" i="2"/>
  <c r="R40" i="3"/>
  <c r="W24" i="2"/>
  <c r="V24" i="2"/>
  <c r="U24" i="2"/>
  <c r="T24" i="2"/>
  <c r="D14" i="15"/>
  <c r="AA40" i="15"/>
  <c r="D34" i="15"/>
  <c r="AD36" i="15"/>
  <c r="AA38" i="15"/>
  <c r="AD30" i="15"/>
  <c r="A24" i="13"/>
  <c r="A40" i="11"/>
  <c r="A29" i="11"/>
  <c r="A34" i="13"/>
  <c r="A15" i="9"/>
  <c r="AD13" i="4"/>
  <c r="A25" i="10"/>
  <c r="D17" i="6"/>
  <c r="AD19" i="4"/>
  <c r="A19" i="4" s="1"/>
  <c r="A34" i="9"/>
  <c r="D19" i="4"/>
  <c r="D42" i="6"/>
  <c r="A28" i="11"/>
  <c r="A23" i="8"/>
  <c r="D36" i="6"/>
  <c r="D14" i="4"/>
  <c r="AA14" i="4"/>
  <c r="AD32" i="4"/>
  <c r="A32" i="4" s="1"/>
  <c r="AA24" i="4"/>
  <c r="AA13" i="15"/>
  <c r="AD30" i="4"/>
  <c r="A30" i="4" s="1"/>
  <c r="A21" i="9"/>
  <c r="D33" i="4"/>
  <c r="A44" i="7"/>
  <c r="A40" i="7"/>
  <c r="D28" i="4"/>
  <c r="A27" i="11"/>
  <c r="AD26" i="6"/>
  <c r="AD10" i="6"/>
  <c r="A43" i="9"/>
  <c r="A36" i="11"/>
  <c r="AA17" i="4"/>
  <c r="AD17" i="4"/>
  <c r="A17" i="4" s="1"/>
  <c r="V18" i="2"/>
  <c r="W18" i="2"/>
  <c r="U18" i="2"/>
  <c r="T18" i="2"/>
  <c r="T5" i="2"/>
  <c r="V5" i="2"/>
  <c r="W5" i="2"/>
  <c r="U5" i="2"/>
  <c r="A24" i="11"/>
  <c r="A34" i="18"/>
  <c r="D38" i="15"/>
  <c r="A35" i="11"/>
  <c r="D32" i="15"/>
  <c r="AD44" i="4"/>
  <c r="A44" i="4" s="1"/>
  <c r="AA19" i="4"/>
  <c r="D33" i="6"/>
  <c r="AA19" i="15"/>
  <c r="A35" i="9"/>
  <c r="A15" i="8"/>
  <c r="D26" i="6"/>
  <c r="D26" i="4"/>
  <c r="AD18" i="6"/>
  <c r="AD10" i="4"/>
  <c r="AD26" i="4"/>
  <c r="A26" i="4" s="1"/>
  <c r="AD13" i="15"/>
  <c r="AA40" i="4"/>
  <c r="AA12" i="4"/>
  <c r="D10" i="6"/>
  <c r="D15" i="6"/>
  <c r="A23" i="18"/>
  <c r="AA21" i="4"/>
  <c r="A24" i="9"/>
  <c r="AD20" i="4"/>
  <c r="A20" i="4" s="1"/>
  <c r="W6" i="2"/>
  <c r="V6" i="2"/>
  <c r="U6" i="2"/>
  <c r="T6" i="2"/>
  <c r="W10" i="2"/>
  <c r="V10" i="2"/>
  <c r="U10" i="2"/>
  <c r="T10" i="2"/>
  <c r="W36" i="2"/>
  <c r="V36" i="2"/>
  <c r="U36" i="2"/>
  <c r="T36" i="2"/>
  <c r="U13" i="2"/>
  <c r="W14" i="2"/>
  <c r="V14" i="2"/>
  <c r="U14" i="2"/>
  <c r="T14" i="2"/>
  <c r="A24" i="17"/>
  <c r="H7" i="18"/>
  <c r="A14" i="9"/>
  <c r="A26" i="13"/>
  <c r="A29" i="10"/>
  <c r="A16" i="7"/>
  <c r="A24" i="10"/>
  <c r="A25" i="11"/>
  <c r="AD45" i="8"/>
  <c r="AD46" i="8" s="1"/>
  <c r="A43" i="8" s="1"/>
  <c r="AA13" i="4"/>
  <c r="AD43" i="4"/>
  <c r="A43" i="4" s="1"/>
  <c r="AA22" i="4"/>
  <c r="A11" i="13"/>
  <c r="AD33" i="4"/>
  <c r="A33" i="4" s="1"/>
  <c r="A38" i="8"/>
  <c r="D13" i="6"/>
  <c r="D27" i="6"/>
  <c r="AD15" i="4"/>
  <c r="A15" i="4" s="1"/>
  <c r="A41" i="11"/>
  <c r="U30" i="2"/>
  <c r="T30" i="2"/>
  <c r="W30" i="2"/>
  <c r="V30" i="2"/>
  <c r="P40" i="3"/>
  <c r="W26" i="2"/>
  <c r="V26" i="2"/>
  <c r="K8" i="1" s="1"/>
  <c r="U26" i="2"/>
  <c r="L8" i="1" s="1"/>
  <c r="T26" i="2"/>
  <c r="AA26" i="15"/>
  <c r="AA28" i="15"/>
  <c r="AD38" i="15"/>
  <c r="H7" i="14"/>
  <c r="A12" i="9"/>
  <c r="A16" i="9"/>
  <c r="AA41" i="15"/>
  <c r="D30" i="4"/>
  <c r="A19" i="11"/>
  <c r="AD45" i="10"/>
  <c r="AD46" i="10" s="1"/>
  <c r="A35" i="10" s="1"/>
  <c r="AD15" i="6"/>
  <c r="A18" i="18"/>
  <c r="AB10" i="12"/>
  <c r="AA25" i="12"/>
  <c r="D35" i="12"/>
  <c r="D30" i="12"/>
  <c r="D17" i="12"/>
  <c r="D12" i="12"/>
  <c r="AD10" i="12"/>
  <c r="AA10" i="12"/>
  <c r="D10" i="12"/>
  <c r="AD38" i="12"/>
  <c r="AA19" i="12"/>
  <c r="AD14" i="12"/>
  <c r="AA12" i="12"/>
  <c r="D24" i="12"/>
  <c r="AD35" i="12"/>
  <c r="D19" i="12"/>
  <c r="AA14" i="12"/>
  <c r="F7" i="12"/>
  <c r="AA30" i="12"/>
  <c r="AD27" i="12"/>
  <c r="AD22" i="12"/>
  <c r="AD19" i="12"/>
  <c r="D14" i="12"/>
  <c r="AA11" i="12"/>
  <c r="AA27" i="12"/>
  <c r="AA22" i="12"/>
  <c r="D44" i="12"/>
  <c r="AD32" i="12"/>
  <c r="D11" i="12"/>
  <c r="D41" i="12"/>
  <c r="AA35" i="12"/>
  <c r="D27" i="12"/>
  <c r="AA24" i="12"/>
  <c r="AA32" i="12"/>
  <c r="AD29" i="12"/>
  <c r="AD43" i="12"/>
  <c r="AD11" i="12"/>
  <c r="AD30" i="12"/>
  <c r="AA17" i="12"/>
  <c r="AA39" i="12"/>
  <c r="D23" i="12"/>
  <c r="AA29" i="12"/>
  <c r="D36" i="12"/>
  <c r="AD25" i="12"/>
  <c r="D39" i="12"/>
  <c r="AD17" i="12"/>
  <c r="AA42" i="12"/>
  <c r="D42" i="12"/>
  <c r="AD34" i="12"/>
  <c r="AD37" i="12"/>
  <c r="AA37" i="12"/>
  <c r="D32" i="12"/>
  <c r="AD12" i="12"/>
  <c r="D13" i="4"/>
  <c r="AD45" i="7"/>
  <c r="AD46" i="7" s="1"/>
  <c r="A38" i="7" s="1"/>
  <c r="AD45" i="11"/>
  <c r="AD46" i="11" s="1"/>
  <c r="A43" i="11" s="1"/>
  <c r="A10" i="11"/>
  <c r="AD36" i="6"/>
  <c r="A16" i="8"/>
  <c r="A42" i="11"/>
  <c r="A37" i="13"/>
  <c r="AA35" i="4"/>
  <c r="AD29" i="4"/>
  <c r="A29" i="4" s="1"/>
  <c r="A21" i="8"/>
  <c r="D16" i="4"/>
  <c r="AA25" i="4"/>
  <c r="A18" i="8"/>
  <c r="D22" i="4"/>
  <c r="D32" i="6"/>
  <c r="AD12" i="4"/>
  <c r="A12" i="4" s="1"/>
  <c r="AD43" i="14"/>
  <c r="AD14" i="14"/>
  <c r="AD35" i="6"/>
  <c r="AD19" i="6"/>
  <c r="AD31" i="6"/>
  <c r="D16" i="12"/>
  <c r="A28" i="8"/>
  <c r="AD12" i="5"/>
  <c r="AB12" i="5"/>
  <c r="AA12" i="5"/>
  <c r="D12" i="5"/>
  <c r="H7" i="5" s="1"/>
  <c r="AD15" i="5"/>
  <c r="A15" i="5" s="1"/>
  <c r="AD43" i="5"/>
  <c r="A43" i="5" s="1"/>
  <c r="D29" i="5"/>
  <c r="AA21" i="5"/>
  <c r="F7" i="5"/>
  <c r="AD37" i="5"/>
  <c r="A37" i="5" s="1"/>
  <c r="D17" i="5"/>
  <c r="AD24" i="5"/>
  <c r="A24" i="5" s="1"/>
  <c r="S40" i="3"/>
  <c r="U35" i="2"/>
  <c r="W35" i="2"/>
  <c r="V35" i="2"/>
  <c r="T35" i="2"/>
  <c r="U27" i="2"/>
  <c r="W27" i="2"/>
  <c r="V27" i="2"/>
  <c r="T27" i="2"/>
  <c r="W32" i="2"/>
  <c r="V32" i="2"/>
  <c r="U32" i="2"/>
  <c r="T32" i="2"/>
  <c r="W16" i="2"/>
  <c r="V16" i="2"/>
  <c r="U16" i="2"/>
  <c r="T16" i="2"/>
  <c r="U9" i="2"/>
  <c r="T9" i="2"/>
  <c r="V9" i="2"/>
  <c r="W9" i="2"/>
  <c r="H7" i="17"/>
  <c r="A15" i="18"/>
  <c r="A39" i="11"/>
  <c r="A21" i="10"/>
  <c r="AD11" i="15"/>
  <c r="AB11" i="15"/>
  <c r="AD31" i="15"/>
  <c r="D15" i="15"/>
  <c r="AA39" i="15"/>
  <c r="AA31" i="15"/>
  <c r="D42" i="15"/>
  <c r="AD33" i="15"/>
  <c r="F7" i="15"/>
  <c r="AA33" i="15"/>
  <c r="AA11" i="15"/>
  <c r="D11" i="15"/>
  <c r="H7" i="15" s="1"/>
  <c r="AA29" i="15"/>
  <c r="AA35" i="15"/>
  <c r="D35" i="15"/>
  <c r="AD27" i="15"/>
  <c r="D21" i="15"/>
  <c r="AD37" i="15"/>
  <c r="AA37" i="15"/>
  <c r="AA43" i="15"/>
  <c r="AD15" i="15"/>
  <c r="AA15" i="15"/>
  <c r="AA21" i="15"/>
  <c r="AD11" i="4"/>
  <c r="A11" i="4" s="1"/>
  <c r="AA11" i="4"/>
  <c r="AB11" i="4"/>
  <c r="D11" i="4"/>
  <c r="AA18" i="4"/>
  <c r="D29" i="4"/>
  <c r="AA15" i="4"/>
  <c r="AA34" i="4"/>
  <c r="AA31" i="4"/>
  <c r="D15" i="4"/>
  <c r="AD41" i="4"/>
  <c r="A41" i="4" s="1"/>
  <c r="D18" i="4"/>
  <c r="AD24" i="4"/>
  <c r="A24" i="4" s="1"/>
  <c r="AD14" i="4"/>
  <c r="A14" i="4" s="1"/>
  <c r="AA29" i="4"/>
  <c r="AA32" i="4"/>
  <c r="D12" i="4"/>
  <c r="D23" i="4"/>
  <c r="D27" i="4"/>
  <c r="AA23" i="4"/>
  <c r="D13" i="15"/>
  <c r="D25" i="4"/>
  <c r="AD32" i="6"/>
  <c r="D22" i="6"/>
  <c r="A37" i="11"/>
  <c r="A12" i="8"/>
  <c r="U17" i="2"/>
  <c r="T17" i="2"/>
  <c r="W17" i="2"/>
  <c r="V17" i="2"/>
  <c r="A39" i="18"/>
  <c r="AD29" i="15"/>
  <c r="AD40" i="15"/>
  <c r="AD20" i="15"/>
  <c r="AD28" i="15"/>
  <c r="A26" i="11"/>
  <c r="A41" i="10"/>
  <c r="A30" i="8"/>
  <c r="A36" i="9"/>
  <c r="AA30" i="4"/>
  <c r="A15" i="11"/>
  <c r="AD32" i="15"/>
  <c r="H7" i="10"/>
  <c r="A36" i="8"/>
  <c r="A22" i="9"/>
  <c r="AD33" i="6"/>
  <c r="A36" i="13"/>
  <c r="A38" i="11"/>
  <c r="H7" i="9"/>
  <c r="AD30" i="6"/>
  <c r="A31" i="11"/>
  <c r="AA25" i="15"/>
  <c r="A24" i="8"/>
  <c r="AD40" i="4"/>
  <c r="A40" i="4" s="1"/>
  <c r="D34" i="4"/>
  <c r="A18" i="13"/>
  <c r="H7" i="13"/>
  <c r="AD25" i="4"/>
  <c r="A25" i="4" s="1"/>
  <c r="D15" i="14"/>
  <c r="D35" i="6"/>
  <c r="D21" i="4"/>
  <c r="A39" i="7"/>
  <c r="A44" i="8"/>
  <c r="AD16" i="12"/>
  <c r="D28" i="12"/>
  <c r="AD27" i="4"/>
  <c r="A27" i="4" s="1"/>
  <c r="A30" i="9"/>
  <c r="M40" i="3"/>
  <c r="O40" i="3"/>
  <c r="W23" i="2"/>
  <c r="U23" i="2"/>
  <c r="T23" i="2"/>
  <c r="V23" i="2"/>
  <c r="W15" i="2"/>
  <c r="V15" i="2"/>
  <c r="U15" i="2"/>
  <c r="T15" i="2"/>
  <c r="W7" i="2"/>
  <c r="V7" i="2"/>
  <c r="U7" i="2"/>
  <c r="T7" i="2"/>
  <c r="W8" i="2"/>
  <c r="V8" i="2"/>
  <c r="U8" i="2"/>
  <c r="T8" i="2"/>
  <c r="T29" i="2"/>
  <c r="W29" i="2"/>
  <c r="V29" i="2"/>
  <c r="U29" i="2"/>
  <c r="G40" i="3"/>
  <c r="E40" i="3"/>
  <c r="J40" i="3"/>
  <c r="H40" i="3"/>
  <c r="W38" i="2"/>
  <c r="V38" i="2"/>
  <c r="U38" i="2"/>
  <c r="T38" i="2"/>
  <c r="A17" i="10"/>
  <c r="A23" i="10"/>
  <c r="L40" i="3"/>
  <c r="W28" i="2"/>
  <c r="V28" i="2"/>
  <c r="T28" i="2"/>
  <c r="U28" i="2"/>
  <c r="T33" i="2"/>
  <c r="W33" i="2"/>
  <c r="V33" i="2"/>
  <c r="U33" i="2"/>
  <c r="A22" i="13"/>
  <c r="A31" i="8"/>
  <c r="A31" i="9"/>
  <c r="D29" i="6"/>
  <c r="AD39" i="6"/>
  <c r="A17" i="9"/>
  <c r="A27" i="10"/>
  <c r="D25" i="15"/>
  <c r="A44" i="9"/>
  <c r="AA26" i="4"/>
  <c r="A40" i="13"/>
  <c r="A33" i="13"/>
  <c r="D11" i="6"/>
  <c r="AD14" i="6"/>
  <c r="A23" i="11"/>
  <c r="D44" i="6"/>
  <c r="AD21" i="15"/>
  <c r="AD42" i="15"/>
  <c r="AA14" i="15"/>
  <c r="AA17" i="15"/>
  <c r="AA12" i="15"/>
  <c r="A33" i="18"/>
  <c r="AD17" i="15"/>
  <c r="A39" i="10"/>
  <c r="A20" i="11"/>
  <c r="A38" i="10"/>
  <c r="A39" i="13"/>
  <c r="AD24" i="6"/>
  <c r="A16" i="11"/>
  <c r="A24" i="7"/>
  <c r="D44" i="15"/>
  <c r="A42" i="13"/>
  <c r="A34" i="10"/>
  <c r="AA38" i="4"/>
  <c r="A42" i="9"/>
  <c r="D12" i="6"/>
  <c r="A32" i="8"/>
  <c r="A23" i="7"/>
  <c r="AA41" i="4"/>
  <c r="A33" i="7"/>
  <c r="A28" i="9"/>
  <c r="A39" i="8"/>
  <c r="A41" i="9"/>
  <c r="D38" i="6"/>
  <c r="AD28" i="4"/>
  <c r="A28" i="4" s="1"/>
  <c r="F7" i="4"/>
  <c r="D21" i="6"/>
  <c r="A40" i="9"/>
  <c r="AD13" i="14"/>
  <c r="AB13" i="14"/>
  <c r="AA13" i="14"/>
  <c r="D13" i="14"/>
  <c r="AA19" i="14"/>
  <c r="D25" i="6"/>
  <c r="AD12" i="14"/>
  <c r="D12" i="14"/>
  <c r="D42" i="4"/>
  <c r="AD37" i="6"/>
  <c r="D34" i="6"/>
  <c r="D16" i="6"/>
  <c r="D14" i="6"/>
  <c r="D21" i="12"/>
  <c r="A33" i="11"/>
  <c r="A14" i="7"/>
  <c r="D37" i="4"/>
  <c r="A20" i="9"/>
  <c r="AD39" i="4"/>
  <c r="A39" i="4" s="1"/>
  <c r="A17" i="8"/>
  <c r="N40" i="3"/>
  <c r="T37" i="2"/>
  <c r="U37" i="2"/>
  <c r="L11" i="1" s="1"/>
  <c r="V37" i="2"/>
  <c r="K11" i="1" s="1"/>
  <c r="W37" i="2"/>
  <c r="A30" i="11"/>
  <c r="AA16" i="4"/>
  <c r="D40" i="4"/>
  <c r="D41" i="4"/>
  <c r="AA28" i="4"/>
  <c r="AD38" i="6"/>
  <c r="D31" i="15"/>
  <c r="AD18" i="15"/>
  <c r="AD22" i="15"/>
  <c r="AD39" i="15"/>
  <c r="AD23" i="15"/>
  <c r="A12" i="13"/>
  <c r="A32" i="11"/>
  <c r="A25" i="9"/>
  <c r="D20" i="6"/>
  <c r="A27" i="9"/>
  <c r="AA44" i="15"/>
  <c r="A39" i="9"/>
  <c r="AA36" i="4"/>
  <c r="H7" i="11"/>
  <c r="A29" i="8"/>
  <c r="A28" i="7"/>
  <c r="D43" i="4"/>
  <c r="AD35" i="4"/>
  <c r="A35" i="4" s="1"/>
  <c r="A10" i="13"/>
  <c r="AD45" i="13"/>
  <c r="AD46" i="13" s="1"/>
  <c r="A43" i="13" s="1"/>
  <c r="AA42" i="4"/>
  <c r="AD43" i="6"/>
  <c r="AD40" i="6"/>
  <c r="AA21" i="12"/>
  <c r="AA39" i="4"/>
  <c r="A38" i="9"/>
  <c r="A33" i="8"/>
  <c r="D10" i="4"/>
  <c r="A27" i="18"/>
  <c r="AA16" i="15"/>
  <c r="AA24" i="15"/>
  <c r="AD14" i="15"/>
  <c r="AD12" i="15"/>
  <c r="AD45" i="18"/>
  <c r="AD46" i="18" s="1"/>
  <c r="A26" i="18" s="1"/>
  <c r="D30" i="15"/>
  <c r="A18" i="11"/>
  <c r="A17" i="11"/>
  <c r="A11" i="7"/>
  <c r="A32" i="9"/>
  <c r="A28" i="10"/>
  <c r="A30" i="10"/>
  <c r="A42" i="8"/>
  <c r="AD36" i="4"/>
  <c r="A36" i="4" s="1"/>
  <c r="A25" i="8"/>
  <c r="A11" i="9"/>
  <c r="A13" i="7"/>
  <c r="A20" i="10"/>
  <c r="D31" i="4"/>
  <c r="A37" i="8"/>
  <c r="AA43" i="4"/>
  <c r="A13" i="13"/>
  <c r="A16" i="13"/>
  <c r="A27" i="8"/>
  <c r="AD20" i="6"/>
  <c r="AD25" i="6"/>
  <c r="AD21" i="12"/>
  <c r="AA37" i="4"/>
  <c r="D13" i="12"/>
  <c r="A33" i="9"/>
  <c r="A26" i="8"/>
  <c r="A11" i="10"/>
  <c r="A15" i="10"/>
  <c r="A42" i="7"/>
  <c r="D20" i="4"/>
  <c r="U39" i="2"/>
  <c r="V39" i="2"/>
  <c r="T39" i="2"/>
  <c r="W39" i="2"/>
  <c r="U31" i="2"/>
  <c r="L12" i="1" s="1"/>
  <c r="W31" i="2"/>
  <c r="V31" i="2"/>
  <c r="K12" i="1" s="1"/>
  <c r="T31" i="2"/>
  <c r="I40" i="3"/>
  <c r="U22" i="2"/>
  <c r="T22" i="2"/>
  <c r="W22" i="2"/>
  <c r="V22" i="2"/>
  <c r="W12" i="2"/>
  <c r="V12" i="2"/>
  <c r="U12" i="2"/>
  <c r="T12" i="2"/>
  <c r="B12" i="3" a="1"/>
  <c r="C33" i="1" a="1"/>
  <c r="C32" i="1" a="1"/>
  <c r="D7" i="1" a="1"/>
  <c r="C11" i="1" a="1"/>
  <c r="D11" i="1" a="1"/>
  <c r="D21" i="1" a="1"/>
  <c r="B37" i="3" a="1"/>
  <c r="D22" i="1" a="1"/>
  <c r="D9" i="1" a="1"/>
  <c r="C23" i="1" a="1"/>
  <c r="C34" i="1" a="1"/>
  <c r="D25" i="1" a="1"/>
  <c r="C7" i="1" a="1"/>
  <c r="D18" i="1" a="1"/>
  <c r="C24" i="1" a="1"/>
  <c r="C28" i="3" a="1"/>
  <c r="D32" i="1" a="1"/>
  <c r="D26" i="1" a="1"/>
  <c r="C26" i="3" a="1"/>
  <c r="D41" i="1" a="1"/>
  <c r="D28" i="1" a="1"/>
  <c r="D19" i="1" a="1"/>
  <c r="B11" i="3" a="1"/>
  <c r="B33" i="3" a="1"/>
  <c r="C12" i="1" a="1"/>
  <c r="C37" i="1" a="1"/>
  <c r="D37" i="1" a="1"/>
  <c r="C33" i="3" a="1"/>
  <c r="D29" i="1" a="1"/>
  <c r="D39" i="1" a="1"/>
  <c r="B25" i="3" a="1"/>
  <c r="C26" i="1" a="1"/>
  <c r="D13" i="1" a="1"/>
  <c r="D23" i="1" a="1"/>
  <c r="C15" i="1" a="1"/>
  <c r="C36" i="1" a="1"/>
  <c r="D38" i="1" a="1"/>
  <c r="D17" i="1" a="1"/>
  <c r="C29" i="1" a="1"/>
  <c r="C19" i="1" a="1"/>
  <c r="D27" i="1" a="1"/>
  <c r="D14" i="1" a="1"/>
  <c r="B5" i="3" a="1"/>
  <c r="B10" i="3" a="1"/>
  <c r="D40" i="1" a="1"/>
  <c r="D30" i="1" a="1"/>
  <c r="C30" i="1" a="1"/>
  <c r="C9" i="1" a="1"/>
  <c r="D33" i="1" a="1"/>
  <c r="C31" i="1" a="1"/>
  <c r="C16" i="1" a="1"/>
  <c r="B13" i="3" a="1"/>
  <c r="D20" i="1" a="1"/>
  <c r="C32" i="3" a="1"/>
  <c r="C38" i="1" a="1"/>
  <c r="C8" i="1" a="1"/>
  <c r="B32" i="3" a="1"/>
  <c r="B19" i="3" a="1"/>
  <c r="B8" i="3" a="1"/>
  <c r="B16" i="3" a="1"/>
  <c r="C34" i="3" a="1"/>
  <c r="B23" i="3" a="1"/>
  <c r="D16" i="1" a="1"/>
  <c r="C28" i="1" a="1"/>
  <c r="B24" i="3" a="1"/>
  <c r="D36" i="1" a="1"/>
  <c r="B36" i="3" a="1"/>
  <c r="C10" i="1" a="1"/>
  <c r="C41" i="1" a="1"/>
  <c r="D31" i="1" a="1"/>
  <c r="B39" i="3" a="1"/>
  <c r="D10" i="1" a="1"/>
  <c r="B21" i="3" a="1"/>
  <c r="C39" i="1" a="1"/>
  <c r="B20" i="3" a="1"/>
  <c r="B17" i="3" a="1"/>
  <c r="C13" i="1" a="1"/>
  <c r="C18" i="1" a="1"/>
  <c r="C22" i="1" a="1"/>
  <c r="D35" i="1" a="1"/>
  <c r="C40" i="1" a="1"/>
  <c r="B28" i="3" a="1"/>
  <c r="D8" i="1" a="1"/>
  <c r="C27" i="1" a="1"/>
  <c r="D34" i="1" a="1"/>
  <c r="D24" i="1" a="1"/>
  <c r="C25" i="1" a="1"/>
  <c r="C17" i="1" a="1"/>
  <c r="C14" i="1" a="1"/>
  <c r="D12" i="1" a="1"/>
  <c r="C21" i="1" a="1"/>
  <c r="B35" i="3" a="1"/>
  <c r="B29" i="3" a="1"/>
  <c r="C20" i="1" a="1"/>
  <c r="D15" i="1" a="1"/>
  <c r="B14" i="3" a="1"/>
  <c r="C35" i="1" a="1"/>
  <c r="T13" i="2" l="1"/>
  <c r="Y13" i="2" s="1" a="1"/>
  <c r="Y13" i="2" s="1"/>
  <c r="W13" i="2"/>
  <c r="T19" i="2"/>
  <c r="Y19" i="2" s="1" a="1"/>
  <c r="Y19" i="2" s="1"/>
  <c r="V19" i="2"/>
  <c r="K9" i="1" s="1"/>
  <c r="W19" i="2"/>
  <c r="C23" i="1"/>
  <c r="C26" i="1"/>
  <c r="B11" i="3"/>
  <c r="B37" i="3"/>
  <c r="C14" i="1"/>
  <c r="D8" i="1"/>
  <c r="E8" i="1" s="1"/>
  <c r="C19" i="1"/>
  <c r="D10" i="1"/>
  <c r="E10" i="1" s="1"/>
  <c r="D31" i="1"/>
  <c r="E31" i="1" s="1"/>
  <c r="C8" i="1"/>
  <c r="D17" i="1"/>
  <c r="E17" i="1" s="1"/>
  <c r="C9" i="1"/>
  <c r="C21" i="1"/>
  <c r="C33" i="3"/>
  <c r="D19" i="1"/>
  <c r="E19" i="1" s="1"/>
  <c r="D21" i="1"/>
  <c r="E21" i="1" s="1"/>
  <c r="C17" i="1"/>
  <c r="B28" i="3"/>
  <c r="B20" i="3"/>
  <c r="B39" i="3"/>
  <c r="B16" i="3"/>
  <c r="C38" i="1"/>
  <c r="C7" i="1"/>
  <c r="C30" i="1"/>
  <c r="C15" i="1"/>
  <c r="D37" i="1"/>
  <c r="E37" i="1" s="1"/>
  <c r="D28" i="1"/>
  <c r="E28" i="1" s="1"/>
  <c r="D11" i="1"/>
  <c r="E11" i="1" s="1"/>
  <c r="C25" i="1"/>
  <c r="C40" i="1"/>
  <c r="C35" i="1"/>
  <c r="B24" i="3"/>
  <c r="B8" i="3"/>
  <c r="C32" i="3"/>
  <c r="D38" i="1"/>
  <c r="E38" i="1" s="1"/>
  <c r="D30" i="1"/>
  <c r="E30" i="1" s="1"/>
  <c r="D15" i="1"/>
  <c r="E15" i="1" s="1"/>
  <c r="C37" i="1"/>
  <c r="D41" i="1"/>
  <c r="E41" i="1" s="1"/>
  <c r="C11" i="1"/>
  <c r="C20" i="1"/>
  <c r="D35" i="1"/>
  <c r="E35" i="1" s="1"/>
  <c r="C24" i="1"/>
  <c r="C28" i="1"/>
  <c r="C41" i="1"/>
  <c r="D20" i="1"/>
  <c r="E20" i="1" s="1"/>
  <c r="D25" i="1"/>
  <c r="E25" i="1" s="1"/>
  <c r="D40" i="1"/>
  <c r="E40" i="1" s="1"/>
  <c r="D9" i="1"/>
  <c r="E9" i="1" s="1"/>
  <c r="B25" i="3"/>
  <c r="C26" i="3"/>
  <c r="D7" i="1"/>
  <c r="E7" i="1" s="1"/>
  <c r="D24" i="1"/>
  <c r="E24" i="1" s="1"/>
  <c r="C22" i="1"/>
  <c r="D36" i="1"/>
  <c r="E36" i="1" s="1"/>
  <c r="D16" i="1"/>
  <c r="E16" i="1" s="1"/>
  <c r="B19" i="3"/>
  <c r="B13" i="3"/>
  <c r="B14" i="3"/>
  <c r="B10" i="3"/>
  <c r="D23" i="1"/>
  <c r="E23" i="1" s="1"/>
  <c r="C12" i="1"/>
  <c r="D26" i="1"/>
  <c r="E26" i="1" s="1"/>
  <c r="C32" i="1"/>
  <c r="D34" i="1"/>
  <c r="E34" i="1" s="1"/>
  <c r="C18" i="1"/>
  <c r="C29" i="1"/>
  <c r="B23" i="3"/>
  <c r="B32" i="3"/>
  <c r="C16" i="1"/>
  <c r="B35" i="3"/>
  <c r="B5" i="3"/>
  <c r="D12" i="1"/>
  <c r="E12" i="1" s="1"/>
  <c r="D39" i="1"/>
  <c r="E39" i="1" s="1"/>
  <c r="D32" i="1"/>
  <c r="E32" i="1" s="1"/>
  <c r="C33" i="1"/>
  <c r="C27" i="1"/>
  <c r="C13" i="1"/>
  <c r="D18" i="1"/>
  <c r="E18" i="1" s="1"/>
  <c r="C39" i="1"/>
  <c r="C10" i="1"/>
  <c r="C31" i="1"/>
  <c r="C36" i="1"/>
  <c r="D14" i="1"/>
  <c r="E14" i="1" s="1"/>
  <c r="D22" i="1"/>
  <c r="E22" i="1" s="1"/>
  <c r="B33" i="3"/>
  <c r="C28" i="3"/>
  <c r="B12" i="3"/>
  <c r="B29" i="3"/>
  <c r="B17" i="3"/>
  <c r="B21" i="3"/>
  <c r="C34" i="3"/>
  <c r="B36" i="3"/>
  <c r="D33" i="1"/>
  <c r="E33" i="1" s="1"/>
  <c r="C34" i="1"/>
  <c r="D27" i="1"/>
  <c r="E27" i="1" s="1"/>
  <c r="D13" i="1"/>
  <c r="E13" i="1" s="1"/>
  <c r="D29" i="1"/>
  <c r="E29" i="1" s="1"/>
  <c r="Y26" i="2" a="1"/>
  <c r="Y26" i="2" s="1"/>
  <c r="A32" i="17"/>
  <c r="A44" i="16"/>
  <c r="A43" i="16"/>
  <c r="Y24" i="2" a="1"/>
  <c r="Y24" i="2" s="1"/>
  <c r="A11" i="17"/>
  <c r="Y23" i="2" a="1"/>
  <c r="Y23" i="2" s="1"/>
  <c r="A20" i="18"/>
  <c r="A43" i="10"/>
  <c r="A35" i="18"/>
  <c r="A33" i="10"/>
  <c r="A44" i="13"/>
  <c r="A41" i="16"/>
  <c r="A33" i="16"/>
  <c r="A17" i="13"/>
  <c r="A22" i="7"/>
  <c r="A30" i="7"/>
  <c r="A14" i="18"/>
  <c r="A15" i="7"/>
  <c r="A37" i="7"/>
  <c r="A15" i="13"/>
  <c r="A37" i="15"/>
  <c r="A18" i="17"/>
  <c r="A22" i="12"/>
  <c r="H7" i="12"/>
  <c r="A10" i="10"/>
  <c r="A28" i="13"/>
  <c r="A43" i="7"/>
  <c r="A36" i="10"/>
  <c r="A19" i="7"/>
  <c r="A41" i="13"/>
  <c r="A22" i="11"/>
  <c r="A28" i="18"/>
  <c r="A22" i="19"/>
  <c r="A13" i="19"/>
  <c r="AD45" i="16"/>
  <c r="AD46" i="16" s="1"/>
  <c r="A38" i="16" s="1"/>
  <c r="H7" i="16"/>
  <c r="A35" i="7"/>
  <c r="A30" i="17"/>
  <c r="A19" i="9"/>
  <c r="A12" i="7"/>
  <c r="A22" i="17"/>
  <c r="A14" i="17"/>
  <c r="A29" i="17"/>
  <c r="Y10" i="2" a="1"/>
  <c r="Y10" i="2" s="1"/>
  <c r="H7" i="19"/>
  <c r="A31" i="17"/>
  <c r="Y8" i="2" a="1"/>
  <c r="Y8" i="2" s="1"/>
  <c r="Y22" i="2" a="1"/>
  <c r="Y22" i="2" s="1"/>
  <c r="A18" i="15"/>
  <c r="A37" i="10"/>
  <c r="Y33" i="2" a="1"/>
  <c r="Y33" i="2" s="1"/>
  <c r="A32" i="13"/>
  <c r="A36" i="7"/>
  <c r="A31" i="10"/>
  <c r="A10" i="7"/>
  <c r="A44" i="17"/>
  <c r="Y6" i="2" a="1"/>
  <c r="Y6" i="2" s="1"/>
  <c r="A29" i="13"/>
  <c r="A20" i="13"/>
  <c r="A29" i="7"/>
  <c r="A19" i="17"/>
  <c r="A37" i="18"/>
  <c r="A42" i="10"/>
  <c r="A18" i="7"/>
  <c r="A26" i="17"/>
  <c r="A38" i="13"/>
  <c r="A36" i="19"/>
  <c r="A24" i="16"/>
  <c r="A34" i="7"/>
  <c r="A32" i="7"/>
  <c r="A12" i="16"/>
  <c r="Y29" i="2" a="1"/>
  <c r="Y29" i="2" s="1"/>
  <c r="A20" i="17"/>
  <c r="A34" i="16"/>
  <c r="A40" i="17"/>
  <c r="Y32" i="2" a="1"/>
  <c r="Y32" i="2" s="1"/>
  <c r="A30" i="19"/>
  <c r="A39" i="15"/>
  <c r="A12" i="14"/>
  <c r="A12" i="18"/>
  <c r="A21" i="17"/>
  <c r="Y7" i="2" a="1"/>
  <c r="Y7" i="2" s="1"/>
  <c r="Y17" i="2" a="1"/>
  <c r="Y17" i="2" s="1"/>
  <c r="Y27" i="2" a="1"/>
  <c r="Y27" i="2" s="1"/>
  <c r="AD45" i="12"/>
  <c r="AD46" i="12" s="1"/>
  <c r="A35" i="12" s="1"/>
  <c r="A10" i="12"/>
  <c r="Y30" i="2" a="1"/>
  <c r="Y30" i="2" s="1"/>
  <c r="A35" i="13"/>
  <c r="A44" i="10"/>
  <c r="A41" i="8"/>
  <c r="Y25" i="2" a="1"/>
  <c r="Y25" i="2" s="1"/>
  <c r="A20" i="8"/>
  <c r="A14" i="10"/>
  <c r="A13" i="17"/>
  <c r="A12" i="19"/>
  <c r="A16" i="19"/>
  <c r="A42" i="18"/>
  <c r="A37" i="17"/>
  <c r="Y11" i="2" a="1"/>
  <c r="Y11" i="2" s="1"/>
  <c r="A42" i="19"/>
  <c r="Y39" i="2" a="1"/>
  <c r="Y39" i="2" s="1"/>
  <c r="A12" i="17"/>
  <c r="A28" i="16"/>
  <c r="AD45" i="5"/>
  <c r="AD46" i="5" s="1"/>
  <c r="A39" i="5" s="1"/>
  <c r="A34" i="17"/>
  <c r="A29" i="18"/>
  <c r="A10" i="18"/>
  <c r="A35" i="17"/>
  <c r="Y28" i="2" a="1"/>
  <c r="Y28" i="2" s="1"/>
  <c r="A13" i="18"/>
  <c r="A14" i="13"/>
  <c r="A41" i="18"/>
  <c r="A10" i="8"/>
  <c r="A18" i="10"/>
  <c r="A27" i="13"/>
  <c r="AD45" i="6"/>
  <c r="AD46" i="6" s="1"/>
  <c r="A43" i="6" s="1"/>
  <c r="A17" i="17"/>
  <c r="Y20" i="2" a="1"/>
  <c r="Y20" i="2" s="1"/>
  <c r="A32" i="10"/>
  <c r="A43" i="17"/>
  <c r="A18" i="19"/>
  <c r="A27" i="16"/>
  <c r="A21" i="16"/>
  <c r="A40" i="18"/>
  <c r="A21" i="7"/>
  <c r="A21" i="13"/>
  <c r="A10" i="4"/>
  <c r="AD45" i="4"/>
  <c r="AD46" i="4" s="1"/>
  <c r="A13" i="4" s="1"/>
  <c r="A16" i="17"/>
  <c r="AD45" i="15"/>
  <c r="AD46" i="15" s="1"/>
  <c r="A22" i="15" s="1"/>
  <c r="AD45" i="19"/>
  <c r="AD46" i="19" s="1"/>
  <c r="A19" i="19" s="1"/>
  <c r="A22" i="16"/>
  <c r="A12" i="15"/>
  <c r="A38" i="18"/>
  <c r="A30" i="18"/>
  <c r="A26" i="10"/>
  <c r="Y9" i="2" a="1"/>
  <c r="Y9" i="2" s="1"/>
  <c r="A24" i="18"/>
  <c r="A11" i="8"/>
  <c r="A30" i="16"/>
  <c r="A39" i="19"/>
  <c r="A41" i="19"/>
  <c r="A27" i="19"/>
  <c r="A24" i="19"/>
  <c r="A14" i="16"/>
  <c r="A25" i="13"/>
  <c r="A17" i="7"/>
  <c r="A16" i="10"/>
  <c r="W30" i="3"/>
  <c r="V30" i="3"/>
  <c r="U30" i="3"/>
  <c r="T30" i="3"/>
  <c r="Y18" i="2" a="1"/>
  <c r="Y18" i="2" s="1"/>
  <c r="Y34" i="2" a="1"/>
  <c r="Y34" i="2" s="1"/>
  <c r="A27" i="17"/>
  <c r="A25" i="19"/>
  <c r="A32" i="16"/>
  <c r="Y14" i="2" a="1"/>
  <c r="Y14" i="2" s="1"/>
  <c r="A42" i="17"/>
  <c r="A44" i="18"/>
  <c r="A13" i="10"/>
  <c r="A19" i="10"/>
  <c r="A31" i="13"/>
  <c r="A15" i="17"/>
  <c r="A25" i="17"/>
  <c r="Y36" i="2" a="1"/>
  <c r="Y36" i="2" s="1"/>
  <c r="A36" i="18"/>
  <c r="A20" i="7"/>
  <c r="A23" i="17"/>
  <c r="A31" i="19"/>
  <c r="A22" i="10"/>
  <c r="A19" i="18"/>
  <c r="A22" i="8"/>
  <c r="Y12" i="2" a="1"/>
  <c r="Y12" i="2" s="1"/>
  <c r="A43" i="14"/>
  <c r="AD45" i="14"/>
  <c r="AD46" i="14" s="1"/>
  <c r="A20" i="16"/>
  <c r="U21" i="2"/>
  <c r="T21" i="2"/>
  <c r="V21" i="2"/>
  <c r="W21" i="2"/>
  <c r="A33" i="17"/>
  <c r="A18" i="6"/>
  <c r="A28" i="19"/>
  <c r="A37" i="16"/>
  <c r="A36" i="17"/>
  <c r="Y38" i="2" a="1"/>
  <c r="Y38" i="2" s="1"/>
  <c r="A38" i="17"/>
  <c r="A28" i="17"/>
  <c r="A15" i="6"/>
  <c r="A26" i="16"/>
  <c r="H7" i="4"/>
  <c r="Y31" i="2" a="1"/>
  <c r="Y31" i="2" s="1"/>
  <c r="Y37" i="2" a="1"/>
  <c r="Y37" i="2" s="1"/>
  <c r="A13" i="14"/>
  <c r="A23" i="13"/>
  <c r="A19" i="13"/>
  <c r="A13" i="15"/>
  <c r="A26" i="7"/>
  <c r="A17" i="15"/>
  <c r="A31" i="18"/>
  <c r="Y15" i="2" a="1"/>
  <c r="Y15" i="2" s="1"/>
  <c r="A27" i="7"/>
  <c r="A16" i="18"/>
  <c r="Y16" i="2" a="1"/>
  <c r="Y16" i="2" s="1"/>
  <c r="Y35" i="2" a="1"/>
  <c r="Y35" i="2" s="1"/>
  <c r="A14" i="14"/>
  <c r="A40" i="8"/>
  <c r="A25" i="7"/>
  <c r="A22" i="18"/>
  <c r="A39" i="17"/>
  <c r="Y5" i="2" a="1"/>
  <c r="Y5" i="2" s="1"/>
  <c r="A14" i="8"/>
  <c r="A10" i="17"/>
  <c r="A23" i="19"/>
  <c r="A17" i="19"/>
  <c r="A13" i="16"/>
  <c r="A15" i="16"/>
  <c r="A25" i="18"/>
  <c r="D38" i="3" a="1"/>
  <c r="D6" i="3" a="1"/>
  <c r="D27" i="3" a="1"/>
  <c r="B26" i="3" a="1"/>
  <c r="B18" i="3" a="1"/>
  <c r="C38" i="3" a="1"/>
  <c r="X24" i="2" l="1"/>
  <c r="D27" i="3"/>
  <c r="D6" i="3"/>
  <c r="D38" i="3"/>
  <c r="A23" i="6"/>
  <c r="A20" i="6"/>
  <c r="A30" i="6"/>
  <c r="A40" i="6"/>
  <c r="A38" i="6"/>
  <c r="A31" i="6"/>
  <c r="A35" i="6"/>
  <c r="A24" i="6"/>
  <c r="A25" i="6"/>
  <c r="X10" i="2"/>
  <c r="X27" i="2"/>
  <c r="X35" i="2"/>
  <c r="X19" i="2"/>
  <c r="J9" i="1" s="1"/>
  <c r="X29" i="2"/>
  <c r="X12" i="2"/>
  <c r="X16" i="2"/>
  <c r="X22" i="2"/>
  <c r="X5" i="2"/>
  <c r="X14" i="2"/>
  <c r="X23" i="2"/>
  <c r="I5" i="1"/>
  <c r="K5" i="1" s="1"/>
  <c r="X36" i="2"/>
  <c r="B26" i="3"/>
  <c r="B18" i="3"/>
  <c r="C38" i="3"/>
  <c r="A30" i="15"/>
  <c r="A37" i="6"/>
  <c r="A17" i="12"/>
  <c r="A13" i="6"/>
  <c r="A11" i="15"/>
  <c r="A29" i="15"/>
  <c r="A20" i="19"/>
  <c r="A36" i="6"/>
  <c r="X20" i="2"/>
  <c r="A19" i="6"/>
  <c r="A43" i="19"/>
  <c r="A27" i="15"/>
  <c r="A37" i="12"/>
  <c r="A39" i="6"/>
  <c r="A38" i="19"/>
  <c r="A42" i="15"/>
  <c r="A11" i="12"/>
  <c r="A38" i="12"/>
  <c r="A26" i="19"/>
  <c r="A34" i="12"/>
  <c r="A10" i="19"/>
  <c r="A36" i="15"/>
  <c r="A31" i="15"/>
  <c r="A33" i="6"/>
  <c r="X11" i="2"/>
  <c r="X25" i="2"/>
  <c r="J10" i="1" s="1"/>
  <c r="X17" i="2"/>
  <c r="X32" i="2"/>
  <c r="A20" i="15"/>
  <c r="A12" i="5"/>
  <c r="A21" i="12"/>
  <c r="A32" i="6"/>
  <c r="A21" i="19"/>
  <c r="A15" i="19"/>
  <c r="A40" i="19"/>
  <c r="A33" i="19"/>
  <c r="A29" i="19"/>
  <c r="A44" i="19"/>
  <c r="A32" i="19"/>
  <c r="A14" i="19"/>
  <c r="A11" i="19"/>
  <c r="A33" i="15"/>
  <c r="A19" i="16"/>
  <c r="A10" i="16"/>
  <c r="A35" i="19"/>
  <c r="A18" i="16"/>
  <c r="A14" i="12"/>
  <c r="A19" i="12"/>
  <c r="A25" i="12"/>
  <c r="X9" i="2"/>
  <c r="A44" i="15"/>
  <c r="A19" i="15"/>
  <c r="A25" i="15"/>
  <c r="A10" i="15"/>
  <c r="A35" i="15"/>
  <c r="A24" i="15"/>
  <c r="A16" i="15"/>
  <c r="A43" i="15"/>
  <c r="A41" i="15"/>
  <c r="A26" i="15"/>
  <c r="A34" i="15"/>
  <c r="A27" i="6"/>
  <c r="A41" i="6"/>
  <c r="A28" i="6"/>
  <c r="A17" i="6"/>
  <c r="A12" i="6"/>
  <c r="A29" i="6"/>
  <c r="A11" i="6"/>
  <c r="A42" i="6"/>
  <c r="A21" i="6"/>
  <c r="A34" i="6"/>
  <c r="A44" i="6"/>
  <c r="A32" i="15"/>
  <c r="X7" i="2"/>
  <c r="X33" i="2"/>
  <c r="A29" i="16"/>
  <c r="A40" i="16"/>
  <c r="F38" i="1"/>
  <c r="G38" i="1" s="1"/>
  <c r="F27" i="1"/>
  <c r="G27" i="1" s="1"/>
  <c r="F20" i="1"/>
  <c r="G20" i="1" s="1"/>
  <c r="F16" i="1"/>
  <c r="G16" i="1" s="1"/>
  <c r="F32" i="1"/>
  <c r="G32" i="1" s="1"/>
  <c r="F31" i="1"/>
  <c r="G31" i="1" s="1"/>
  <c r="F12" i="1"/>
  <c r="G12" i="1" s="1"/>
  <c r="F10" i="1"/>
  <c r="G10" i="1" s="1"/>
  <c r="F8" i="1"/>
  <c r="G8" i="1" s="1"/>
  <c r="F23" i="1"/>
  <c r="G23" i="1" s="1"/>
  <c r="F39" i="1"/>
  <c r="G39" i="1" s="1"/>
  <c r="F22" i="1"/>
  <c r="G22" i="1" s="1"/>
  <c r="F18" i="1"/>
  <c r="G18" i="1" s="1"/>
  <c r="F26" i="1"/>
  <c r="G26" i="1" s="1"/>
  <c r="F19" i="1"/>
  <c r="G19" i="1" s="1"/>
  <c r="F15" i="1"/>
  <c r="G15" i="1" s="1"/>
  <c r="F7" i="1"/>
  <c r="G7" i="1" s="1"/>
  <c r="F25" i="1"/>
  <c r="G25" i="1" s="1"/>
  <c r="F30" i="1"/>
  <c r="G30" i="1" s="1"/>
  <c r="F37" i="1"/>
  <c r="G37" i="1" s="1"/>
  <c r="F14" i="1"/>
  <c r="G14" i="1" s="1"/>
  <c r="F28" i="1"/>
  <c r="G28" i="1" s="1"/>
  <c r="F11" i="1"/>
  <c r="G11" i="1" s="1"/>
  <c r="F41" i="1"/>
  <c r="G41" i="1" s="1"/>
  <c r="F36" i="1"/>
  <c r="G36" i="1" s="1"/>
  <c r="F34" i="1"/>
  <c r="G34" i="1" s="1"/>
  <c r="F24" i="1"/>
  <c r="G24" i="1" s="1"/>
  <c r="F9" i="1"/>
  <c r="G9" i="1" s="1"/>
  <c r="F17" i="1"/>
  <c r="G17" i="1" s="1"/>
  <c r="F40" i="1"/>
  <c r="G40" i="1" s="1"/>
  <c r="F35" i="1"/>
  <c r="G35" i="1" s="1"/>
  <c r="F29" i="1"/>
  <c r="G29" i="1" s="1"/>
  <c r="F21" i="1"/>
  <c r="G21" i="1" s="1"/>
  <c r="F13" i="1"/>
  <c r="G13" i="1" s="1"/>
  <c r="F33" i="1"/>
  <c r="G33" i="1" s="1"/>
  <c r="A30" i="12"/>
  <c r="A27" i="12"/>
  <c r="A32" i="12"/>
  <c r="Y21" i="2" a="1"/>
  <c r="Y21" i="2" s="1"/>
  <c r="X21" i="2"/>
  <c r="A12" i="12"/>
  <c r="X15" i="2"/>
  <c r="A14" i="15"/>
  <c r="A43" i="12"/>
  <c r="A10" i="6"/>
  <c r="X28" i="2"/>
  <c r="X39" i="2"/>
  <c r="A34" i="19"/>
  <c r="X8" i="2"/>
  <c r="A42" i="16"/>
  <c r="A38" i="15"/>
  <c r="X26" i="2"/>
  <c r="J8" i="1" s="1"/>
  <c r="A29" i="12"/>
  <c r="X37" i="2"/>
  <c r="J11" i="1" s="1"/>
  <c r="X18" i="2"/>
  <c r="A23" i="15"/>
  <c r="A26" i="6"/>
  <c r="A15" i="15"/>
  <c r="A36" i="16"/>
  <c r="A13" i="12"/>
  <c r="A23" i="12"/>
  <c r="A31" i="12"/>
  <c r="A40" i="12"/>
  <c r="A44" i="12"/>
  <c r="A20" i="12"/>
  <c r="A33" i="12"/>
  <c r="A24" i="12"/>
  <c r="A18" i="12"/>
  <c r="A41" i="12"/>
  <c r="A28" i="12"/>
  <c r="A36" i="12"/>
  <c r="A39" i="12"/>
  <c r="A42" i="12"/>
  <c r="A15" i="12"/>
  <c r="A26" i="12"/>
  <c r="X34" i="2"/>
  <c r="X38" i="2"/>
  <c r="A22" i="6"/>
  <c r="A16" i="6"/>
  <c r="A11" i="16"/>
  <c r="A21" i="15"/>
  <c r="A16" i="16"/>
  <c r="A17" i="16"/>
  <c r="A14" i="6"/>
  <c r="X31" i="2"/>
  <c r="J12" i="1" s="1"/>
  <c r="A40" i="14"/>
  <c r="A10" i="14"/>
  <c r="A33" i="14"/>
  <c r="A20" i="14"/>
  <c r="A35" i="14"/>
  <c r="A16" i="14"/>
  <c r="A22" i="14"/>
  <c r="A38" i="14"/>
  <c r="A26" i="14"/>
  <c r="A18" i="14"/>
  <c r="A37" i="14"/>
  <c r="A31" i="14"/>
  <c r="A39" i="14"/>
  <c r="A44" i="14"/>
  <c r="A19" i="14"/>
  <c r="A15" i="14"/>
  <c r="A25" i="14"/>
  <c r="A28" i="14"/>
  <c r="A11" i="14"/>
  <c r="A17" i="14"/>
  <c r="A32" i="14"/>
  <c r="A30" i="14"/>
  <c r="A29" i="14"/>
  <c r="A41" i="14"/>
  <c r="A27" i="14"/>
  <c r="A23" i="14"/>
  <c r="A34" i="14"/>
  <c r="A36" i="14"/>
  <c r="A24" i="14"/>
  <c r="A21" i="14"/>
  <c r="A42" i="14"/>
  <c r="A37" i="19"/>
  <c r="A25" i="16"/>
  <c r="A28" i="15"/>
  <c r="A35" i="16"/>
  <c r="X13" i="2"/>
  <c r="A16" i="12"/>
  <c r="A31" i="16"/>
  <c r="X30" i="2"/>
  <c r="A40" i="15"/>
  <c r="A23" i="16"/>
  <c r="X6" i="2"/>
  <c r="A39" i="16"/>
  <c r="D5" i="3" a="1"/>
  <c r="D39" i="3" a="1"/>
  <c r="D9" i="3" a="1"/>
  <c r="D13" i="3" a="1"/>
  <c r="D15" i="3" a="1"/>
  <c r="D7" i="3" a="1"/>
  <c r="D21" i="3" a="1"/>
  <c r="D12" i="3" a="1"/>
  <c r="D11" i="3" a="1"/>
  <c r="D34" i="3" a="1"/>
  <c r="D22" i="3" a="1"/>
  <c r="D16" i="3" a="1"/>
  <c r="D26" i="3" a="1"/>
  <c r="D32" i="3" a="1"/>
  <c r="D19" i="3" a="1"/>
  <c r="D20" i="3" a="1"/>
  <c r="D33" i="3" a="1"/>
  <c r="D8" i="3" a="1"/>
  <c r="D37" i="3" a="1"/>
  <c r="D10" i="3" a="1"/>
  <c r="D24" i="3" a="1"/>
  <c r="D36" i="3" a="1"/>
  <c r="D17" i="3" a="1"/>
  <c r="D23" i="3" a="1"/>
  <c r="D29" i="3" a="1"/>
  <c r="D14" i="3" a="1"/>
  <c r="D18" i="3" a="1"/>
  <c r="D31" i="3" a="1"/>
  <c r="D35" i="3" a="1"/>
  <c r="D28" i="3" a="1"/>
  <c r="D25" i="3" a="1"/>
  <c r="C19" i="3" a="1"/>
  <c r="B40" i="3" l="1"/>
  <c r="Q39" i="1"/>
  <c r="U39" i="1" s="1"/>
  <c r="D25" i="3"/>
  <c r="D28" i="3"/>
  <c r="D35" i="3"/>
  <c r="D31" i="3"/>
  <c r="D18" i="3"/>
  <c r="T18" i="3" s="1"/>
  <c r="D14" i="3"/>
  <c r="D29" i="3"/>
  <c r="D23" i="3"/>
  <c r="D17" i="3"/>
  <c r="D36" i="3"/>
  <c r="D24" i="3"/>
  <c r="D10" i="3"/>
  <c r="D37" i="3"/>
  <c r="D8" i="3"/>
  <c r="D33" i="3"/>
  <c r="D20" i="3"/>
  <c r="D19" i="3"/>
  <c r="D32" i="3"/>
  <c r="D26" i="3"/>
  <c r="W26" i="3" s="1"/>
  <c r="D16" i="3"/>
  <c r="D22" i="3"/>
  <c r="D34" i="3"/>
  <c r="D11" i="3"/>
  <c r="D12" i="3"/>
  <c r="D21" i="3"/>
  <c r="D7" i="3"/>
  <c r="D15" i="3"/>
  <c r="D13" i="3"/>
  <c r="D9" i="3"/>
  <c r="D39" i="3"/>
  <c r="D5" i="3"/>
  <c r="V6" i="3"/>
  <c r="U6" i="3"/>
  <c r="T6" i="3"/>
  <c r="W6" i="3"/>
  <c r="W27" i="3"/>
  <c r="V27" i="3"/>
  <c r="T27" i="3"/>
  <c r="U27" i="3"/>
  <c r="Q17" i="1"/>
  <c r="S17" i="1" s="1"/>
  <c r="Q37" i="1"/>
  <c r="R37" i="1" s="1" a="1"/>
  <c r="R37" i="1" s="1"/>
  <c r="L5" i="1"/>
  <c r="Q23" i="1"/>
  <c r="S23" i="1" s="1"/>
  <c r="Q7" i="1"/>
  <c r="S7" i="1" s="1"/>
  <c r="Q32" i="1"/>
  <c r="S32" i="1" s="1"/>
  <c r="Q26" i="1"/>
  <c r="Q27" i="1"/>
  <c r="S27" i="1" s="1"/>
  <c r="Q13" i="1"/>
  <c r="R13" i="1" s="1" a="1"/>
  <c r="R13" i="1" s="1"/>
  <c r="Q28" i="1"/>
  <c r="Q34" i="1"/>
  <c r="Q11" i="1"/>
  <c r="S11" i="1" s="1"/>
  <c r="Q9" i="1"/>
  <c r="C19" i="3"/>
  <c r="Q20" i="1"/>
  <c r="Q14" i="1"/>
  <c r="Q19" i="1"/>
  <c r="Q12" i="1"/>
  <c r="Q18" i="1"/>
  <c r="Q30" i="1"/>
  <c r="Q16" i="1"/>
  <c r="Q29" i="1"/>
  <c r="Q35" i="1"/>
  <c r="Q40" i="1"/>
  <c r="Q41" i="1"/>
  <c r="Q36" i="1"/>
  <c r="Q38" i="1"/>
  <c r="Q33" i="1"/>
  <c r="Q10" i="1"/>
  <c r="R17" i="1" a="1"/>
  <c r="R17" i="1" s="1"/>
  <c r="Q22" i="1"/>
  <c r="T38" i="3"/>
  <c r="V38" i="3"/>
  <c r="U38" i="3"/>
  <c r="W38" i="3"/>
  <c r="Q21" i="1"/>
  <c r="Q15" i="1"/>
  <c r="Q8" i="1"/>
  <c r="Q25" i="1"/>
  <c r="V18" i="3"/>
  <c r="W18" i="3"/>
  <c r="Q31" i="1"/>
  <c r="Q24" i="1"/>
  <c r="U18" i="3" l="1"/>
  <c r="S39" i="1"/>
  <c r="U26" i="3"/>
  <c r="M8" i="1" s="1"/>
  <c r="V26" i="3"/>
  <c r="T26" i="3"/>
  <c r="R32" i="1" a="1"/>
  <c r="R32" i="1" s="1"/>
  <c r="S37" i="1"/>
  <c r="R23" i="1" a="1"/>
  <c r="R23" i="1" s="1"/>
  <c r="R39" i="1" a="1"/>
  <c r="R39" i="1" s="1"/>
  <c r="W7" i="3"/>
  <c r="V7" i="3"/>
  <c r="T7" i="3"/>
  <c r="U7" i="3"/>
  <c r="U27" i="1" s="1"/>
  <c r="U8" i="3"/>
  <c r="T8" i="3"/>
  <c r="V8" i="3"/>
  <c r="W8" i="3"/>
  <c r="W25" i="3"/>
  <c r="U25" i="3"/>
  <c r="M10" i="1" s="1"/>
  <c r="T25" i="3"/>
  <c r="V25" i="3"/>
  <c r="V12" i="3"/>
  <c r="W12" i="3"/>
  <c r="U12" i="3"/>
  <c r="T12" i="3"/>
  <c r="W10" i="3"/>
  <c r="V10" i="3"/>
  <c r="T10" i="3"/>
  <c r="U10" i="3"/>
  <c r="U11" i="3"/>
  <c r="U8" i="1" s="1"/>
  <c r="T11" i="3"/>
  <c r="W11" i="3"/>
  <c r="V11" i="3"/>
  <c r="W24" i="3"/>
  <c r="V24" i="3"/>
  <c r="U24" i="3"/>
  <c r="T24" i="3"/>
  <c r="W34" i="3"/>
  <c r="V34" i="3"/>
  <c r="U34" i="3"/>
  <c r="T34" i="3"/>
  <c r="W36" i="3"/>
  <c r="V36" i="3"/>
  <c r="U36" i="3"/>
  <c r="T36" i="3"/>
  <c r="T17" i="3"/>
  <c r="W17" i="3"/>
  <c r="V17" i="3"/>
  <c r="U17" i="3"/>
  <c r="V21" i="3"/>
  <c r="W21" i="3"/>
  <c r="U21" i="3"/>
  <c r="T21" i="3"/>
  <c r="W16" i="3"/>
  <c r="V16" i="3"/>
  <c r="U16" i="3"/>
  <c r="T16" i="3"/>
  <c r="W23" i="3"/>
  <c r="U23" i="3"/>
  <c r="V23" i="3"/>
  <c r="T23" i="3"/>
  <c r="W28" i="3"/>
  <c r="V28" i="3"/>
  <c r="T28" i="3"/>
  <c r="U28" i="3"/>
  <c r="T22" i="3"/>
  <c r="W22" i="3"/>
  <c r="V22" i="3"/>
  <c r="U22" i="3"/>
  <c r="D40" i="3"/>
  <c r="U5" i="3"/>
  <c r="T5" i="3"/>
  <c r="W5" i="3"/>
  <c r="V5" i="3"/>
  <c r="W29" i="3"/>
  <c r="V29" i="3"/>
  <c r="T29" i="3"/>
  <c r="U29" i="3"/>
  <c r="U36" i="1" s="1"/>
  <c r="U37" i="3"/>
  <c r="M11" i="1" s="1"/>
  <c r="V37" i="3"/>
  <c r="T37" i="3"/>
  <c r="W37" i="3"/>
  <c r="S9" i="1"/>
  <c r="T39" i="3"/>
  <c r="U39" i="3"/>
  <c r="W39" i="3"/>
  <c r="V39" i="3"/>
  <c r="T32" i="3"/>
  <c r="W32" i="3"/>
  <c r="V32" i="3"/>
  <c r="U32" i="3"/>
  <c r="W14" i="3"/>
  <c r="T14" i="3"/>
  <c r="V14" i="3"/>
  <c r="U14" i="3"/>
  <c r="R9" i="1" a="1"/>
  <c r="R9" i="1" s="1"/>
  <c r="V9" i="3"/>
  <c r="W9" i="3"/>
  <c r="U9" i="3"/>
  <c r="U34" i="1" s="1"/>
  <c r="T9" i="3"/>
  <c r="W13" i="3"/>
  <c r="V13" i="3"/>
  <c r="U13" i="3"/>
  <c r="T13" i="3"/>
  <c r="W20" i="3"/>
  <c r="V20" i="3"/>
  <c r="T20" i="3"/>
  <c r="U20" i="3"/>
  <c r="U28" i="1" s="1"/>
  <c r="W31" i="3"/>
  <c r="V31" i="3"/>
  <c r="T31" i="3"/>
  <c r="U31" i="3"/>
  <c r="M12" i="1" s="1"/>
  <c r="V15" i="3"/>
  <c r="W15" i="3"/>
  <c r="T15" i="3"/>
  <c r="U15" i="3"/>
  <c r="V33" i="3"/>
  <c r="U33" i="3"/>
  <c r="W33" i="3"/>
  <c r="T33" i="3"/>
  <c r="V35" i="3"/>
  <c r="W35" i="3"/>
  <c r="U35" i="3"/>
  <c r="T35" i="3"/>
  <c r="R28" i="1" a="1"/>
  <c r="R28" i="1" s="1"/>
  <c r="R11" i="1" a="1"/>
  <c r="R11" i="1" s="1"/>
  <c r="S28" i="1"/>
  <c r="R26" i="1" a="1"/>
  <c r="R26" i="1" s="1"/>
  <c r="R34" i="1" a="1"/>
  <c r="R34" i="1" s="1"/>
  <c r="S34" i="1"/>
  <c r="R27" i="1" a="1"/>
  <c r="R27" i="1" s="1"/>
  <c r="S13" i="1"/>
  <c r="S26" i="1"/>
  <c r="R7" i="1" a="1"/>
  <c r="R7" i="1" s="1"/>
  <c r="U38" i="1"/>
  <c r="S38" i="1"/>
  <c r="R38" i="1" a="1"/>
  <c r="R38" i="1" s="1"/>
  <c r="S36" i="1"/>
  <c r="R36" i="1" a="1"/>
  <c r="R36" i="1" s="1"/>
  <c r="R30" i="1" a="1"/>
  <c r="R30" i="1" s="1"/>
  <c r="S30" i="1"/>
  <c r="R41" i="1" a="1"/>
  <c r="R41" i="1" s="1"/>
  <c r="U41" i="1"/>
  <c r="S41" i="1"/>
  <c r="S35" i="1"/>
  <c r="R35" i="1" a="1"/>
  <c r="R35" i="1" s="1"/>
  <c r="S18" i="1"/>
  <c r="R18" i="1" a="1"/>
  <c r="R18" i="1" s="1"/>
  <c r="S40" i="1"/>
  <c r="U40" i="1"/>
  <c r="R40" i="1" a="1"/>
  <c r="R40" i="1" s="1"/>
  <c r="S12" i="1"/>
  <c r="R12" i="1" a="1"/>
  <c r="R12" i="1" s="1"/>
  <c r="R25" i="1" a="1"/>
  <c r="R25" i="1" s="1"/>
  <c r="S25" i="1"/>
  <c r="R8" i="1" a="1"/>
  <c r="R8" i="1" s="1"/>
  <c r="S8" i="1"/>
  <c r="S19" i="1"/>
  <c r="R19" i="1" a="1"/>
  <c r="R19" i="1" s="1"/>
  <c r="S15" i="1"/>
  <c r="R15" i="1" a="1"/>
  <c r="R15" i="1" s="1"/>
  <c r="R22" i="1" a="1"/>
  <c r="R22" i="1" s="1"/>
  <c r="S22" i="1"/>
  <c r="S14" i="1"/>
  <c r="R14" i="1" a="1"/>
  <c r="R14" i="1" s="1"/>
  <c r="S29" i="1"/>
  <c r="R29" i="1" a="1"/>
  <c r="R29" i="1" s="1"/>
  <c r="S20" i="1"/>
  <c r="R20" i="1" a="1"/>
  <c r="R20" i="1" s="1"/>
  <c r="S16" i="1"/>
  <c r="R16" i="1" a="1"/>
  <c r="R16" i="1" s="1"/>
  <c r="S10" i="1"/>
  <c r="R10" i="1" a="1"/>
  <c r="R10" i="1" s="1"/>
  <c r="S24" i="1"/>
  <c r="R24" i="1" a="1"/>
  <c r="R24" i="1" s="1"/>
  <c r="S21" i="1"/>
  <c r="R21" i="1" a="1"/>
  <c r="R21" i="1" s="1"/>
  <c r="S31" i="1"/>
  <c r="R31" i="1" a="1"/>
  <c r="R31" i="1" s="1"/>
  <c r="S33" i="1"/>
  <c r="R33" i="1" a="1"/>
  <c r="R33" i="1" s="1"/>
  <c r="C40" i="3"/>
  <c r="T19" i="3"/>
  <c r="V19" i="3"/>
  <c r="W19" i="3"/>
  <c r="U19" i="3"/>
  <c r="U35" i="1" l="1"/>
  <c r="U30" i="1"/>
  <c r="U14" i="1"/>
  <c r="U26" i="1"/>
  <c r="U33" i="1"/>
  <c r="U9" i="1"/>
  <c r="U37" i="1"/>
  <c r="U22" i="1"/>
  <c r="U31" i="1"/>
  <c r="U17" i="1"/>
  <c r="U32" i="1"/>
  <c r="U29" i="1"/>
  <c r="U16" i="1"/>
  <c r="U15" i="1"/>
  <c r="U18" i="1"/>
  <c r="U19" i="1"/>
  <c r="U13" i="1"/>
  <c r="U23" i="1"/>
  <c r="U20" i="1"/>
  <c r="U21" i="1"/>
  <c r="U11" i="1"/>
  <c r="U10" i="1"/>
  <c r="V40" i="3"/>
  <c r="T28" i="1"/>
  <c r="U25" i="1"/>
  <c r="U12" i="1"/>
  <c r="T40" i="3"/>
  <c r="U24" i="1"/>
  <c r="W40" i="3"/>
  <c r="T38" i="1"/>
  <c r="T40" i="1"/>
  <c r="T32" i="1"/>
  <c r="T30" i="1"/>
  <c r="T7" i="1"/>
  <c r="T10" i="1"/>
  <c r="T31" i="1"/>
  <c r="T39" i="1"/>
  <c r="T14" i="1"/>
  <c r="T9" i="1"/>
  <c r="T16" i="1"/>
  <c r="T27" i="1"/>
  <c r="T22" i="1"/>
  <c r="T8" i="1"/>
  <c r="T36" i="1"/>
  <c r="T13" i="1"/>
  <c r="T33" i="1"/>
  <c r="T37" i="1"/>
  <c r="T19" i="1"/>
  <c r="T21" i="1"/>
  <c r="T20" i="1"/>
  <c r="T15" i="1"/>
  <c r="T12" i="1"/>
  <c r="T18" i="1"/>
  <c r="T41" i="1"/>
  <c r="T34" i="1"/>
  <c r="T23" i="1"/>
  <c r="T35" i="1"/>
  <c r="T24" i="1"/>
  <c r="T29" i="1"/>
  <c r="T26" i="1"/>
  <c r="T17" i="1"/>
  <c r="T11" i="1"/>
  <c r="T25" i="1"/>
  <c r="M9" i="1"/>
  <c r="M5" i="1"/>
  <c r="U7" i="1"/>
  <c r="U4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<sst xmlns="http://schemas.openxmlformats.org/spreadsheetml/2006/main" count="2502" uniqueCount="280">
  <si>
    <t>Week 2</t>
  </si>
  <si>
    <t>🏆 ACQL SEASON DASHBOARD</t>
  </si>
  <si>
    <t>Weekly Standings</t>
  </si>
  <si>
    <t>Season Leader</t>
  </si>
  <si>
    <t>Best Week</t>
  </si>
  <si>
    <t>Average</t>
  </si>
  <si>
    <t>Winnings</t>
  </si>
  <si>
    <t>Season Standings</t>
  </si>
  <si>
    <t>Rank</t>
  </si>
  <si>
    <t>Player</t>
  </si>
  <si>
    <t>Total</t>
  </si>
  <si>
    <t>Wins</t>
  </si>
  <si>
    <t>Win %</t>
  </si>
  <si>
    <t>GB</t>
  </si>
  <si>
    <t>$ Owe</t>
  </si>
  <si>
    <t>$ Owed</t>
  </si>
  <si>
    <t>Name</t>
  </si>
  <si>
    <t>Phelpy</t>
  </si>
  <si>
    <t>Line-Pony</t>
  </si>
  <si>
    <t>Phelps Phamily</t>
  </si>
  <si>
    <t>Vonasek Family</t>
  </si>
  <si>
    <t>Samsaunt</t>
  </si>
  <si>
    <t>Current Week</t>
  </si>
  <si>
    <t>High Score</t>
  </si>
  <si>
    <t>Low Score</t>
  </si>
  <si>
    <t>Players Tied 1st</t>
  </si>
  <si>
    <t># Above Average</t>
  </si>
  <si>
    <t>Suicides Used</t>
  </si>
  <si>
    <t>Week 1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</si>
  <si>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</si>
  <si>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</si>
  <si>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</si>
  <si>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</si>
  <si>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</si>
  <si>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</si>
  <si>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</si>
  <si>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</si>
  <si>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</si>
  <si>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</si>
  <si>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</si>
  <si>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</si>
  <si>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</si>
  <si>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</si>
  <si>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</si>
  <si>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</si>
  <si>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📈 SEASON TRACKER</t>
  </si>
  <si>
    <t># of games</t>
  </si>
  <si>
    <t>Season Wins</t>
  </si>
  <si>
    <t>Avg Wins</t>
  </si>
  <si>
    <t>Best</t>
  </si>
  <si>
    <t>Worst</t>
  </si>
  <si>
    <t>Season Win %</t>
  </si>
  <si>
    <t>Bob h</t>
  </si>
  <si>
    <t>Brick_Hauss</t>
  </si>
  <si>
    <t>CraneGuy936</t>
  </si>
  <si>
    <t>cuetop</t>
  </si>
  <si>
    <t>Ddupuy</t>
  </si>
  <si>
    <t>Debe</t>
  </si>
  <si>
    <t>DPSOG</t>
  </si>
  <si>
    <t>FMF Doc</t>
  </si>
  <si>
    <t>Frankethetank</t>
  </si>
  <si>
    <t>Gr8granpa</t>
  </si>
  <si>
    <t>Ian</t>
  </si>
  <si>
    <t>Jim T</t>
  </si>
  <si>
    <t>Katie A</t>
  </si>
  <si>
    <t>Kit</t>
  </si>
  <si>
    <t>MayeDay! MayeDay!</t>
  </si>
  <si>
    <t>meatloaf</t>
  </si>
  <si>
    <t>MiMi</t>
  </si>
  <si>
    <t>Mrp4real</t>
  </si>
  <si>
    <t>Navygolfer</t>
  </si>
  <si>
    <t>Regltr5</t>
  </si>
  <si>
    <t>Rusted Ox</t>
  </si>
  <si>
    <t>Ryan S</t>
  </si>
  <si>
    <t>SaleeNmd</t>
  </si>
  <si>
    <t>Sista Sledge</t>
  </si>
  <si>
    <t>Stan</t>
  </si>
  <si>
    <t>tb</t>
  </si>
  <si>
    <t>The Dark Side</t>
  </si>
  <si>
    <t>TheDogfather</t>
  </si>
  <si>
    <t>Waffle Hauss</t>
  </si>
  <si>
    <t>Zach N</t>
  </si>
  <si>
    <t>$$$ WINNINGS</t>
  </si>
  <si>
    <t>Buy in $40</t>
  </si>
  <si>
    <t>Winning</t>
  </si>
  <si>
    <t xml:space="preserve">Avg 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</si>
  <si>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</si>
  <si>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</si>
  <si>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</si>
  <si>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</si>
  <si>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</si>
  <si>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</si>
  <si>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</si>
  <si>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</si>
  <si>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</si>
  <si>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</si>
  <si>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</si>
  <si>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</si>
  <si>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</si>
  <si>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</si>
  <si>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</si>
  <si>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</si>
  <si>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</si>
  <si>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</si>
  <si>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</si>
  <si>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</si>
  <si>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</si>
  <si>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</si>
  <si>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</si>
  <si>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</si>
  <si>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</si>
  <si>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</si>
  <si>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</si>
  <si>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</si>
  <si>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</si>
  <si>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</si>
  <si>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</si>
  <si>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</si>
  <si>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</si>
  <si>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</si>
  <si>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</si>
  <si>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</si>
  <si>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</si>
  <si>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(det by 8)</t>
  </si>
  <si>
    <t>(jax by 8)</t>
  </si>
  <si>
    <t>(lac by 11)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</si>
  <si>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</si>
  <si>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</si>
  <si>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</si>
  <si>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</si>
  <si>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</si>
  <si>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</si>
  <si>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</si>
  <si>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</si>
  <si>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</si>
  <si>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</si>
  <si>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</si>
  <si>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</si>
  <si>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</si>
  <si>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</si>
  <si>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</si>
  <si>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</si>
  <si>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</si>
  <si>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</si>
  <si>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</si>
  <si>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</si>
  <si>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</si>
  <si>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</si>
  <si>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SEATTLE</t>
  </si>
  <si>
    <t xml:space="preserve"> new york jets</t>
  </si>
  <si>
    <t xml:space="preserve"> baltimore</t>
  </si>
  <si>
    <t xml:space="preserve"> PITTSBURGH</t>
  </si>
  <si>
    <t xml:space="preserve"> JACKSONVILLE </t>
  </si>
  <si>
    <t xml:space="preserve"> buffalo</t>
  </si>
  <si>
    <t xml:space="preserve"> KANSAS CITY</t>
  </si>
  <si>
    <t xml:space="preserve"> Arizona</t>
  </si>
  <si>
    <t xml:space="preserve"> Las Vegas</t>
  </si>
  <si>
    <t xml:space="preserve"> Green Bay</t>
  </si>
  <si>
    <t xml:space="preserve"> CINCINNATI</t>
  </si>
  <si>
    <t xml:space="preserve"> chicago</t>
  </si>
  <si>
    <t xml:space="preserve"> LAS VEGAS</t>
  </si>
  <si>
    <t xml:space="preserve"> PHILADELPHIA</t>
  </si>
  <si>
    <t xml:space="preserve"> New Orleans</t>
  </si>
  <si>
    <t xml:space="preserve"> Philadelphia</t>
  </si>
  <si>
    <t xml:space="preserve"> Washington</t>
  </si>
  <si>
    <t xml:space="preserve"> Los Angeles Rams</t>
  </si>
  <si>
    <t xml:space="preserve"> new orleans</t>
  </si>
  <si>
    <t xml:space="preserve"> MINNESOTA</t>
  </si>
  <si>
    <t xml:space="preserve"> Miami</t>
  </si>
  <si>
    <t xml:space="preserve"> Baltimore</t>
  </si>
  <si>
    <t xml:space="preserve"> Tampa Bay</t>
  </si>
  <si>
    <t xml:space="preserve"> Los Angeles Chargers</t>
  </si>
  <si>
    <t xml:space="preserve"> arizona</t>
  </si>
  <si>
    <t xml:space="preserve"> Pittsburgh</t>
  </si>
  <si>
    <t xml:space="preserve"> Seattle</t>
  </si>
  <si>
    <t xml:space="preserve"> Atlanta</t>
  </si>
  <si>
    <t xml:space="preserve"> New York Giants</t>
  </si>
  <si>
    <t xml:space="preserve"> NEW YORK GIANTS</t>
  </si>
  <si>
    <t xml:space="preserve"> Detroit</t>
  </si>
  <si>
    <t xml:space="preserve"> san francisco</t>
  </si>
  <si>
    <t xml:space="preserve"> Jacksonville</t>
  </si>
  <si>
    <t xml:space="preserve"> Tennessee</t>
  </si>
  <si>
    <t xml:space="preserve"> Kansas City</t>
  </si>
  <si>
    <t xml:space="preserve"> Chicago</t>
  </si>
  <si>
    <t xml:space="preserve"> New England</t>
  </si>
  <si>
    <t xml:space="preserve"> Dallas</t>
  </si>
  <si>
    <t xml:space="preserve"> New York Jets</t>
  </si>
  <si>
    <t>🏈 WEEK 2 — ACQL</t>
  </si>
  <si>
    <t>BUFFALO</t>
  </si>
  <si>
    <t>ATLANTA</t>
  </si>
  <si>
    <t>CHICAGO</t>
  </si>
  <si>
    <t>TENNESSEE</t>
  </si>
  <si>
    <t>NEW ENGLAND</t>
  </si>
  <si>
    <t>NEW YORK JETS</t>
  </si>
  <si>
    <t>TAMPA BAY</t>
  </si>
  <si>
    <t>BALTIMORE</t>
  </si>
  <si>
    <t>HOUSTON</t>
  </si>
  <si>
    <t>DENVER</t>
  </si>
  <si>
    <t>LOS ANGELES CHARGERS</t>
  </si>
  <si>
    <t>DALLAS</t>
  </si>
  <si>
    <t>ARIZONA</t>
  </si>
  <si>
    <t>SAN FRANCISCO</t>
  </si>
  <si>
    <t>KANSAS CITY</t>
  </si>
  <si>
    <t>LOS ANGELES RAMS</t>
  </si>
  <si>
    <t>detroit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</si>
  <si>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</si>
  <si>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</si>
  <si>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</si>
  <si>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</si>
  <si>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</si>
  <si>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</si>
  <si>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</si>
  <si>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</si>
  <si>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</si>
  <si>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</si>
  <si>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</si>
  <si>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</si>
  <si>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</si>
  <si>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</si>
  <si>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</si>
  <si>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</si>
  <si>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</si>
  <si>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</si>
  <si>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</si>
  <si>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</si>
  <si>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</si>
  <si>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</si>
  <si>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Entry Fee</t>
  </si>
  <si>
    <t xml:space="preserve"> carolina</t>
  </si>
  <si>
    <t xml:space="preserve"> TENNESSEE</t>
  </si>
  <si>
    <t xml:space="preserve"> NEW ENGLAND</t>
  </si>
  <si>
    <t xml:space="preserve"> green bay</t>
  </si>
  <si>
    <t xml:space="preserve"> DENVER</t>
  </si>
  <si>
    <t xml:space="preserve"> DALLAS</t>
  </si>
  <si>
    <t xml:space="preserve"> seattle</t>
  </si>
  <si>
    <t xml:space="preserve"> LOS ANGELES RAMS </t>
  </si>
  <si>
    <t xml:space="preserve"> Cleveland</t>
  </si>
  <si>
    <t xml:space="preserve"> cleveland</t>
  </si>
  <si>
    <t xml:space="preserve"> las vegas</t>
  </si>
  <si>
    <t xml:space="preserve"> Indianapolis</t>
  </si>
  <si>
    <t xml:space="preserve"> Houston</t>
  </si>
  <si>
    <t xml:space="preserve"> indianapolis</t>
  </si>
  <si>
    <t xml:space="preserve"> SAN FRANCISCO </t>
  </si>
  <si>
    <t xml:space="preserve"> Carolina</t>
  </si>
  <si>
    <t xml:space="preserve"> cincinnati</t>
  </si>
  <si>
    <t xml:space="preserve"> DEAD</t>
  </si>
  <si>
    <t xml:space="preserve"> Buffalo</t>
  </si>
  <si>
    <t xml:space="preserve"> Minnesota</t>
  </si>
  <si>
    <t>🏈 WEEK 3 — ACQL</t>
  </si>
  <si>
    <t>(GB by 7)</t>
  </si>
  <si>
    <t>(Buf by 8)</t>
  </si>
  <si>
    <t>(Det by 7)</t>
  </si>
  <si>
    <t>(KC by 12)</t>
  </si>
  <si>
    <t>(Sea by 8)</t>
  </si>
  <si>
    <t>(SF by 9)</t>
  </si>
  <si>
    <t>Column1</t>
  </si>
  <si>
    <t>atlanta</t>
  </si>
  <si>
    <t xml:space="preserve"> los angeles chargers</t>
  </si>
  <si>
    <t xml:space="preserve"> houston</t>
  </si>
  <si>
    <t xml:space="preserve"> MIAMI</t>
  </si>
  <si>
    <t xml:space="preserve"> WASHINGTON</t>
  </si>
  <si>
    <t xml:space="preserve"> JACKSONVILLE</t>
  </si>
  <si>
    <t xml:space="preserve"> minnesota</t>
  </si>
  <si>
    <t xml:space="preserve"> NEW ORLEANS</t>
  </si>
  <si>
    <t xml:space="preserve"> los angeles rams</t>
  </si>
  <si>
    <t xml:space="preserve"> philadelphia</t>
  </si>
  <si>
    <t xml:space="preserve"> Cincinnati</t>
  </si>
  <si>
    <t xml:space="preserve">SaleeNmd </t>
  </si>
  <si>
    <t xml:space="preserve"> kansas city </t>
  </si>
  <si>
    <t xml:space="preserve"> seattle </t>
  </si>
  <si>
    <t xml:space="preserve"> DETROIT </t>
  </si>
  <si>
    <t xml:space="preserve"> tennessee</t>
  </si>
  <si>
    <t xml:space="preserve"> TAMPA BAY</t>
  </si>
  <si>
    <t xml:space="preserve"> INDIANAPOLIS</t>
  </si>
  <si>
    <t xml:space="preserve"> new england</t>
  </si>
  <si>
    <t xml:space="preserve"> CLEVELAND</t>
  </si>
  <si>
    <t xml:space="preserve"> none</t>
  </si>
  <si>
    <t xml:space="preserve"> -Dead-</t>
  </si>
  <si>
    <t xml:space="preserve"> CHICAGO</t>
  </si>
  <si>
    <t xml:space="preserve"> Buffalo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</si>
</sst>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4">
    <xf numFmtId="0" fontId="0" fillId="0" borderId="0"/>
    <xf numFmtId="43" fontId="4" fillId="0" borderId="0"/>
    <xf numFmtId="44" fontId="4" fillId="0" borderId="0"/>
    <xf numFmtId="9" fontId="4" fillId="0" borderId="0"/>
  </cellStyleXfs>
  <cellXfs count="5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167" fontId="0" fillId="0" borderId="0" xfId="1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6" borderId="4" xfId="0" applyFill="1" applyBorder="1"/>
    <xf numFmtId="0" fontId="1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/>
    <xf numFmtId="0" fontId="0" fillId="9" borderId="0" xfId="0" applyFill="1"/>
    <xf numFmtId="164" fontId="9" fillId="0" borderId="0" xfId="0" applyNumberFormat="1" applyFont="1"/>
    <xf numFmtId="165" fontId="9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168" fontId="0" fillId="0" borderId="0" xfId="2" applyNumberFormat="1" applyFont="1"/>
    <xf numFmtId="168" fontId="9" fillId="0" borderId="0" xfId="2" applyNumberFormat="1" applyFont="1" applyAlignment="1">
      <alignment horizontal="left"/>
    </xf>
    <xf numFmtId="168" fontId="9" fillId="0" borderId="0" xfId="0" applyNumberFormat="1" applyFont="1" applyAlignment="1">
      <alignment horizontal="left"/>
    </xf>
    <xf numFmtId="10" fontId="0" fillId="0" borderId="0" xfId="3" applyNumberFormat="1" applyFont="1"/>
    <xf numFmtId="10" fontId="1" fillId="7" borderId="0" xfId="3" applyNumberFormat="1" applyFont="1" applyFill="1"/>
    <xf numFmtId="10" fontId="0" fillId="0" borderId="0" xfId="3" applyNumberFormat="1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quotePrefix="1" applyNumberFormat="1" applyAlignment="1">
      <alignment horizontal="center"/>
    </xf>
    <xf numFmtId="167" fontId="4" fillId="0" borderId="0" xfId="1" applyNumberFormat="1"/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0" fillId="0" borderId="0" xfId="0"/>
    <xf numFmtId="0" fontId="8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4" fontId="6" fillId="4" borderId="0" xfId="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/>
    <xf numFmtId="0" fontId="11" fillId="0" borderId="0" xfId="0" applyFont="1" applyAlignment="1">
      <alignment horizontal="left"/>
    </xf>
    <xf numFmtId="10" fontId="11" fillId="0" borderId="0" xfId="0" applyNumberFormat="1" applyFont="1" applyAlignment="1">
      <alignment horizontal="lef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</xdr:colOff>
      <xdr:row>8</xdr:row>
      <xdr:rowOff>45720</xdr:rowOff>
    </xdr:from>
    <xdr:to>
      <xdr:col>21</xdr:col>
      <xdr:colOff>38100</xdr:colOff>
      <xdr:row>44</xdr:row>
      <xdr:rowOff>91440</xdr:rowOff>
    </xdr:to>
    <xdr:cxnSp macro="">
      <xdr:nvCxnSpPr>
        <xdr:cNvPr id="2" name="Straight Connector 2">
          <a:extLst>
            <a:ext uri="{FF2B5EF4-FFF2-40B4-BE49-F238E27FC236}">
              <a16:creationId xmlns:a16="http://schemas.microsoft.com/office/drawing/2014/main" id="{AAB68ED7-0E1E-49B5-A227-8A4071133803}"/>
            </a:ext>
          </a:extLst>
        </xdr:cNvPr>
        <xdr:cNvCxnSpPr>
          <a:cxnSpLocks noChangeShapeType="1"/>
        </xdr:cNvCxnSpPr>
      </xdr:nvCxnSpPr>
      <xdr:spPr bwMode="auto">
        <a:xfrm>
          <a:off x="17449800" y="914400"/>
          <a:ext cx="30480" cy="6050280"/>
        </a:xfrm>
        <a:prstGeom prst="line">
          <a:avLst/>
        </a:prstGeom>
        <a:noFill/>
        <a:ln w="2857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7:M12" headerRowDxfId="144">
  <autoFilter ref="I7:M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00000000-0010-0000-0000-000001000000}" name="Name" totalsRowLabel="Total"/>
    <tableColumn id="2" xr3:uid="{00000000-0010-0000-0000-000002000000}" name="Rank">
      <calculatedColumnFormula>_xlfn.XLOOKUP(I8,Season!$A$5:$A$39,Season!$X$5:$X$39)</calculatedColumnFormula>
    </tableColumn>
    <tableColumn id="3" xr3:uid="{00000000-0010-0000-0000-000003000000}" name="Best Week">
      <calculatedColumnFormula>_xlfn.XLOOKUP(I8,Season!$A$5:$A$39,Season!$V$5:$V$39)</calculatedColumnFormula>
    </tableColumn>
    <tableColumn id="4" xr3:uid="{00000000-0010-0000-0000-000004000000}" name="Average">
      <calculatedColumnFormula>_xlfn.XLOOKUP(I8,Season!$A$5:$A$39,Season!$U$5:$U$39)</calculatedColumnFormula>
    </tableColumn>
    <tableColumn id="5" xr3:uid="{00000000-0010-0000-0000-000005000000}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I14:J19" totalsRowShown="0" headerRowDxfId="141">
  <autoFilter ref="I14:J19" xr:uid="{00000000-0009-0000-0100-000002000000}">
    <filterColumn colId="0" hiddenButton="1"/>
    <filterColumn colId="1" hiddenButton="1"/>
  </autoFilter>
  <tableColumns count="2">
    <tableColumn id="1" xr3:uid="{00000000-0010-0000-0100-000001000000}" name="Current Week" dataDxfId="140"/>
    <tableColumn id="2" xr3:uid="{00000000-0010-0000-0100-000002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6:G41" totalsRowShown="0" headerRowDxfId="139" dataDxfId="138">
  <autoFilter ref="A6:G41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200-000001000000}" name="Rank" dataDxfId="137"/>
    <tableColumn id="2" xr3:uid="{00000000-0010-0000-0200-000002000000}" name="Player" dataDxfId="136">
      <calculatedColumnFormula>IFERROR(INDEX(_xlfn.SORTBY(INDIRECT("'"&amp;$A$1&amp;"'!$E$10:$E$44"),INDIRECT("'"&amp;$A$1&amp;"'!$B$10:$B$44"),-1),ROWS($B$7:B7)),"")</calculatedColumnFormula>
    </tableColumn>
    <tableColumn id="3" xr3:uid="{00000000-0010-0000-0200-000003000000}" name="Total" dataDxfId="135">
      <calculatedColumnFormula array="1">IF(B7="","",INDEX(_xlfn.SORTBY(INDIRECT("'"&amp;$A$1&amp;"'!$B$10:$B$44"),INDIRECT("'"&amp;$A$1&amp;"'!$B$10:$B$44"),-1),ROWS($B$7:B7)))</calculatedColumnFormula>
    </tableColumn>
    <tableColumn id="4" xr3:uid="{00000000-0010-0000-0200-000004000000}" name="Wins" dataDxfId="134">
      <calculatedColumnFormula array="1">IF(B7="","",INDEX(_xlfn.SORTBY(INDIRECT("'"&amp;$A$1&amp;"'!$C$10:$C$44"),INDIRECT("'"&amp;$A$1&amp;"'!$B$10:$B$44"),-1),ROWS($B$7:B7)))</calculatedColumnFormula>
    </tableColumn>
    <tableColumn id="5" xr3:uid="{00000000-0010-0000-0200-000005000000}" name="Win %" dataDxfId="133">
      <calculatedColumnFormula>IF(B7="","",D7/16)</calculatedColumnFormula>
    </tableColumn>
    <tableColumn id="6" xr3:uid="{00000000-0010-0000-0200-000006000000}" name="GB" dataDxfId="132">
      <calculatedColumnFormula>$C$7-C7</calculatedColumnFormula>
    </tableColumn>
    <tableColumn id="7" xr3:uid="{00000000-0010-0000-0200-000007000000}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8" displayName="Table8" ref="P6:U41" totalsRowShown="0" headerRowDxfId="130" dataDxfId="129">
  <autoFilter ref="P6:U41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300-000001000000}" name="Rank" dataDxfId="128"/>
    <tableColumn id="2" xr3:uid="{00000000-0010-0000-0300-000002000000}" name="Player" dataDxfId="127">
      <calculatedColumnFormula>_xlfn.XLOOKUP(P7,Table2[Rank],Table2[Player])</calculatedColumnFormula>
    </tableColumn>
    <tableColumn id="3" xr3:uid="{00000000-0010-0000-0300-000003000000}" name="Total" dataDxfId="126">
      <calculatedColumnFormula array="1">_xlfn.XLOOKUP(Q7,Table2[Player],Season!$T$5:$T$39)</calculatedColumnFormula>
    </tableColumn>
    <tableColumn id="5" xr3:uid="{00000000-0010-0000-0300-000005000000}" name="Win %" dataDxfId="125">
      <calculatedColumnFormula>IFERROR(SUM(_xlfn.XLOOKUP(Q7,Table2[Player],Table2[Season Wins]))/SUM(Season!$B$3:$S$3),0)</calculatedColumnFormula>
    </tableColumn>
    <tableColumn id="6" xr3:uid="{00000000-0010-0000-0300-000006000000}" name="GB" dataDxfId="124">
      <calculatedColumnFormula>$R$7-R7</calculatedColumnFormula>
    </tableColumn>
    <tableColumn id="7" xr3:uid="{00000000-0010-0000-0300-000007000000}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9" displayName="Table9" ref="I20:J38" totalsRowShown="0" headerRowDxfId="122">
  <autoFilter ref="I20:J38" xr:uid="{00000000-0009-0000-0100-000005000000}">
    <filterColumn colId="0" hiddenButton="1"/>
    <filterColumn colId="1" hiddenButton="1"/>
  </autoFilter>
  <tableColumns count="2">
    <tableColumn id="1" xr3:uid="{00000000-0010-0000-0400-000001000000}" name="Suicides Used"/>
    <tableColumn id="2" xr3:uid="{00000000-0010-0000-0400-000002000000}" name="Column1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" displayName="Table2" ref="A4:Y39" headerRowDxfId="121">
  <autoFilter ref="A4:Y39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00000000-0010-0000-0500-000011000000}" name="Player"/>
    <tableColumn id="1" xr3:uid="{00000000-0010-0000-0500-000001000000}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xr3:uid="{00000000-0010-0000-0500-000002000000}" name="Week 2" dataDxfId="119">
      <calculatedColumnFormula array="1">_xlfn.IFNA(_xlfn.XLOOKUP($A5,INDIRECT("'"&amp;C$4&amp;"'!$E$10:$E$44"),INDIRECT("'"&amp;C$4&amp;"'!$b$10:$b$44"))," ")</calculatedColumnFormula>
    </tableColumn>
    <tableColumn id="3" xr3:uid="{00000000-0010-0000-0500-000003000000}" name="Week 3" dataDxfId="118">
      <calculatedColumnFormula array="1">_xlfn.IFNA(_xlfn.XLOOKUP($A5,INDIRECT("'"&amp;D$4&amp;"'!$E$10:$E$44"),INDIRECT("'"&amp;D$4&amp;"'!$b$10:$b$44"))," ")</calculatedColumnFormula>
    </tableColumn>
    <tableColumn id="4" xr3:uid="{00000000-0010-0000-0500-000004000000}" name="Week 4" dataDxfId="117">
      <calculatedColumnFormula array="1">_xlfn.IFNA(_xlfn.XLOOKUP($A5,INDIRECT("'"&amp;E$4&amp;"'!$E$10:$E$44"),INDIRECT("'"&amp;E$4&amp;"'!$b$10:$b$44"))," ")</calculatedColumnFormula>
    </tableColumn>
    <tableColumn id="5" xr3:uid="{00000000-0010-0000-0500-000005000000}" name="Week 5" dataDxfId="116">
      <calculatedColumnFormula array="1">_xlfn.IFNA(_xlfn.XLOOKUP($A5,INDIRECT("'"&amp;F$4&amp;"'!$E$10:$E$44"),INDIRECT("'"&amp;F$4&amp;"'!$b$10:$b$44"))," ")</calculatedColumnFormula>
    </tableColumn>
    <tableColumn id="6" xr3:uid="{00000000-0010-0000-0500-000006000000}" name="Week 6" dataDxfId="115">
      <calculatedColumnFormula array="1">_xlfn.IFNA(_xlfn.XLOOKUP($A5,INDIRECT("'"&amp;G$4&amp;"'!$E$10:$E$44"),INDIRECT("'"&amp;G$4&amp;"'!$b$10:$b$44"))," ")</calculatedColumnFormula>
    </tableColumn>
    <tableColumn id="7" xr3:uid="{00000000-0010-0000-0500-000007000000}" name="Week 7" dataDxfId="114">
      <calculatedColumnFormula array="1">_xlfn.IFNA(_xlfn.XLOOKUP($A5,INDIRECT("'"&amp;H$4&amp;"'!$E$10:$E$44"),INDIRECT("'"&amp;H$4&amp;"'!$b$10:$b$44"))," ")</calculatedColumnFormula>
    </tableColumn>
    <tableColumn id="8" xr3:uid="{00000000-0010-0000-0500-000008000000}" name="Week 8" dataDxfId="113">
      <calculatedColumnFormula array="1">_xlfn.IFNA(_xlfn.XLOOKUP($A5,INDIRECT("'"&amp;I$4&amp;"'!$E$10:$E$44"),INDIRECT("'"&amp;I$4&amp;"'!$b$10:$b$44"))," ")</calculatedColumnFormula>
    </tableColumn>
    <tableColumn id="9" xr3:uid="{00000000-0010-0000-0500-000009000000}" name="Week 9" dataDxfId="112">
      <calculatedColumnFormula array="1">_xlfn.IFNA(_xlfn.XLOOKUP($A5,INDIRECT("'"&amp;J$4&amp;"'!$E$10:$E$44"),INDIRECT("'"&amp;J$4&amp;"'!$b$10:$b$44"))," ")</calculatedColumnFormula>
    </tableColumn>
    <tableColumn id="10" xr3:uid="{00000000-0010-0000-0500-00000A000000}" name="Week 10" dataDxfId="111">
      <calculatedColumnFormula array="1">_xlfn.IFNA(_xlfn.XLOOKUP($A5,INDIRECT("'"&amp;K$4&amp;"'!$E$10:$E$44"),INDIRECT("'"&amp;K$4&amp;"'!$b$10:$b$44"))," ")</calculatedColumnFormula>
    </tableColumn>
    <tableColumn id="11" xr3:uid="{00000000-0010-0000-0500-00000B000000}" name="Week 11" dataDxfId="110">
      <calculatedColumnFormula array="1">_xlfn.IFNA(_xlfn.XLOOKUP($A5,INDIRECT("'"&amp;L$4&amp;"'!$E$10:$E$44"),INDIRECT("'"&amp;L$4&amp;"'!$b$10:$b$44"))," ")</calculatedColumnFormula>
    </tableColumn>
    <tableColumn id="12" xr3:uid="{00000000-0010-0000-0500-00000C000000}" name="Week 12" dataDxfId="109">
      <calculatedColumnFormula array="1">_xlfn.IFNA(_xlfn.XLOOKUP($A5,INDIRECT("'"&amp;M$4&amp;"'!$E$10:$E$44"),INDIRECT("'"&amp;M$4&amp;"'!$b$10:$b$44"))," ")</calculatedColumnFormula>
    </tableColumn>
    <tableColumn id="13" xr3:uid="{00000000-0010-0000-0500-00000D000000}" name="Week 13" dataDxfId="108">
      <calculatedColumnFormula array="1">_xlfn.IFNA(_xlfn.XLOOKUP($A5,INDIRECT("'"&amp;N$4&amp;"'!$E$10:$E$44"),INDIRECT("'"&amp;N$4&amp;"'!$b$10:$b$44"))," ")</calculatedColumnFormula>
    </tableColumn>
    <tableColumn id="14" xr3:uid="{00000000-0010-0000-0500-00000E000000}" name="Week 14" dataDxfId="107">
      <calculatedColumnFormula array="1">_xlfn.IFNA(_xlfn.XLOOKUP($A5,INDIRECT("'"&amp;O$4&amp;"'!$E$10:$E$44"),INDIRECT("'"&amp;O$4&amp;"'!$b$10:$b$44"))," ")</calculatedColumnFormula>
    </tableColumn>
    <tableColumn id="15" xr3:uid="{00000000-0010-0000-0500-00000F000000}" name="Week 15" dataDxfId="106">
      <calculatedColumnFormula array="1">_xlfn.IFNA(_xlfn.XLOOKUP($A5,INDIRECT("'"&amp;P$4&amp;"'!$E$10:$E$44"),INDIRECT("'"&amp;P$4&amp;"'!$b$10:$b$44"))," ")</calculatedColumnFormula>
    </tableColumn>
    <tableColumn id="16" xr3:uid="{00000000-0010-0000-0500-000010000000}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xr3:uid="{00000000-0010-0000-0500-000017000000}" name="Week 17" dataDxfId="104"/>
    <tableColumn id="24" xr3:uid="{00000000-0010-0000-0500-000018000000}" name="Week 18" dataDxfId="103"/>
    <tableColumn id="18" xr3:uid="{00000000-0010-0000-0500-000012000000}" name="Season Wins" dataDxfId="102">
      <calculatedColumnFormula>SUM(B5:K5)</calculatedColumnFormula>
    </tableColumn>
    <tableColumn id="19" xr3:uid="{00000000-0010-0000-0500-000013000000}" name="Avg Wins" dataDxfId="101">
      <calculatedColumnFormula>IFERROR(AVERAGEIF(B5:Q5,"&gt;=0"),0)</calculatedColumnFormula>
    </tableColumn>
    <tableColumn id="20" xr3:uid="{00000000-0010-0000-0500-000014000000}" name="Best" dataDxfId="100">
      <calculatedColumnFormula>IFERROR(MAX(B5:Q5),0)</calculatedColumnFormula>
    </tableColumn>
    <tableColumn id="21" xr3:uid="{00000000-0010-0000-0500-000015000000}" name="Worst" dataDxfId="99">
      <calculatedColumnFormula>IFERROR(_xlfn.MINIFS(B5:Q5,B5:Q5,"&gt;0"),0)</calculatedColumnFormula>
    </tableColumn>
    <tableColumn id="22" xr3:uid="{00000000-0010-0000-0500-000016000000}" name="Rank" dataDxfId="98">
      <calculatedColumnFormula>RANK(T5,$T$5:$T$39)+COUNTIF($T$5:T5,T5)-1</calculatedColumnFormula>
    </tableColumn>
    <tableColumn id="26" xr3:uid="{00000000-0010-0000-0500-00001A000000}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5" displayName="Table5" ref="A4:W40" totalsRowCount="1" headerRowDxfId="96">
  <autoFilter ref="A4:W39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000000-0010-0000-0600-000001000000}" name="Player" totalsRowLabel="Total" dataDxfId="95" totalsRowDxfId="22"/>
    <tableColumn id="2" xr3:uid="{00000000-0010-0000-0600-000002000000}" name="Week 1" totalsRowFunction="max" dataDxfId="94" totalsRowDxfId="21" dataCellStyle="Currency">
      <calculatedColumnFormula array="1">_xlfn.IFNA(_xlfn.XLOOKUP($A5,INDIRECT("'"&amp;B$4&amp;"'!$E$10:$E$44"),INDIRECT("'"&amp;B$4&amp;"'!$A$10:$A$44"))," ")</calculatedColumnFormula>
    </tableColumn>
    <tableColumn id="3" xr3:uid="{00000000-0010-0000-0600-000003000000}" name="Week 2" totalsRowFunction="max" dataDxfId="93" totalsRowDxfId="20" dataCellStyle="Currency">
      <calculatedColumnFormula array="1">_xlfn.IFNA(_xlfn.XLOOKUP($A5,INDIRECT("'"&amp;C$4&amp;"'!$E$10:$E$44"),INDIRECT("'"&amp;C$4&amp;"'!$A$10:$A$44"))," ")</calculatedColumnFormula>
    </tableColumn>
    <tableColumn id="4" xr3:uid="{00000000-0010-0000-0600-000004000000}" name="Week 3" totalsRowFunction="max" dataDxfId="92" totalsRowDxfId="19" dataCellStyle="Currency">
      <calculatedColumnFormula array="1">_xlfn.IFNA(_xlfn.XLOOKUP($A5,INDIRECT("'"&amp;D$4&amp;"'!$E$10:$E$44"),INDIRECT("'"&amp;D$4&amp;"'!$A$10:$A$44"))," ")</calculatedColumnFormula>
    </tableColumn>
    <tableColumn id="5" xr3:uid="{00000000-0010-0000-0600-000005000000}" name="Week 4" totalsRowFunction="max" dataDxfId="91" totalsRowDxfId="18" dataCellStyle="Currency">
      <calculatedColumnFormula array="1">_xlfn.IFNA(_xlfn.XLOOKUP($A5,INDIRECT("'"&amp;E$4&amp;"'!$E$10:$E$44"),INDIRECT("'"&amp;E$4&amp;"'!$A$10:$A$44"))," ")</calculatedColumnFormula>
    </tableColumn>
    <tableColumn id="6" xr3:uid="{00000000-0010-0000-0600-000006000000}" name="Week 5" totalsRowFunction="max" dataDxfId="90" totalsRowDxfId="17" dataCellStyle="Currency">
      <calculatedColumnFormula array="1">_xlfn.IFNA(_xlfn.XLOOKUP($A5,INDIRECT("'"&amp;F$4&amp;"'!$E$10:$E$44"),INDIRECT("'"&amp;F$4&amp;"'!$A$10:$A$44"))," ")</calculatedColumnFormula>
    </tableColumn>
    <tableColumn id="7" xr3:uid="{00000000-0010-0000-0600-000007000000}" name="Week 6" totalsRowFunction="max" dataDxfId="89" totalsRowDxfId="16" dataCellStyle="Currency">
      <calculatedColumnFormula array="1">_xlfn.IFNA(_xlfn.XLOOKUP($A5,INDIRECT("'"&amp;G$4&amp;"'!$E$10:$E$44"),INDIRECT("'"&amp;G$4&amp;"'!$A$10:$A$44"))," ")</calculatedColumnFormula>
    </tableColumn>
    <tableColumn id="8" xr3:uid="{00000000-0010-0000-0600-000008000000}" name="Week 7" totalsRowFunction="max" dataDxfId="88" totalsRowDxfId="15" dataCellStyle="Currency">
      <calculatedColumnFormula array="1">_xlfn.IFNA(_xlfn.XLOOKUP($A5,INDIRECT("'"&amp;H$4&amp;"'!$E$10:$E$44"),INDIRECT("'"&amp;H$4&amp;"'!$A$10:$A$44"))," ")</calculatedColumnFormula>
    </tableColumn>
    <tableColumn id="9" xr3:uid="{00000000-0010-0000-0600-000009000000}" name="Week 8" totalsRowFunction="max" dataDxfId="87" totalsRowDxfId="14" dataCellStyle="Currency">
      <calculatedColumnFormula array="1">_xlfn.IFNA(_xlfn.XLOOKUP($A5,INDIRECT("'"&amp;I$4&amp;"'!$E$10:$E$44"),INDIRECT("'"&amp;I$4&amp;"'!$A$10:$A$44"))," ")</calculatedColumnFormula>
    </tableColumn>
    <tableColumn id="10" xr3:uid="{00000000-0010-0000-0600-00000A000000}" name="Week 9" totalsRowFunction="max" dataDxfId="86" totalsRowDxfId="13" dataCellStyle="Currency">
      <calculatedColumnFormula array="1">_xlfn.IFNA(_xlfn.XLOOKUP($A5,INDIRECT("'"&amp;J$4&amp;"'!$E$10:$E$44"),INDIRECT("'"&amp;J$4&amp;"'!$A$10:$A$44"))," ")</calculatedColumnFormula>
    </tableColumn>
    <tableColumn id="11" xr3:uid="{00000000-0010-0000-0600-00000B000000}" name="Week 10" totalsRowFunction="max" dataDxfId="85" totalsRowDxfId="12" dataCellStyle="Currency">
      <calculatedColumnFormula array="1">_xlfn.IFNA(_xlfn.XLOOKUP($A5,INDIRECT("'"&amp;K$4&amp;"'!$E$10:$E$44"),INDIRECT("'"&amp;K$4&amp;"'!$A$10:$A$44"))," ")</calculatedColumnFormula>
    </tableColumn>
    <tableColumn id="12" xr3:uid="{00000000-0010-0000-0600-00000C000000}" name="Week 11" totalsRowFunction="max" dataDxfId="84" totalsRowDxfId="11" dataCellStyle="Currency">
      <calculatedColumnFormula array="1">_xlfn.IFNA(_xlfn.XLOOKUP($A5,INDIRECT("'"&amp;L$4&amp;"'!$E$10:$E$44"),INDIRECT("'"&amp;L$4&amp;"'!$A$10:$A$44"))," ")</calculatedColumnFormula>
    </tableColumn>
    <tableColumn id="13" xr3:uid="{00000000-0010-0000-0600-00000D000000}" name="Week 12" totalsRowFunction="max" dataDxfId="83" totalsRowDxfId="10" dataCellStyle="Currency">
      <calculatedColumnFormula array="1">_xlfn.IFNA(_xlfn.XLOOKUP($A5,INDIRECT("'"&amp;M$4&amp;"'!$E$10:$E$44"),INDIRECT("'"&amp;M$4&amp;"'!$A$10:$A$44"))," ")</calculatedColumnFormula>
    </tableColumn>
    <tableColumn id="14" xr3:uid="{00000000-0010-0000-0600-00000E000000}" name="Week 13" totalsRowFunction="max" dataDxfId="82" totalsRowDxfId="9" dataCellStyle="Currency">
      <calculatedColumnFormula array="1">_xlfn.IFNA(_xlfn.XLOOKUP($A5,INDIRECT("'"&amp;N$4&amp;"'!$E$10:$E$44"),INDIRECT("'"&amp;N$4&amp;"'!$A$10:$A$44"))," ")</calculatedColumnFormula>
    </tableColumn>
    <tableColumn id="15" xr3:uid="{00000000-0010-0000-0600-00000F000000}" name="Week 14" totalsRowFunction="max" dataDxfId="81" totalsRowDxfId="8" dataCellStyle="Currency">
      <calculatedColumnFormula array="1">_xlfn.IFNA(_xlfn.XLOOKUP($A5,INDIRECT("'"&amp;O$4&amp;"'!$E$10:$E$44"),INDIRECT("'"&amp;O$4&amp;"'!$A$10:$A$44"))," ")</calculatedColumnFormula>
    </tableColumn>
    <tableColumn id="16" xr3:uid="{00000000-0010-0000-0600-000010000000}" name="Week 15" totalsRowFunction="max" dataDxfId="80" totalsRowDxfId="7" dataCellStyle="Currency">
      <calculatedColumnFormula array="1">_xlfn.IFNA(_xlfn.XLOOKUP($A5,INDIRECT("'"&amp;P$4&amp;"'!$E$10:$E$44"),INDIRECT("'"&amp;P$4&amp;"'!$A$10:$A$44"))," ")</calculatedColumnFormula>
    </tableColumn>
    <tableColumn id="17" xr3:uid="{00000000-0010-0000-0600-000011000000}" name="Week 16" totalsRowFunction="max" dataDxfId="79" totalsRowDxfId="6" dataCellStyle="Currency">
      <calculatedColumnFormula array="1">_xlfn.IFNA(_xlfn.XLOOKUP($A5,INDIRECT("'"&amp;Q$4&amp;"'!$E$10:$E$44"),INDIRECT("'"&amp;Q$4&amp;"'!$A$10:$A$44"))," ")</calculatedColumnFormula>
    </tableColumn>
    <tableColumn id="18" xr3:uid="{00000000-0010-0000-0600-000012000000}" name="Week 17" totalsRowFunction="max" dataDxfId="78" totalsRowDxfId="5" dataCellStyle="Currency">
      <calculatedColumnFormula array="1">_xlfn.IFNA(_xlfn.XLOOKUP($A5,INDIRECT("'"&amp;R$4&amp;"'!$E$10:$E$44"),INDIRECT("'"&amp;R$4&amp;"'!$A$10:$A$44"))," ")</calculatedColumnFormula>
    </tableColumn>
    <tableColumn id="19" xr3:uid="{00000000-0010-0000-0600-000013000000}" name="Week 18" totalsRowFunction="max" dataDxfId="77" totalsRowDxfId="4" dataCellStyle="Currency">
      <calculatedColumnFormula array="1">_xlfn.IFNA(_xlfn.XLOOKUP($A5,INDIRECT("'"&amp;S$4&amp;"'!$E$10:$E$44"),INDIRECT("'"&amp;S$4&amp;"'!$A$10:$A$44"))," ")</calculatedColumnFormula>
    </tableColumn>
    <tableColumn id="23" xr3:uid="{00000000-0010-0000-0600-000017000000}" name="Winning" totalsRowFunction="sum" dataDxfId="76" totalsRowDxfId="3" dataCellStyle="Currency">
      <calculatedColumnFormula>SUM(Table5[[#This Row],[Week 1]:[Week 18]])</calculatedColumnFormula>
    </tableColumn>
    <tableColumn id="20" xr3:uid="{00000000-0010-0000-0600-000014000000}" name="Total" totalsRowFunction="max" dataDxfId="75" totalsRowDxfId="2">
      <calculatedColumnFormula>SUM(B5:S5)-40</calculatedColumnFormula>
    </tableColumn>
    <tableColumn id="21" xr3:uid="{00000000-0010-0000-0600-000015000000}" name="Avg " totalsRowFunction="max" dataDxfId="74" totalsRowDxfId="1" dataCellStyle="Currency">
      <calculatedColumnFormula>IFERROR(SUM(B5:S5)/COUNT(B5:S5),0)</calculatedColumnFormula>
    </tableColumn>
    <tableColumn id="22" xr3:uid="{00000000-0010-0000-0600-000016000000}" name="Best" totalsRowFunction="sum" dataDxfId="73" totalsRowDxfId="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topLeftCell="B1" zoomScale="85" zoomScaleNormal="85" workbookViewId="0">
      <selection activeCell="U7" sqref="U7"/>
    </sheetView>
  </sheetViews>
  <sheetFormatPr defaultColWidth="0" defaultRowHeight="14.4" zeroHeight="1" x14ac:dyDescent="0.3"/>
  <cols>
    <col min="1" max="1" width="5.33203125" style="40" bestFit="1" customWidth="1"/>
    <col min="2" max="2" width="19.88671875" style="40" bestFit="1" customWidth="1"/>
    <col min="3" max="3" width="5.44140625" style="40" bestFit="1" customWidth="1"/>
    <col min="4" max="4" width="5.5546875" style="40" bestFit="1" customWidth="1"/>
    <col min="5" max="5" width="7.33203125" style="40" bestFit="1" customWidth="1"/>
    <col min="6" max="6" width="3.88671875" style="40" bestFit="1" customWidth="1"/>
    <col min="7" max="7" width="6.6640625" style="40" bestFit="1" customWidth="1"/>
    <col min="8" max="8" width="2.88671875" style="40" customWidth="1"/>
    <col min="9" max="9" width="16.109375" style="40" bestFit="1" customWidth="1"/>
    <col min="10" max="10" width="12.109375" style="40" bestFit="1" customWidth="1"/>
    <col min="11" max="11" width="10.5546875" style="40" bestFit="1" customWidth="1"/>
    <col min="12" max="12" width="17" style="40" bestFit="1" customWidth="1"/>
    <col min="13" max="13" width="18.109375" style="40" bestFit="1" customWidth="1"/>
    <col min="14" max="14" width="7.88671875" style="40" bestFit="1" customWidth="1"/>
    <col min="15" max="15" width="2.88671875" style="40" customWidth="1"/>
    <col min="16" max="16" width="5.5546875" style="40" bestFit="1" customWidth="1"/>
    <col min="17" max="17" width="20.44140625" style="40" bestFit="1" customWidth="1"/>
    <col min="18" max="18" width="5.5546875" style="40" bestFit="1" customWidth="1"/>
    <col min="19" max="19" width="6.6640625" style="40" bestFit="1" customWidth="1"/>
    <col min="20" max="20" width="3.88671875" style="40" bestFit="1" customWidth="1"/>
    <col min="21" max="21" width="7.88671875" style="40" bestFit="1" customWidth="1"/>
    <col min="22" max="26" width="9.109375" style="40" hidden="1" customWidth="1"/>
    <col min="27" max="16384" width="9.109375" style="40" hidden="1"/>
  </cols>
  <sheetData>
    <row r="1" spans="1:21" ht="15" customHeight="1" x14ac:dyDescent="0.3">
      <c r="A1" s="47" t="s">
        <v>0</v>
      </c>
      <c r="B1" s="46"/>
      <c r="C1" s="45" t="s">
        <v>1</v>
      </c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spans="1:21" ht="15" customHeight="1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</row>
    <row r="3" spans="1:21" ht="15" customHeight="1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</row>
    <row r="4" spans="1:21" ht="15" customHeight="1" x14ac:dyDescent="0.3">
      <c r="A4" s="49" t="s">
        <v>2</v>
      </c>
      <c r="B4" s="46"/>
      <c r="C4" s="46"/>
      <c r="D4" s="46"/>
      <c r="E4" s="46"/>
      <c r="F4" s="46"/>
      <c r="G4" s="46"/>
      <c r="H4" s="16"/>
      <c r="I4" s="50" t="s">
        <v>3</v>
      </c>
      <c r="J4" s="46"/>
      <c r="K4" s="41" t="s">
        <v>4</v>
      </c>
      <c r="L4" s="41" t="s">
        <v>5</v>
      </c>
      <c r="M4" s="41" t="s">
        <v>6</v>
      </c>
      <c r="O4" s="16"/>
      <c r="P4" s="49" t="s">
        <v>7</v>
      </c>
      <c r="Q4" s="46"/>
      <c r="R4" s="46"/>
      <c r="S4" s="46"/>
      <c r="T4" s="46"/>
      <c r="U4" s="46"/>
    </row>
    <row r="5" spans="1:21" ht="15" customHeight="1" x14ac:dyDescent="0.3">
      <c r="A5" s="46"/>
      <c r="B5" s="46"/>
      <c r="C5" s="46"/>
      <c r="D5" s="46"/>
      <c r="E5" s="46"/>
      <c r="F5" s="46"/>
      <c r="G5" s="46"/>
      <c r="H5" s="16"/>
      <c r="I5" s="48" t="str">
        <f ca="1">INDEX(Season!$A$5:$A$39,MATCH(MAX(Season!$T$5:$T$39),Season!$T$5:$T$39,0))</f>
        <v>Line-Pony</v>
      </c>
      <c r="J5" s="46"/>
      <c r="K5" s="48">
        <f ca="1">_xlfn.XLOOKUP(I5,Season!A5:A39,Season!V5:V39)</f>
        <v>16</v>
      </c>
      <c r="L5" s="48">
        <f ca="1">AVERAGE(_xlfn.XLOOKUP(I5,Season!A5:A39,Season!V5:V39))</f>
        <v>16</v>
      </c>
      <c r="M5" s="51">
        <f ca="1">_xlfn.XLOOKUP(I5,Winnings!A5:A39,Winnings!U5:U39)</f>
        <v>39.916666666666671</v>
      </c>
      <c r="O5" s="16"/>
      <c r="P5" s="46"/>
      <c r="Q5" s="46"/>
      <c r="R5" s="46"/>
      <c r="S5" s="46"/>
      <c r="T5" s="46"/>
      <c r="U5" s="46"/>
    </row>
    <row r="6" spans="1:21" ht="15" customHeight="1" x14ac:dyDescent="0.3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16"/>
      <c r="I6" s="46"/>
      <c r="J6" s="46"/>
      <c r="K6" s="46"/>
      <c r="L6" s="46"/>
      <c r="M6" s="46"/>
      <c r="O6" s="16"/>
      <c r="P6" s="5" t="s">
        <v>8</v>
      </c>
      <c r="Q6" s="5" t="s">
        <v>9</v>
      </c>
      <c r="R6" s="5" t="s">
        <v>10</v>
      </c>
      <c r="S6" s="5" t="s">
        <v>12</v>
      </c>
      <c r="T6" s="5" t="s">
        <v>13</v>
      </c>
      <c r="U6" s="5" t="s">
        <v>15</v>
      </c>
    </row>
    <row r="7" spans="1:21" ht="15" customHeight="1" x14ac:dyDescent="0.3">
      <c r="A7" s="21">
        <v>1</v>
      </c>
      <c r="B7" s="21" t="str">
        <f ca="1">IFERROR(INDEX(_xlfn.SORTBY(INDIRECT("'"&amp;$A$1&amp;"'!$E$10:$E$44"),INDIRECT("'"&amp;$A$1&amp;"'!$B$10:$B$44"),-1),ROWS($B$7:B7)),"")</f>
        <v>Line-Pony</v>
      </c>
      <c r="C7" s="21">
        <f t="array" aca="1" ref="C7" ca="1">IF(B7="","",INDEX(_xlfn.SORTBY(INDIRECT("'"&amp;$A$1&amp;"'!$B$10:$B$44"),INDIRECT("'"&amp;$A$1&amp;"'!$B$10:$B$44"),-1),ROWS($B$7:B7)))</f>
        <v>14</v>
      </c>
      <c r="D7" s="21">
        <f t="array" aca="1" ref="D7" ca="1">IF(B7="","",INDEX(_xlfn.SORTBY(INDIRECT("'"&amp;$A$1&amp;"'!$C$10:$C$44"),INDIRECT("'"&amp;$A$1&amp;"'!$B$10:$B$44"),-1),ROWS($B$7:B7)))</f>
        <v>12</v>
      </c>
      <c r="E7" s="23">
        <f t="shared" ref="E7:E41" ca="1" si="0">IF(B7="","",D7/16)</f>
        <v>0.75</v>
      </c>
      <c r="F7" s="21">
        <f t="shared" ref="F7:F41" ca="1" si="1">$C$7-C7</f>
        <v>0</v>
      </c>
      <c r="G7" s="24">
        <f t="shared" ref="G7:G41" ca="1" si="2">IF(B7="","",F7)</f>
        <v>0</v>
      </c>
      <c r="H7" s="16"/>
      <c r="I7" s="42" t="s">
        <v>16</v>
      </c>
      <c r="J7" s="42" t="s">
        <v>8</v>
      </c>
      <c r="K7" s="42" t="s">
        <v>4</v>
      </c>
      <c r="L7" s="42" t="s">
        <v>5</v>
      </c>
      <c r="M7" s="42" t="s">
        <v>6</v>
      </c>
      <c r="O7" s="16"/>
      <c r="P7" s="21">
        <v>1</v>
      </c>
      <c r="Q7" s="21" t="str">
        <f ca="1">_xlfn.XLOOKUP(P7,Table2[Rank],Table2[Player])</f>
        <v>Line-Pony</v>
      </c>
      <c r="R7" s="21">
        <f t="array" aca="1" ref="R7" ca="1">_xlfn.XLOOKUP(Q7,Table2[Player],Season!$T$5:$T$39)</f>
        <v>43</v>
      </c>
      <c r="S7" s="23">
        <f ca="1">IFERROR(SUM(_xlfn.XLOOKUP(Q7,Table2[Player],Table2[Season Wins]))/SUM(Season!$B$3:$S$3),0)</f>
        <v>0.15808823529411764</v>
      </c>
      <c r="T7" s="21">
        <f t="shared" ref="T7:T41" ca="1" si="3">$R$7-R7</f>
        <v>0</v>
      </c>
      <c r="U7" s="24">
        <f ca="1">_xlfn.XLOOKUP(Q7,Winnings!$A$5:$A$39,Winnings!$U$5:$U$39)</f>
        <v>39.916666666666671</v>
      </c>
    </row>
    <row r="8" spans="1:21" ht="15" customHeight="1" x14ac:dyDescent="0.3">
      <c r="A8" s="21">
        <v>2</v>
      </c>
      <c r="B8" s="21" t="str">
        <f ca="1">IFERROR(INDEX(_xlfn.SORTBY(INDIRECT("'"&amp;$A$1&amp;"'!$E$10:$E$44"),INDIRECT("'"&amp;$A$1&amp;"'!$B$10:$B$44"),-1),ROWS($B$7:B8)),"")</f>
        <v>Waffle Hauss</v>
      </c>
      <c r="C8" s="21">
        <f t="array" aca="1" ref="C8" ca="1">IF(B8="","",INDEX(_xlfn.SORTBY(INDIRECT("'"&amp;$A$1&amp;"'!$B$10:$B$44"),INDIRECT("'"&amp;$A$1&amp;"'!$B$10:$B$44"),-1),ROWS($B$7:B8)))</f>
        <v>14</v>
      </c>
      <c r="D8" s="21">
        <f t="array" aca="1" ref="D8" ca="1">IF(B8="","",INDEX(_xlfn.SORTBY(INDIRECT("'"&amp;$A$1&amp;"'!$C$10:$C$44"),INDIRECT("'"&amp;$A$1&amp;"'!$B$10:$B$44"),-1),ROWS($B$7:B8)))</f>
        <v>12</v>
      </c>
      <c r="E8" s="23">
        <f t="shared" ca="1" si="0"/>
        <v>0.75</v>
      </c>
      <c r="F8" s="21">
        <f t="shared" ca="1" si="1"/>
        <v>0</v>
      </c>
      <c r="G8" s="24">
        <f t="shared" ca="1" si="2"/>
        <v>0</v>
      </c>
      <c r="H8" s="16"/>
      <c r="I8" t="s">
        <v>17</v>
      </c>
      <c r="J8">
        <f ca="1">_xlfn.XLOOKUP(I8,Season!$A$5:$A$39,Season!$X$5:$X$39)</f>
        <v>4</v>
      </c>
      <c r="K8">
        <f ca="1">_xlfn.XLOOKUP(I8,Season!$A$5:$A$39,Season!$V$5:$V$39)</f>
        <v>15</v>
      </c>
      <c r="L8">
        <f ca="1">_xlfn.XLOOKUP(I8,Season!$A$5:$A$39,Season!$U$5:$U$39)</f>
        <v>13</v>
      </c>
      <c r="M8" s="29">
        <f ca="1">IF(_xlfn.XLOOKUP(I8,Winnings!A5:A39,Winnings!U5:U39)&gt;0,_xlfn.XLOOKUP(I8,Winnings!A5:A39,Winnings!U5:U39),0)</f>
        <v>76</v>
      </c>
      <c r="O8" s="16"/>
      <c r="P8" s="21">
        <v>2</v>
      </c>
      <c r="Q8" s="21" t="str">
        <f ca="1">_xlfn.XLOOKUP(P8,Table2[Rank],Table2[Player])</f>
        <v>DPSOG</v>
      </c>
      <c r="R8" s="21">
        <f t="array" aca="1" ref="R8" ca="1">_xlfn.XLOOKUP(Q8,Table2[Player],Season!$T$5:$T$39)</f>
        <v>40</v>
      </c>
      <c r="S8" s="23">
        <f ca="1">IFERROR(SUM(_xlfn.XLOOKUP(Q8,Table2[Player],Table2[Season Wins]))/SUM(Season!$B$3:$S$3),0)</f>
        <v>0.14705882352941177</v>
      </c>
      <c r="T8" s="21">
        <f t="shared" ca="1" si="3"/>
        <v>3</v>
      </c>
      <c r="U8" s="24">
        <f ca="1">_xlfn.XLOOKUP(Q8,Winnings!$A$5:$A$39,Winnings!$U$5:$U$39)</f>
        <v>-35.583333333333336</v>
      </c>
    </row>
    <row r="9" spans="1:21" ht="15" customHeight="1" x14ac:dyDescent="0.3">
      <c r="A9" s="21">
        <v>3</v>
      </c>
      <c r="B9" s="21" t="str">
        <f ca="1">IFERROR(INDEX(_xlfn.SORTBY(INDIRECT("'"&amp;$A$1&amp;"'!$E$10:$E$44"),INDIRECT("'"&amp;$A$1&amp;"'!$B$10:$B$44"),-1),ROWS($B$7:B9)),"")</f>
        <v>SaleeNmd</v>
      </c>
      <c r="C9" s="21">
        <f t="array" aca="1" ref="C9" ca="1">IF(B9="","",INDEX(_xlfn.SORTBY(INDIRECT("'"&amp;$A$1&amp;"'!$B$10:$B$44"),INDIRECT("'"&amp;$A$1&amp;"'!$B$10:$B$44"),-1),ROWS($B$7:B9)))</f>
        <v>13</v>
      </c>
      <c r="D9" s="21">
        <f t="array" aca="1" ref="D9" ca="1">IF(B9="","",INDEX(_xlfn.SORTBY(INDIRECT("'"&amp;$A$1&amp;"'!$C$10:$C$44"),INDIRECT("'"&amp;$A$1&amp;"'!$B$10:$B$44"),-1),ROWS($B$7:B9)))</f>
        <v>12</v>
      </c>
      <c r="E9" s="23">
        <f t="shared" ca="1" si="0"/>
        <v>0.75</v>
      </c>
      <c r="F9" s="21">
        <f t="shared" ca="1" si="1"/>
        <v>1</v>
      </c>
      <c r="G9" s="24">
        <f t="shared" ca="1" si="2"/>
        <v>1</v>
      </c>
      <c r="H9" s="16"/>
      <c r="I9" t="s">
        <v>18</v>
      </c>
      <c r="J9">
        <f ca="1">_xlfn.XLOOKUP(I9,Season!$A$5:$A$39,Season!$X$5:$X$39)</f>
        <v>1</v>
      </c>
      <c r="K9">
        <f ca="1">_xlfn.XLOOKUP(I9,Season!$A$5:$A$39,Season!$V$5:$V$39)</f>
        <v>16</v>
      </c>
      <c r="L9">
        <f ca="1">_xlfn.XLOOKUP(I9,Season!$A$5:$A$39,Season!$U$5:$U$39)</f>
        <v>14.333333333333334</v>
      </c>
      <c r="M9" s="29">
        <f ca="1">IF(_xlfn.XLOOKUP(I9,Winnings!A6:A40,Winnings!U6:U40)&gt;0,_xlfn.XLOOKUP(I9,Winnings!A6:A40,Winnings!U6:U40),0)</f>
        <v>39.916666666666671</v>
      </c>
      <c r="O9" s="16"/>
      <c r="P9" s="21">
        <v>3</v>
      </c>
      <c r="Q9" s="21" t="str">
        <f ca="1">_xlfn.XLOOKUP(P9,Table2[Rank],Table2[Player])</f>
        <v>MiMi</v>
      </c>
      <c r="R9" s="21">
        <f t="array" aca="1" ref="R9" ca="1">_xlfn.XLOOKUP(Q9,Table2[Player],Season!$T$5:$T$39)</f>
        <v>39</v>
      </c>
      <c r="S9" s="23">
        <f ca="1">IFERROR(SUM(_xlfn.XLOOKUP(Q9,Table2[Player],Table2[Season Wins]))/SUM(Season!$B$3:$S$3),0)</f>
        <v>0.14338235294117646</v>
      </c>
      <c r="T9" s="21">
        <f t="shared" ca="1" si="3"/>
        <v>4</v>
      </c>
      <c r="U9" s="24">
        <f ca="1">_xlfn.XLOOKUP(Q9,Winnings!$A$5:$A$39,Winnings!$U$5:$U$39)</f>
        <v>-35.583333333333336</v>
      </c>
    </row>
    <row r="10" spans="1:21" ht="15" customHeight="1" x14ac:dyDescent="0.3">
      <c r="A10" s="21">
        <v>4</v>
      </c>
      <c r="B10" s="21" t="str">
        <f ca="1">IFERROR(INDEX(_xlfn.SORTBY(INDIRECT("'"&amp;$A$1&amp;"'!$E$10:$E$44"),INDIRECT("'"&amp;$A$1&amp;"'!$B$10:$B$44"),-1),ROWS($B$7:B10)),"")</f>
        <v>MiMi</v>
      </c>
      <c r="C10" s="21">
        <f t="array" aca="1" ref="C10" ca="1">IF(B10="","",INDEX(_xlfn.SORTBY(INDIRECT("'"&amp;$A$1&amp;"'!$B$10:$B$44"),INDIRECT("'"&amp;$A$1&amp;"'!$B$10:$B$44"),-1),ROWS($B$7:B10)))</f>
        <v>12</v>
      </c>
      <c r="D10" s="21">
        <f t="array" aca="1" ref="D10" ca="1">IF(B10="","",INDEX(_xlfn.SORTBY(INDIRECT("'"&amp;$A$1&amp;"'!$C$10:$C$44"),INDIRECT("'"&amp;$A$1&amp;"'!$B$10:$B$44"),-1),ROWS($B$7:B10)))</f>
        <v>10</v>
      </c>
      <c r="E10" s="23">
        <f t="shared" ca="1" si="0"/>
        <v>0.625</v>
      </c>
      <c r="F10" s="21">
        <f t="shared" ca="1" si="1"/>
        <v>2</v>
      </c>
      <c r="G10" s="24">
        <f t="shared" ca="1" si="2"/>
        <v>2</v>
      </c>
      <c r="H10" s="16"/>
      <c r="I10" t="s">
        <v>19</v>
      </c>
      <c r="J10">
        <f ca="1">_xlfn.XLOOKUP(I10,Season!$A$5:$A$39,Season!$X$5:$X$39)</f>
        <v>6</v>
      </c>
      <c r="K10">
        <f ca="1">_xlfn.XLOOKUP(I10,Season!$A$5:$A$39,Season!$V$5:$V$39)</f>
        <v>15</v>
      </c>
      <c r="L10">
        <f ca="1">_xlfn.XLOOKUP(I10,Season!$A$5:$A$39,Season!$U$5:$U$39)</f>
        <v>12.666666666666666</v>
      </c>
      <c r="M10" s="29">
        <f ca="1">IF(_xlfn.XLOOKUP(I10,Winnings!A7:A41,Winnings!U7:U41)&gt;0,_xlfn.XLOOKUP(I10,Winnings!A7:A41,Winnings!U7:U41),0)</f>
        <v>0</v>
      </c>
      <c r="O10" s="16"/>
      <c r="P10" s="21">
        <v>4</v>
      </c>
      <c r="Q10" s="21" t="str">
        <f ca="1">_xlfn.XLOOKUP(P10,Table2[Rank],Table2[Player])</f>
        <v>Phelpy</v>
      </c>
      <c r="R10" s="21">
        <f t="array" aca="1" ref="R10" ca="1">_xlfn.XLOOKUP(Q10,Table2[Player],Season!$T$5:$T$39)</f>
        <v>39</v>
      </c>
      <c r="S10" s="23">
        <f ca="1">IFERROR(SUM(_xlfn.XLOOKUP(Q10,Table2[Player],Table2[Season Wins]))/SUM(Season!$B$3:$S$3),0)</f>
        <v>0.14338235294117646</v>
      </c>
      <c r="T10" s="21">
        <f t="shared" ca="1" si="3"/>
        <v>4</v>
      </c>
      <c r="U10" s="24">
        <f ca="1">_xlfn.XLOOKUP(Q10,Winnings!$A$5:$A$39,Winnings!$U$5:$U$39)</f>
        <v>76</v>
      </c>
    </row>
    <row r="11" spans="1:21" ht="15" customHeight="1" x14ac:dyDescent="0.3">
      <c r="A11" s="21">
        <v>5</v>
      </c>
      <c r="B11" s="21" t="str">
        <f ca="1">IFERROR(INDEX(_xlfn.SORTBY(INDIRECT("'"&amp;$A$1&amp;"'!$E$10:$E$44"),INDIRECT("'"&amp;$A$1&amp;"'!$B$10:$B$44"),-1),ROWS($B$7:B11)),"")</f>
        <v>DPSOG</v>
      </c>
      <c r="C11" s="21">
        <f t="array" aca="1" ref="C11" ca="1">IF(B11="","",INDEX(_xlfn.SORTBY(INDIRECT("'"&amp;$A$1&amp;"'!$B$10:$B$44"),INDIRECT("'"&amp;$A$1&amp;"'!$B$10:$B$44"),-1),ROWS($B$7:B11)))</f>
        <v>11</v>
      </c>
      <c r="D11" s="21">
        <f t="array" aca="1" ref="D11" ca="1">IF(B11="","",INDEX(_xlfn.SORTBY(INDIRECT("'"&amp;$A$1&amp;"'!$C$10:$C$44"),INDIRECT("'"&amp;$A$1&amp;"'!$B$10:$B$44"),-1),ROWS($B$7:B11)))</f>
        <v>10</v>
      </c>
      <c r="E11" s="23">
        <f t="shared" ca="1" si="0"/>
        <v>0.625</v>
      </c>
      <c r="F11" s="21">
        <f t="shared" ca="1" si="1"/>
        <v>3</v>
      </c>
      <c r="G11" s="24">
        <f t="shared" ca="1" si="2"/>
        <v>3</v>
      </c>
      <c r="H11" s="16"/>
      <c r="I11" t="s">
        <v>20</v>
      </c>
      <c r="J11">
        <f ca="1">_xlfn.XLOOKUP(I11,Season!$A$5:$A$39,Season!$X$5:$X$39)</f>
        <v>20</v>
      </c>
      <c r="K11">
        <f ca="1">_xlfn.XLOOKUP(I11,Season!$A$5:$A$39,Season!$V$5:$V$39)</f>
        <v>15</v>
      </c>
      <c r="L11">
        <f ca="1">_xlfn.XLOOKUP(I11,Season!$A$5:$A$39,Season!$U$5:$U$39)</f>
        <v>11.666666666666666</v>
      </c>
      <c r="M11" s="29">
        <f ca="1">IF(_xlfn.XLOOKUP(I11,Winnings!A8:A42,Winnings!U8:U42)&gt;0,_xlfn.XLOOKUP(I11,Winnings!A8:A42,Winnings!U8:U42),0)</f>
        <v>0</v>
      </c>
      <c r="O11" s="16"/>
      <c r="P11" s="21">
        <v>5</v>
      </c>
      <c r="Q11" s="21" t="str">
        <f ca="1">_xlfn.XLOOKUP(P11,Table2[Rank],Table2[Player])</f>
        <v>FMF Doc</v>
      </c>
      <c r="R11" s="21">
        <f t="array" aca="1" ref="R11" ca="1">_xlfn.XLOOKUP(Q11,Table2[Player],Season!$T$5:$T$39)</f>
        <v>38</v>
      </c>
      <c r="S11" s="23">
        <f ca="1">IFERROR(SUM(_xlfn.XLOOKUP(Q11,Table2[Player],Table2[Season Wins]))/SUM(Season!$B$3:$S$3),0)</f>
        <v>0.13970588235294118</v>
      </c>
      <c r="T11" s="21">
        <f t="shared" ca="1" si="3"/>
        <v>5</v>
      </c>
      <c r="U11" s="24">
        <f ca="1">_xlfn.XLOOKUP(Q11,Winnings!$A$5:$A$39,Winnings!$U$5:$U$39)</f>
        <v>-40</v>
      </c>
    </row>
    <row r="12" spans="1:21" ht="15" customHeight="1" x14ac:dyDescent="0.3">
      <c r="A12" s="21">
        <v>6</v>
      </c>
      <c r="B12" s="21" t="str">
        <f ca="1">IFERROR(INDEX(_xlfn.SORTBY(INDIRECT("'"&amp;$A$1&amp;"'!$E$10:$E$44"),INDIRECT("'"&amp;$A$1&amp;"'!$B$10:$B$44"),-1),ROWS($B$7:B12)),"")</f>
        <v>FMF Doc</v>
      </c>
      <c r="C12" s="21">
        <f t="array" aca="1" ref="C12" ca="1">IF(B12="","",INDEX(_xlfn.SORTBY(INDIRECT("'"&amp;$A$1&amp;"'!$B$10:$B$44"),INDIRECT("'"&amp;$A$1&amp;"'!$B$10:$B$44"),-1),ROWS($B$7:B12)))</f>
        <v>11</v>
      </c>
      <c r="D12" s="21">
        <f t="array" aca="1" ref="D12" ca="1">IF(B12="","",INDEX(_xlfn.SORTBY(INDIRECT("'"&amp;$A$1&amp;"'!$C$10:$C$44"),INDIRECT("'"&amp;$A$1&amp;"'!$B$10:$B$44"),-1),ROWS($B$7:B12)))</f>
        <v>10</v>
      </c>
      <c r="E12" s="23">
        <f t="shared" ca="1" si="0"/>
        <v>0.625</v>
      </c>
      <c r="F12" s="21">
        <f t="shared" ca="1" si="1"/>
        <v>3</v>
      </c>
      <c r="G12" s="24">
        <f t="shared" ca="1" si="2"/>
        <v>3</v>
      </c>
      <c r="H12" s="16"/>
      <c r="I12" t="s">
        <v>21</v>
      </c>
      <c r="J12">
        <f ca="1">_xlfn.XLOOKUP(I12,Season!$A$5:$A$39,Season!$X$5:$X$39)</f>
        <v>19</v>
      </c>
      <c r="K12">
        <f ca="1">_xlfn.XLOOKUP(I12,Season!$A$5:$A$39,Season!$V$5:$V$39)</f>
        <v>15</v>
      </c>
      <c r="L12">
        <f ca="1">_xlfn.XLOOKUP(I12,Season!$A$5:$A$39,Season!$U$5:$U$39)</f>
        <v>11.666666666666666</v>
      </c>
      <c r="M12" s="29">
        <f ca="1">IF(_xlfn.XLOOKUP(I12,Winnings!A9:A43,Winnings!U9:U43)&gt;0,_xlfn.XLOOKUP(I12,Winnings!A9:A43,Winnings!U9:U43),0)</f>
        <v>0</v>
      </c>
      <c r="O12" s="16"/>
      <c r="P12" s="21">
        <v>6</v>
      </c>
      <c r="Q12" s="21" t="str">
        <f ca="1">_xlfn.XLOOKUP(P12,Table2[Rank],Table2[Player])</f>
        <v>Phelps Phamily</v>
      </c>
      <c r="R12" s="21">
        <f t="array" aca="1" ref="R12" ca="1">_xlfn.XLOOKUP(Q12,Table2[Player],Season!$T$5:$T$39)</f>
        <v>38</v>
      </c>
      <c r="S12" s="23">
        <f ca="1">IFERROR(SUM(_xlfn.XLOOKUP(Q12,Table2[Player],Table2[Season Wins]))/SUM(Season!$B$3:$S$3),0)</f>
        <v>0.13970588235294118</v>
      </c>
      <c r="T12" s="21">
        <f t="shared" ca="1" si="3"/>
        <v>5</v>
      </c>
      <c r="U12" s="24">
        <f ca="1">_xlfn.XLOOKUP(Q12,Winnings!$A$5:$A$39,Winnings!$U$5:$U$39)</f>
        <v>-40</v>
      </c>
    </row>
    <row r="13" spans="1:21" ht="15" customHeight="1" x14ac:dyDescent="0.3">
      <c r="A13" s="21">
        <v>7</v>
      </c>
      <c r="B13" s="21" t="str">
        <f ca="1">IFERROR(INDEX(_xlfn.SORTBY(INDIRECT("'"&amp;$A$1&amp;"'!$E$10:$E$44"),INDIRECT("'"&amp;$A$1&amp;"'!$B$10:$B$44"),-1),ROWS($B$7:B13)),"")</f>
        <v>Regltr5</v>
      </c>
      <c r="C13" s="21">
        <f t="array" aca="1" ref="C13" ca="1">IF(B13="","",INDEX(_xlfn.SORTBY(INDIRECT("'"&amp;$A$1&amp;"'!$B$10:$B$44"),INDIRECT("'"&amp;$A$1&amp;"'!$B$10:$B$44"),-1),ROWS($B$7:B13)))</f>
        <v>11</v>
      </c>
      <c r="D13" s="21">
        <f t="array" aca="1" ref="D13" ca="1">IF(B13="","",INDEX(_xlfn.SORTBY(INDIRECT("'"&amp;$A$1&amp;"'!$C$10:$C$44"),INDIRECT("'"&amp;$A$1&amp;"'!$B$10:$B$44"),-1),ROWS($B$7:B13)))</f>
        <v>10</v>
      </c>
      <c r="E13" s="23">
        <f t="shared" ca="1" si="0"/>
        <v>0.625</v>
      </c>
      <c r="F13" s="21">
        <f t="shared" ca="1" si="1"/>
        <v>3</v>
      </c>
      <c r="G13" s="24">
        <f t="shared" ca="1" si="2"/>
        <v>3</v>
      </c>
      <c r="H13" s="16"/>
      <c r="O13" s="16"/>
      <c r="P13" s="21">
        <v>7</v>
      </c>
      <c r="Q13" s="21" t="str">
        <f ca="1">_xlfn.XLOOKUP(P13,Table2[Rank],Table2[Player])</f>
        <v>Frankethetank</v>
      </c>
      <c r="R13" s="21">
        <f t="array" aca="1" ref="R13" ca="1">_xlfn.XLOOKUP(Q13,Table2[Player],Season!$T$5:$T$39)</f>
        <v>37</v>
      </c>
      <c r="S13" s="23">
        <f ca="1">IFERROR(SUM(_xlfn.XLOOKUP(Q13,Table2[Player],Table2[Season Wins]))/SUM(Season!$B$3:$S$3),0)</f>
        <v>0.13602941176470587</v>
      </c>
      <c r="T13" s="21">
        <f t="shared" ca="1" si="3"/>
        <v>6</v>
      </c>
      <c r="U13" s="24">
        <f ca="1">_xlfn.XLOOKUP(Q13,Winnings!$A$5:$A$39,Winnings!$U$5:$U$39)</f>
        <v>-35.583333333333336</v>
      </c>
    </row>
    <row r="14" spans="1:21" ht="15" customHeight="1" x14ac:dyDescent="0.3">
      <c r="A14" s="21">
        <v>8</v>
      </c>
      <c r="B14" s="21" t="str">
        <f ca="1">IFERROR(INDEX(_xlfn.SORTBY(INDIRECT("'"&amp;$A$1&amp;"'!$E$10:$E$44"),INDIRECT("'"&amp;$A$1&amp;"'!$B$10:$B$44"),-1),ROWS($B$7:B14)),"")</f>
        <v>Phelps Phamily</v>
      </c>
      <c r="C14" s="21">
        <f t="array" aca="1" ref="C14" ca="1">IF(B14="","",INDEX(_xlfn.SORTBY(INDIRECT("'"&amp;$A$1&amp;"'!$B$10:$B$44"),INDIRECT("'"&amp;$A$1&amp;"'!$B$10:$B$44"),-1),ROWS($B$7:B14)))</f>
        <v>11</v>
      </c>
      <c r="D14" s="21">
        <f t="array" aca="1" ref="D14" ca="1">IF(B14="","",INDEX(_xlfn.SORTBY(INDIRECT("'"&amp;$A$1&amp;"'!$C$10:$C$44"),INDIRECT("'"&amp;$A$1&amp;"'!$B$10:$B$44"),-1),ROWS($B$7:B14)))</f>
        <v>10</v>
      </c>
      <c r="E14" s="23">
        <f t="shared" ca="1" si="0"/>
        <v>0.625</v>
      </c>
      <c r="F14" s="21">
        <f t="shared" ca="1" si="1"/>
        <v>3</v>
      </c>
      <c r="G14" s="24">
        <f t="shared" ca="1" si="2"/>
        <v>3</v>
      </c>
      <c r="H14" s="16"/>
      <c r="I14" s="42" t="s">
        <v>22</v>
      </c>
      <c r="J14" s="28" t="s">
        <v>255</v>
      </c>
      <c r="O14" s="16"/>
      <c r="P14" s="21">
        <v>8</v>
      </c>
      <c r="Q14" s="21" t="str">
        <f ca="1">_xlfn.XLOOKUP(P14,Table2[Rank],Table2[Player])</f>
        <v>Jim T</v>
      </c>
      <c r="R14" s="21">
        <f t="array" aca="1" ref="R14" ca="1">_xlfn.XLOOKUP(Q14,Table2[Player],Season!$T$5:$T$39)</f>
        <v>37</v>
      </c>
      <c r="S14" s="23">
        <f ca="1">IFERROR(SUM(_xlfn.XLOOKUP(Q14,Table2[Player],Table2[Season Wins]))/SUM(Season!$B$3:$S$3),0)</f>
        <v>0.13602941176470587</v>
      </c>
      <c r="T14" s="21">
        <f t="shared" ca="1" si="3"/>
        <v>6</v>
      </c>
      <c r="U14" s="24">
        <f ca="1">_xlfn.XLOOKUP(Q14,Winnings!$A$5:$A$39,Winnings!$U$5:$U$39)</f>
        <v>-40</v>
      </c>
    </row>
    <row r="15" spans="1:21" ht="15" customHeight="1" x14ac:dyDescent="0.3">
      <c r="A15" s="21">
        <v>9</v>
      </c>
      <c r="B15" s="21" t="str">
        <f ca="1">IFERROR(INDEX(_xlfn.SORTBY(INDIRECT("'"&amp;$A$1&amp;"'!$E$10:$E$44"),INDIRECT("'"&amp;$A$1&amp;"'!$B$10:$B$44"),-1),ROWS($B$7:B15)),"")</f>
        <v>Bob h</v>
      </c>
      <c r="C15" s="21">
        <f t="array" aca="1" ref="C15" ca="1">IF(B15="","",INDEX(_xlfn.SORTBY(INDIRECT("'"&amp;$A$1&amp;"'!$B$10:$B$44"),INDIRECT("'"&amp;$A$1&amp;"'!$B$10:$B$44"),-1),ROWS($B$7:B15)))</f>
        <v>11</v>
      </c>
      <c r="D15" s="21">
        <f t="array" aca="1" ref="D15" ca="1">IF(B15="","",INDEX(_xlfn.SORTBY(INDIRECT("'"&amp;$A$1&amp;"'!$C$10:$C$44"),INDIRECT("'"&amp;$A$1&amp;"'!$B$10:$B$44"),-1),ROWS($B$7:B15)))</f>
        <v>9</v>
      </c>
      <c r="E15" s="23">
        <f t="shared" ca="1" si="0"/>
        <v>0.5625</v>
      </c>
      <c r="F15" s="21">
        <f t="shared" ca="1" si="1"/>
        <v>3</v>
      </c>
      <c r="G15" s="24">
        <f t="shared" ca="1" si="2"/>
        <v>3</v>
      </c>
      <c r="H15" s="16"/>
      <c r="I15" s="3" t="s">
        <v>23</v>
      </c>
      <c r="J15">
        <f ca="1">MAX(INDIRECT("'"&amp;$A$1&amp;"'!$B$10:$B$44"))</f>
        <v>14</v>
      </c>
      <c r="O15" s="16"/>
      <c r="P15" s="21">
        <v>9</v>
      </c>
      <c r="Q15" s="21" t="str">
        <f ca="1">_xlfn.XLOOKUP(P15,Table2[Rank],Table2[Player])</f>
        <v>Stan</v>
      </c>
      <c r="R15" s="21">
        <f t="array" aca="1" ref="R15" ca="1">_xlfn.XLOOKUP(Q15,Table2[Player],Season!$T$5:$T$39)</f>
        <v>37</v>
      </c>
      <c r="S15" s="23">
        <f ca="1">IFERROR(SUM(_xlfn.XLOOKUP(Q15,Table2[Player],Table2[Season Wins]))/SUM(Season!$B$3:$S$3),0)</f>
        <v>0.13602941176470587</v>
      </c>
      <c r="T15" s="21">
        <f t="shared" ca="1" si="3"/>
        <v>6</v>
      </c>
      <c r="U15" s="24">
        <f ca="1">_xlfn.XLOOKUP(Q15,Winnings!$A$5:$A$39,Winnings!$U$5:$U$39)</f>
        <v>-35.583333333333336</v>
      </c>
    </row>
    <row r="16" spans="1:21" ht="15" customHeight="1" x14ac:dyDescent="0.3">
      <c r="A16" s="21">
        <v>10</v>
      </c>
      <c r="B16" s="21" t="str">
        <f ca="1">IFERROR(INDEX(_xlfn.SORTBY(INDIRECT("'"&amp;$A$1&amp;"'!$E$10:$E$44"),INDIRECT("'"&amp;$A$1&amp;"'!$B$10:$B$44"),-1),ROWS($B$7:B16)),"")</f>
        <v>Sista Sledge</v>
      </c>
      <c r="C16" s="21">
        <f t="array" aca="1" ref="C16" ca="1">IF(B16="","",INDEX(_xlfn.SORTBY(INDIRECT("'"&amp;$A$1&amp;"'!$B$10:$B$44"),INDIRECT("'"&amp;$A$1&amp;"'!$B$10:$B$44"),-1),ROWS($B$7:B16)))</f>
        <v>11</v>
      </c>
      <c r="D16" s="21">
        <f t="array" aca="1" ref="D16" ca="1">IF(B16="","",INDEX(_xlfn.SORTBY(INDIRECT("'"&amp;$A$1&amp;"'!$C$10:$C$44"),INDIRECT("'"&amp;$A$1&amp;"'!$B$10:$B$44"),-1),ROWS($B$7:B16)))</f>
        <v>10</v>
      </c>
      <c r="E16" s="23">
        <f t="shared" ca="1" si="0"/>
        <v>0.625</v>
      </c>
      <c r="F16" s="21">
        <f t="shared" ca="1" si="1"/>
        <v>3</v>
      </c>
      <c r="G16" s="24">
        <f t="shared" ca="1" si="2"/>
        <v>3</v>
      </c>
      <c r="H16" s="16"/>
      <c r="I16" s="3" t="s">
        <v>24</v>
      </c>
      <c r="J16">
        <f ca="1">_xlfn.MINIFS(INDIRECT("'"&amp;$A$1&amp;"'!$B$10:$B$44"),INDIRECT("'"&amp;$A$1&amp;"'!$B$10:$B$44"),"&gt;=0")</f>
        <v>5</v>
      </c>
      <c r="O16" s="16"/>
      <c r="P16" s="21">
        <v>10</v>
      </c>
      <c r="Q16" s="21" t="str">
        <f ca="1">_xlfn.XLOOKUP(P16,Table2[Rank],Table2[Player])</f>
        <v>Bob h</v>
      </c>
      <c r="R16" s="21">
        <f t="array" aca="1" ref="R16" ca="1">_xlfn.XLOOKUP(Q16,Table2[Player],Season!$T$5:$T$39)</f>
        <v>36</v>
      </c>
      <c r="S16" s="23">
        <f ca="1">IFERROR(SUM(_xlfn.XLOOKUP(Q16,Table2[Player],Table2[Season Wins]))/SUM(Season!$B$3:$S$3),0)</f>
        <v>0.13235294117647059</v>
      </c>
      <c r="T16" s="21">
        <f t="shared" ca="1" si="3"/>
        <v>7</v>
      </c>
      <c r="U16" s="24">
        <f ca="1">_xlfn.XLOOKUP(Q16,Winnings!$A$5:$A$39,Winnings!$U$5:$U$39)</f>
        <v>-40</v>
      </c>
    </row>
    <row r="17" spans="1:21" ht="15" customHeight="1" x14ac:dyDescent="0.3">
      <c r="A17" s="21">
        <v>11</v>
      </c>
      <c r="B17" s="21" t="str">
        <f ca="1">IFERROR(INDEX(_xlfn.SORTBY(INDIRECT("'"&amp;$A$1&amp;"'!$E$10:$E$44"),INDIRECT("'"&amp;$A$1&amp;"'!$B$10:$B$44"),-1),ROWS($B$7:B17)),"")</f>
        <v>Rusted Ox</v>
      </c>
      <c r="C17" s="21">
        <f t="array" aca="1" ref="C17" ca="1">IF(B17="","",INDEX(_xlfn.SORTBY(INDIRECT("'"&amp;$A$1&amp;"'!$B$10:$B$44"),INDIRECT("'"&amp;$A$1&amp;"'!$B$10:$B$44"),-1),ROWS($B$7:B17)))</f>
        <v>11</v>
      </c>
      <c r="D17" s="21">
        <f t="array" aca="1" ref="D17" ca="1">IF(B17="","",INDEX(_xlfn.SORTBY(INDIRECT("'"&amp;$A$1&amp;"'!$C$10:$C$44"),INDIRECT("'"&amp;$A$1&amp;"'!$B$10:$B$44"),-1),ROWS($B$7:B17)))</f>
        <v>10</v>
      </c>
      <c r="E17" s="23">
        <f t="shared" ca="1" si="0"/>
        <v>0.625</v>
      </c>
      <c r="F17" s="21">
        <f t="shared" ca="1" si="1"/>
        <v>3</v>
      </c>
      <c r="G17" s="24">
        <f t="shared" ca="1" si="2"/>
        <v>3</v>
      </c>
      <c r="H17" s="16"/>
      <c r="I17" s="3" t="s">
        <v>5</v>
      </c>
      <c r="J17" s="4">
        <f ca="1">IFERROR(AVERAGEIF(INDIRECT("'"&amp;$A$1&amp;"'!$B$10:$B$44"),"&gt;=0"),0)</f>
        <v>9.6857142857142851</v>
      </c>
      <c r="O17" s="16"/>
      <c r="P17" s="21">
        <v>11</v>
      </c>
      <c r="Q17" s="21" t="str">
        <f ca="1">_xlfn.XLOOKUP(P17,Table2[Rank],Table2[Player])</f>
        <v>Katie A</v>
      </c>
      <c r="R17" s="21">
        <f t="array" aca="1" ref="R17" ca="1">_xlfn.XLOOKUP(Q17,Table2[Player],Season!$T$5:$T$39)</f>
        <v>36</v>
      </c>
      <c r="S17" s="23">
        <f ca="1">IFERROR(SUM(_xlfn.XLOOKUP(Q17,Table2[Player],Table2[Season Wins]))/SUM(Season!$B$3:$S$3),0)</f>
        <v>0.13235294117647059</v>
      </c>
      <c r="T17" s="21">
        <f t="shared" ca="1" si="3"/>
        <v>7</v>
      </c>
      <c r="U17" s="24">
        <f ca="1">_xlfn.XLOOKUP(Q17,Winnings!$A$5:$A$39,Winnings!$U$5:$U$39)</f>
        <v>-40</v>
      </c>
    </row>
    <row r="18" spans="1:21" ht="15" customHeight="1" x14ac:dyDescent="0.3">
      <c r="A18" s="21">
        <v>12</v>
      </c>
      <c r="B18" s="21" t="str">
        <f ca="1">IFERROR(INDEX(_xlfn.SORTBY(INDIRECT("'"&amp;$A$1&amp;"'!$E$10:$E$44"),INDIRECT("'"&amp;$A$1&amp;"'!$B$10:$B$44"),-1),ROWS($B$7:B18)),"")</f>
        <v>Phelpy</v>
      </c>
      <c r="C18" s="21">
        <f t="array" aca="1" ref="C18" ca="1">IF(B18="","",INDEX(_xlfn.SORTBY(INDIRECT("'"&amp;$A$1&amp;"'!$B$10:$B$44"),INDIRECT("'"&amp;$A$1&amp;"'!$B$10:$B$44"),-1),ROWS($B$7:B18)))</f>
        <v>10</v>
      </c>
      <c r="D18" s="21">
        <f t="array" aca="1" ref="D18" ca="1">IF(B18="","",INDEX(_xlfn.SORTBY(INDIRECT("'"&amp;$A$1&amp;"'!$C$10:$C$44"),INDIRECT("'"&amp;$A$1&amp;"'!$B$10:$B$44"),-1),ROWS($B$7:B18)))</f>
        <v>9</v>
      </c>
      <c r="E18" s="23">
        <f t="shared" ca="1" si="0"/>
        <v>0.5625</v>
      </c>
      <c r="F18" s="21">
        <f t="shared" ca="1" si="1"/>
        <v>4</v>
      </c>
      <c r="G18" s="24">
        <f t="shared" ca="1" si="2"/>
        <v>4</v>
      </c>
      <c r="H18" s="16"/>
      <c r="I18" s="3" t="s">
        <v>25</v>
      </c>
      <c r="J18">
        <f ca="1">COUNTIF(INDIRECT("'"&amp;$A$1&amp;"'!$B$10:$B$44"),MAX(INDIRECT("'"&amp;$A$1&amp;"'!$B$10:$B$44")))</f>
        <v>2</v>
      </c>
      <c r="O18" s="16"/>
      <c r="P18" s="21">
        <v>12</v>
      </c>
      <c r="Q18" s="21" t="str">
        <f ca="1">_xlfn.XLOOKUP(P18,Table2[Rank],Table2[Player])</f>
        <v>Navygolfer</v>
      </c>
      <c r="R18" s="21">
        <f t="array" aca="1" ref="R18" ca="1">_xlfn.XLOOKUP(Q18,Table2[Player],Season!$T$5:$T$39)</f>
        <v>36</v>
      </c>
      <c r="S18" s="23">
        <f ca="1">IFERROR(SUM(_xlfn.XLOOKUP(Q18,Table2[Player],Table2[Season Wins]))/SUM(Season!$B$3:$S$3),0)</f>
        <v>0.13235294117647059</v>
      </c>
      <c r="T18" s="21">
        <f t="shared" ca="1" si="3"/>
        <v>7</v>
      </c>
      <c r="U18" s="24">
        <f ca="1">_xlfn.XLOOKUP(Q18,Winnings!$A$5:$A$39,Winnings!$U$5:$U$39)</f>
        <v>-40</v>
      </c>
    </row>
    <row r="19" spans="1:21" ht="15" customHeight="1" x14ac:dyDescent="0.3">
      <c r="A19" s="21">
        <v>13</v>
      </c>
      <c r="B19" s="21" t="str">
        <f ca="1">IFERROR(INDEX(_xlfn.SORTBY(INDIRECT("'"&amp;$A$1&amp;"'!$E$10:$E$44"),INDIRECT("'"&amp;$A$1&amp;"'!$B$10:$B$44"),-1),ROWS($B$7:B19)),"")</f>
        <v>Jim T</v>
      </c>
      <c r="C19" s="21">
        <f t="array" aca="1" ref="C19" ca="1">IF(B19="","",INDEX(_xlfn.SORTBY(INDIRECT("'"&amp;$A$1&amp;"'!$B$10:$B$44"),INDIRECT("'"&amp;$A$1&amp;"'!$B$10:$B$44"),-1),ROWS($B$7:B19)))</f>
        <v>10</v>
      </c>
      <c r="D19" s="21">
        <f t="array" aca="1" ref="D19" ca="1">IF(B19="","",INDEX(_xlfn.SORTBY(INDIRECT("'"&amp;$A$1&amp;"'!$C$10:$C$44"),INDIRECT("'"&amp;$A$1&amp;"'!$B$10:$B$44"),-1),ROWS($B$7:B19)))</f>
        <v>9</v>
      </c>
      <c r="E19" s="23">
        <f t="shared" ca="1" si="0"/>
        <v>0.5625</v>
      </c>
      <c r="F19" s="21">
        <f t="shared" ca="1" si="1"/>
        <v>4</v>
      </c>
      <c r="G19" s="24">
        <f t="shared" ca="1" si="2"/>
        <v>4</v>
      </c>
      <c r="H19" s="16"/>
      <c r="I19" s="3" t="s">
        <v>26</v>
      </c>
      <c r="J19">
        <f ca="1">COUNTIF(INDIRECT("'"&amp;$A$1&amp;"'!$B$10:$B$44"),"&gt;"&amp;AVERAGE(INDIRECT("'"&amp;$A$1&amp;"'!$B$10:$B$44")))</f>
        <v>20</v>
      </c>
      <c r="O19" s="16"/>
      <c r="P19" s="21">
        <v>13</v>
      </c>
      <c r="Q19" s="21" t="str">
        <f ca="1">_xlfn.XLOOKUP(P19,Table2[Rank],Table2[Player])</f>
        <v>Sista Sledge</v>
      </c>
      <c r="R19" s="21">
        <f t="array" aca="1" ref="R19" ca="1">_xlfn.XLOOKUP(Q19,Table2[Player],Season!$T$5:$T$39)</f>
        <v>36</v>
      </c>
      <c r="S19" s="23">
        <f ca="1">IFERROR(SUM(_xlfn.XLOOKUP(Q19,Table2[Player],Table2[Season Wins]))/SUM(Season!$B$3:$S$3),0)</f>
        <v>0.13235294117647059</v>
      </c>
      <c r="T19" s="21">
        <f t="shared" ca="1" si="3"/>
        <v>7</v>
      </c>
      <c r="U19" s="24">
        <f ca="1">_xlfn.XLOOKUP(Q19,Winnings!$A$5:$A$39,Winnings!$U$5:$U$39)</f>
        <v>-40</v>
      </c>
    </row>
    <row r="20" spans="1:21" ht="15" customHeight="1" x14ac:dyDescent="0.3">
      <c r="A20" s="21">
        <v>14</v>
      </c>
      <c r="B20" s="21" t="str">
        <f ca="1">IFERROR(INDEX(_xlfn.SORTBY(INDIRECT("'"&amp;$A$1&amp;"'!$E$10:$E$44"),INDIRECT("'"&amp;$A$1&amp;"'!$B$10:$B$44"),-1),ROWS($B$7:B20)),"")</f>
        <v>Stan</v>
      </c>
      <c r="C20" s="21">
        <f t="array" aca="1" ref="C20" ca="1">IF(B20="","",INDEX(_xlfn.SORTBY(INDIRECT("'"&amp;$A$1&amp;"'!$B$10:$B$44"),INDIRECT("'"&amp;$A$1&amp;"'!$B$10:$B$44"),-1),ROWS($B$7:B20)))</f>
        <v>10</v>
      </c>
      <c r="D20" s="21">
        <f t="array" aca="1" ref="D20" ca="1">IF(B20="","",INDEX(_xlfn.SORTBY(INDIRECT("'"&amp;$A$1&amp;"'!$C$10:$C$44"),INDIRECT("'"&amp;$A$1&amp;"'!$B$10:$B$44"),-1),ROWS($B$7:B20)))</f>
        <v>9</v>
      </c>
      <c r="E20" s="23">
        <f t="shared" ca="1" si="0"/>
        <v>0.5625</v>
      </c>
      <c r="F20" s="21">
        <f t="shared" ca="1" si="1"/>
        <v>4</v>
      </c>
      <c r="G20" s="24">
        <f t="shared" ca="1" si="2"/>
        <v>4</v>
      </c>
      <c r="H20" s="16"/>
      <c r="I20" s="42" t="s">
        <v>27</v>
      </c>
      <c r="J20" s="28" t="s">
        <v>255</v>
      </c>
      <c r="O20" s="16"/>
      <c r="P20" s="21">
        <v>14</v>
      </c>
      <c r="Q20" s="21" t="str">
        <f ca="1">_xlfn.XLOOKUP(P20,Table2[Rank],Table2[Player])</f>
        <v>tb</v>
      </c>
      <c r="R20" s="21">
        <f t="array" aca="1" ref="R20" ca="1">_xlfn.XLOOKUP(Q20,Table2[Player],Season!$T$5:$T$39)</f>
        <v>36</v>
      </c>
      <c r="S20" s="23">
        <f ca="1">IFERROR(SUM(_xlfn.XLOOKUP(Q20,Table2[Player],Table2[Season Wins]))/SUM(Season!$B$3:$S$3),0)</f>
        <v>0.13235294117647059</v>
      </c>
      <c r="T20" s="21">
        <f t="shared" ca="1" si="3"/>
        <v>7</v>
      </c>
      <c r="U20" s="24">
        <f ca="1">_xlfn.XLOOKUP(Q20,Winnings!$A$5:$A$39,Winnings!$U$5:$U$39)</f>
        <v>-40</v>
      </c>
    </row>
    <row r="21" spans="1:21" ht="15" customHeight="1" x14ac:dyDescent="0.3">
      <c r="A21" s="21">
        <v>15</v>
      </c>
      <c r="B21" s="21" t="str">
        <f ca="1">IFERROR(INDEX(_xlfn.SORTBY(INDIRECT("'"&amp;$A$1&amp;"'!$E$10:$E$44"),INDIRECT("'"&amp;$A$1&amp;"'!$B$10:$B$44"),-1),ROWS($B$7:B21)),"")</f>
        <v>Frankethetank</v>
      </c>
      <c r="C21" s="21">
        <f t="array" aca="1" ref="C21" ca="1">IF(B21="","",INDEX(_xlfn.SORTBY(INDIRECT("'"&amp;$A$1&amp;"'!$B$10:$B$44"),INDIRECT("'"&amp;$A$1&amp;"'!$B$10:$B$44"),-1),ROWS($B$7:B21)))</f>
        <v>10</v>
      </c>
      <c r="D21" s="21">
        <f t="array" aca="1" ref="D21" ca="1">IF(B21="","",INDEX(_xlfn.SORTBY(INDIRECT("'"&amp;$A$1&amp;"'!$C$10:$C$44"),INDIRECT("'"&amp;$A$1&amp;"'!$B$10:$B$44"),-1),ROWS($B$7:B21)))</f>
        <v>10</v>
      </c>
      <c r="E21" s="23">
        <f t="shared" ca="1" si="0"/>
        <v>0.625</v>
      </c>
      <c r="F21" s="21">
        <f t="shared" ca="1" si="1"/>
        <v>4</v>
      </c>
      <c r="G21" s="24">
        <f t="shared" ca="1" si="2"/>
        <v>4</v>
      </c>
      <c r="H21" s="16"/>
      <c r="I21" t="s">
        <v>28</v>
      </c>
      <c r="J21" t="str">
        <f t="array" aca="1" ref="J21" ca="1">_xlfn.IFNA(_xlfn.XLOOKUP("Phelpy",INDIRECT("'"&amp;I21&amp;"'!$e$10:$e$44"),INDIRECT("'"&amp;I21&amp;"'!$y$10:$y$44")),"")</f>
        <v xml:space="preserve"> Philadelphia</v>
      </c>
      <c r="O21" s="16"/>
      <c r="P21" s="21">
        <v>15</v>
      </c>
      <c r="Q21" s="21" t="str">
        <f ca="1">_xlfn.XLOOKUP(P21,Table2[Rank],Table2[Player])</f>
        <v>Zach N</v>
      </c>
      <c r="R21" s="21">
        <f t="array" aca="1" ref="R21" ca="1">_xlfn.XLOOKUP(Q21,Table2[Player],Season!$T$5:$T$39)</f>
        <v>36</v>
      </c>
      <c r="S21" s="23">
        <f ca="1">IFERROR(SUM(_xlfn.XLOOKUP(Q21,Table2[Player],Table2[Season Wins]))/SUM(Season!$B$3:$S$3),0)</f>
        <v>0.13235294117647059</v>
      </c>
      <c r="T21" s="21">
        <f t="shared" ca="1" si="3"/>
        <v>7</v>
      </c>
      <c r="U21" s="24">
        <f ca="1">_xlfn.XLOOKUP(Q21,Winnings!$A$5:$A$39,Winnings!$U$5:$U$39)</f>
        <v>-35.583333333333336</v>
      </c>
    </row>
    <row r="22" spans="1:21" ht="15" customHeight="1" x14ac:dyDescent="0.3">
      <c r="A22" s="21">
        <v>16</v>
      </c>
      <c r="B22" s="21" t="str">
        <f ca="1">IFERROR(INDEX(_xlfn.SORTBY(INDIRECT("'"&amp;$A$1&amp;"'!$E$10:$E$44"),INDIRECT("'"&amp;$A$1&amp;"'!$B$10:$B$44"),-1),ROWS($B$7:B22)),"")</f>
        <v>Navygolfer</v>
      </c>
      <c r="C22" s="21">
        <f t="array" aca="1" ref="C22" ca="1">IF(B22="","",INDEX(_xlfn.SORTBY(INDIRECT("'"&amp;$A$1&amp;"'!$B$10:$B$44"),INDIRECT("'"&amp;$A$1&amp;"'!$B$10:$B$44"),-1),ROWS($B$7:B22)))</f>
        <v>10</v>
      </c>
      <c r="D22" s="21">
        <f t="array" aca="1" ref="D22" ca="1">IF(B22="","",INDEX(_xlfn.SORTBY(INDIRECT("'"&amp;$A$1&amp;"'!$C$10:$C$44"),INDIRECT("'"&amp;$A$1&amp;"'!$B$10:$B$44"),-1),ROWS($B$7:B22)))</f>
        <v>9</v>
      </c>
      <c r="E22" s="23">
        <f t="shared" ca="1" si="0"/>
        <v>0.5625</v>
      </c>
      <c r="F22" s="21">
        <f t="shared" ca="1" si="1"/>
        <v>4</v>
      </c>
      <c r="G22" s="24">
        <f t="shared" ca="1" si="2"/>
        <v>4</v>
      </c>
      <c r="H22" s="16"/>
      <c r="I22" t="s">
        <v>0</v>
      </c>
      <c r="J22" t="str">
        <f t="array" aca="1" ref="J22" ca="1">_xlfn.IFNA(_xlfn.XLOOKUP("Phelpy",INDIRECT("'"&amp;I22&amp;"'!$e$10:$e$44"),INDIRECT("'"&amp;I22&amp;"'!$y$10:$y$44")),"")</f>
        <v xml:space="preserve"> Chicago</v>
      </c>
      <c r="O22" s="16"/>
      <c r="P22" s="21">
        <v>16</v>
      </c>
      <c r="Q22" s="21" t="str">
        <f ca="1">_xlfn.XLOOKUP(P22,Table2[Rank],Table2[Player])</f>
        <v>cuetop</v>
      </c>
      <c r="R22" s="21">
        <f t="array" aca="1" ref="R22" ca="1">_xlfn.XLOOKUP(Q22,Table2[Player],Season!$T$5:$T$39)</f>
        <v>35</v>
      </c>
      <c r="S22" s="23">
        <f ca="1">IFERROR(SUM(_xlfn.XLOOKUP(Q22,Table2[Player],Table2[Season Wins]))/SUM(Season!$B$3:$S$3),0)</f>
        <v>0.12867647058823528</v>
      </c>
      <c r="T22" s="21">
        <f t="shared" ca="1" si="3"/>
        <v>8</v>
      </c>
      <c r="U22" s="24">
        <f ca="1">_xlfn.XLOOKUP(Q22,Winnings!$A$5:$A$39,Winnings!$U$5:$U$39)</f>
        <v>-40</v>
      </c>
    </row>
    <row r="23" spans="1:21" ht="15" customHeight="1" x14ac:dyDescent="0.3">
      <c r="A23" s="21">
        <v>17</v>
      </c>
      <c r="B23" s="21" t="str">
        <f ca="1">IFERROR(INDEX(_xlfn.SORTBY(INDIRECT("'"&amp;$A$1&amp;"'!$E$10:$E$44"),INDIRECT("'"&amp;$A$1&amp;"'!$B$10:$B$44"),-1),ROWS($B$7:B23)),"")</f>
        <v>Samsaunt</v>
      </c>
      <c r="C23" s="21">
        <f t="array" aca="1" ref="C23" ca="1">IF(B23="","",INDEX(_xlfn.SORTBY(INDIRECT("'"&amp;$A$1&amp;"'!$B$10:$B$44"),INDIRECT("'"&amp;$A$1&amp;"'!$B$10:$B$44"),-1),ROWS($B$7:B23)))</f>
        <v>10</v>
      </c>
      <c r="D23" s="21">
        <f t="array" aca="1" ref="D23" ca="1">IF(B23="","",INDEX(_xlfn.SORTBY(INDIRECT("'"&amp;$A$1&amp;"'!$C$10:$C$44"),INDIRECT("'"&amp;$A$1&amp;"'!$B$10:$B$44"),-1),ROWS($B$7:B23)))</f>
        <v>9</v>
      </c>
      <c r="E23" s="23">
        <f t="shared" ca="1" si="0"/>
        <v>0.5625</v>
      </c>
      <c r="F23" s="21">
        <f t="shared" ca="1" si="1"/>
        <v>4</v>
      </c>
      <c r="G23" s="24">
        <f t="shared" ca="1" si="2"/>
        <v>4</v>
      </c>
      <c r="H23" s="16"/>
      <c r="I23" t="s">
        <v>29</v>
      </c>
      <c r="J23" t="str">
        <f t="array" aca="1" ref="J23" ca="1">_xlfn.IFNA(_xlfn.XLOOKUP("Phelpy",INDIRECT("'"&amp;I23&amp;"'!$e$10:$e$44"),INDIRECT("'"&amp;I23&amp;"'!$y$10:$y$44")),"")</f>
        <v xml:space="preserve"> DEAD</v>
      </c>
      <c r="O23" s="16"/>
      <c r="P23" s="21">
        <v>17</v>
      </c>
      <c r="Q23" s="21" t="str">
        <f ca="1">_xlfn.XLOOKUP(P23,Table2[Rank],Table2[Player])</f>
        <v>Gr8granpa</v>
      </c>
      <c r="R23" s="21">
        <f t="array" aca="1" ref="R23" ca="1">_xlfn.XLOOKUP(Q23,Table2[Player],Season!$T$5:$T$39)</f>
        <v>35</v>
      </c>
      <c r="S23" s="23">
        <f ca="1">IFERROR(SUM(_xlfn.XLOOKUP(Q23,Table2[Player],Table2[Season Wins]))/SUM(Season!$B$3:$S$3),0)</f>
        <v>0.12867647058823528</v>
      </c>
      <c r="T23" s="21">
        <f t="shared" ca="1" si="3"/>
        <v>8</v>
      </c>
      <c r="U23" s="24">
        <f ca="1">_xlfn.XLOOKUP(Q23,Winnings!$A$5:$A$39,Winnings!$U$5:$U$39)</f>
        <v>-40</v>
      </c>
    </row>
    <row r="24" spans="1:21" ht="15" customHeight="1" x14ac:dyDescent="0.3">
      <c r="A24" s="21">
        <v>18</v>
      </c>
      <c r="B24" s="21" t="str">
        <f ca="1">IFERROR(INDEX(_xlfn.SORTBY(INDIRECT("'"&amp;$A$1&amp;"'!$E$10:$E$44"),INDIRECT("'"&amp;$A$1&amp;"'!$B$10:$B$44"),-1),ROWS($B$7:B24)),"")</f>
        <v>Gr8granpa</v>
      </c>
      <c r="C24" s="21">
        <f t="array" aca="1" ref="C24" ca="1">IF(B24="","",INDEX(_xlfn.SORTBY(INDIRECT("'"&amp;$A$1&amp;"'!$B$10:$B$44"),INDIRECT("'"&amp;$A$1&amp;"'!$B$10:$B$44"),-1),ROWS($B$7:B24)))</f>
        <v>10</v>
      </c>
      <c r="D24" s="21">
        <f t="array" aca="1" ref="D24" ca="1">IF(B24="","",INDEX(_xlfn.SORTBY(INDIRECT("'"&amp;$A$1&amp;"'!$C$10:$C$44"),INDIRECT("'"&amp;$A$1&amp;"'!$B$10:$B$44"),-1),ROWS($B$7:B24)))</f>
        <v>9</v>
      </c>
      <c r="E24" s="23">
        <f t="shared" ca="1" si="0"/>
        <v>0.5625</v>
      </c>
      <c r="F24" s="21">
        <f t="shared" ca="1" si="1"/>
        <v>4</v>
      </c>
      <c r="G24" s="24">
        <f t="shared" ca="1" si="2"/>
        <v>4</v>
      </c>
      <c r="H24" s="16"/>
      <c r="I24" t="s">
        <v>30</v>
      </c>
      <c r="J24" t="str">
        <f t="array" aca="1" ref="J24" ca="1">_xlfn.IFNA(_xlfn.XLOOKUP("Phelpy",INDIRECT("'"&amp;I24&amp;"'!$e$10:$e$44"),INDIRECT("'"&amp;I24&amp;"'!$y$10:$y$44")),"")</f>
        <v/>
      </c>
      <c r="O24" s="16"/>
      <c r="P24" s="21">
        <v>18</v>
      </c>
      <c r="Q24" s="21" t="str">
        <f ca="1">_xlfn.XLOOKUP(P24,Table2[Rank],Table2[Player])</f>
        <v>meatloaf</v>
      </c>
      <c r="R24" s="21">
        <f t="array" aca="1" ref="R24" ca="1">_xlfn.XLOOKUP(Q24,Table2[Player],Season!$T$5:$T$39)</f>
        <v>35</v>
      </c>
      <c r="S24" s="23">
        <f ca="1">IFERROR(SUM(_xlfn.XLOOKUP(Q24,Table2[Player],Table2[Season Wins]))/SUM(Season!$B$3:$S$3),0)</f>
        <v>0.12867647058823528</v>
      </c>
      <c r="T24" s="21">
        <f t="shared" ca="1" si="3"/>
        <v>8</v>
      </c>
      <c r="U24" s="24">
        <f ca="1">_xlfn.XLOOKUP(Q24,Winnings!$A$5:$A$39,Winnings!$U$5:$U$39)</f>
        <v>-40</v>
      </c>
    </row>
    <row r="25" spans="1:21" ht="15" customHeight="1" x14ac:dyDescent="0.3">
      <c r="A25" s="21">
        <v>19</v>
      </c>
      <c r="B25" s="21" t="str">
        <f ca="1">IFERROR(INDEX(_xlfn.SORTBY(INDIRECT("'"&amp;$A$1&amp;"'!$E$10:$E$44"),INDIRECT("'"&amp;$A$1&amp;"'!$B$10:$B$44"),-1),ROWS($B$7:B25)),"")</f>
        <v>Mrp4real</v>
      </c>
      <c r="C25" s="21">
        <f t="array" aca="1" ref="C25" ca="1">IF(B25="","",INDEX(_xlfn.SORTBY(INDIRECT("'"&amp;$A$1&amp;"'!$B$10:$B$44"),INDIRECT("'"&amp;$A$1&amp;"'!$B$10:$B$44"),-1),ROWS($B$7:B25)))</f>
        <v>10</v>
      </c>
      <c r="D25" s="21">
        <f t="array" aca="1" ref="D25" ca="1">IF(B25="","",INDEX(_xlfn.SORTBY(INDIRECT("'"&amp;$A$1&amp;"'!$C$10:$C$44"),INDIRECT("'"&amp;$A$1&amp;"'!$B$10:$B$44"),-1),ROWS($B$7:B25)))</f>
        <v>8</v>
      </c>
      <c r="E25" s="23">
        <f t="shared" ca="1" si="0"/>
        <v>0.5</v>
      </c>
      <c r="F25" s="21">
        <f t="shared" ca="1" si="1"/>
        <v>4</v>
      </c>
      <c r="G25" s="24">
        <f t="shared" ca="1" si="2"/>
        <v>4</v>
      </c>
      <c r="H25" s="16"/>
      <c r="I25" t="s">
        <v>31</v>
      </c>
      <c r="J25" t="str">
        <f t="array" aca="1" ref="J25" ca="1">_xlfn.IFNA(_xlfn.XLOOKUP("Phelpy",INDIRECT("'"&amp;I25&amp;"'!$e$10:$e$44"),INDIRECT("'"&amp;I25&amp;"'!$y$10:$y$44")),"")</f>
        <v/>
      </c>
      <c r="O25" s="16"/>
      <c r="P25" s="21">
        <v>19</v>
      </c>
      <c r="Q25" s="21" t="str">
        <f ca="1">_xlfn.XLOOKUP(P25,Table2[Rank],Table2[Player])</f>
        <v>Samsaunt</v>
      </c>
      <c r="R25" s="21">
        <f t="array" aca="1" ref="R25" ca="1">_xlfn.XLOOKUP(Q25,Table2[Player],Season!$T$5:$T$39)</f>
        <v>35</v>
      </c>
      <c r="S25" s="23">
        <f ca="1">IFERROR(SUM(_xlfn.XLOOKUP(Q25,Table2[Player],Table2[Season Wins]))/SUM(Season!$B$3:$S$3),0)</f>
        <v>0.12867647058823528</v>
      </c>
      <c r="T25" s="21">
        <f t="shared" ca="1" si="3"/>
        <v>8</v>
      </c>
      <c r="U25" s="24">
        <f ca="1">_xlfn.XLOOKUP(Q25,Winnings!$A$5:$A$39,Winnings!$U$5:$U$39)</f>
        <v>-40</v>
      </c>
    </row>
    <row r="26" spans="1:21" ht="15" customHeight="1" x14ac:dyDescent="0.3">
      <c r="A26" s="21">
        <v>20</v>
      </c>
      <c r="B26" s="21" t="str">
        <f ca="1">IFERROR(INDEX(_xlfn.SORTBY(INDIRECT("'"&amp;$A$1&amp;"'!$E$10:$E$44"),INDIRECT("'"&amp;$A$1&amp;"'!$B$10:$B$44"),-1),ROWS($B$7:B26)),"")</f>
        <v>Ddupuy</v>
      </c>
      <c r="C26" s="21">
        <f t="array" aca="1" ref="C26" ca="1">IF(B26="","",INDEX(_xlfn.SORTBY(INDIRECT("'"&amp;$A$1&amp;"'!$B$10:$B$44"),INDIRECT("'"&amp;$A$1&amp;"'!$B$10:$B$44"),-1),ROWS($B$7:B26)))</f>
        <v>10</v>
      </c>
      <c r="D26" s="21">
        <f t="array" aca="1" ref="D26" ca="1">IF(B26="","",INDEX(_xlfn.SORTBY(INDIRECT("'"&amp;$A$1&amp;"'!$C$10:$C$44"),INDIRECT("'"&amp;$A$1&amp;"'!$B$10:$B$44"),-1),ROWS($B$7:B26)))</f>
        <v>9</v>
      </c>
      <c r="E26" s="23">
        <f t="shared" ca="1" si="0"/>
        <v>0.5625</v>
      </c>
      <c r="F26" s="21">
        <f t="shared" ca="1" si="1"/>
        <v>4</v>
      </c>
      <c r="G26" s="24">
        <f t="shared" ca="1" si="2"/>
        <v>4</v>
      </c>
      <c r="H26" s="16"/>
      <c r="I26" t="s">
        <v>32</v>
      </c>
      <c r="J26" t="str">
        <f t="array" aca="1" ref="J26" ca="1">_xlfn.IFNA(_xlfn.XLOOKUP("Phelpy",INDIRECT("'"&amp;I26&amp;"'!$e$10:$e$44"),INDIRECT("'"&amp;I26&amp;"'!$y$10:$y$44")),"")</f>
        <v/>
      </c>
      <c r="O26" s="16"/>
      <c r="P26" s="21">
        <v>20</v>
      </c>
      <c r="Q26" s="21" t="str">
        <f ca="1">_xlfn.XLOOKUP(P26,Table2[Rank],Table2[Player])</f>
        <v>Vonasek Family</v>
      </c>
      <c r="R26" s="21">
        <f t="array" aca="1" ref="R26" ca="1">_xlfn.XLOOKUP(Q26,Table2[Player],Season!$T$5:$T$39)</f>
        <v>35</v>
      </c>
      <c r="S26" s="23">
        <f ca="1">IFERROR(SUM(_xlfn.XLOOKUP(Q26,Table2[Player],Table2[Season Wins]))/SUM(Season!$B$3:$S$3),0)</f>
        <v>0.12867647058823528</v>
      </c>
      <c r="T26" s="21">
        <f t="shared" ca="1" si="3"/>
        <v>8</v>
      </c>
      <c r="U26" s="24">
        <f ca="1">_xlfn.XLOOKUP(Q26,Winnings!$A$5:$A$39,Winnings!$U$5:$U$39)</f>
        <v>-40</v>
      </c>
    </row>
    <row r="27" spans="1:21" ht="15" customHeight="1" x14ac:dyDescent="0.3">
      <c r="A27" s="21">
        <v>21</v>
      </c>
      <c r="B27" s="21" t="str">
        <f ca="1">IFERROR(INDEX(_xlfn.SORTBY(INDIRECT("'"&amp;$A$1&amp;"'!$E$10:$E$44"),INDIRECT("'"&amp;$A$1&amp;"'!$B$10:$B$44"),-1),ROWS($B$7:B27)),"")</f>
        <v>tb</v>
      </c>
      <c r="C27" s="21">
        <f t="array" aca="1" ref="C27" ca="1">IF(B27="","",INDEX(_xlfn.SORTBY(INDIRECT("'"&amp;$A$1&amp;"'!$B$10:$B$44"),INDIRECT("'"&amp;$A$1&amp;"'!$B$10:$B$44"),-1),ROWS($B$7:B27)))</f>
        <v>9</v>
      </c>
      <c r="D27" s="21">
        <f t="array" aca="1" ref="D27" ca="1">IF(B27="","",INDEX(_xlfn.SORTBY(INDIRECT("'"&amp;$A$1&amp;"'!$C$10:$C$44"),INDIRECT("'"&amp;$A$1&amp;"'!$B$10:$B$44"),-1),ROWS($B$7:B27)))</f>
        <v>8</v>
      </c>
      <c r="E27" s="23">
        <f t="shared" ca="1" si="0"/>
        <v>0.5</v>
      </c>
      <c r="F27" s="21">
        <f t="shared" ca="1" si="1"/>
        <v>5</v>
      </c>
      <c r="G27" s="24">
        <f t="shared" ca="1" si="2"/>
        <v>5</v>
      </c>
      <c r="H27" s="16"/>
      <c r="I27" t="s">
        <v>33</v>
      </c>
      <c r="J27" t="str">
        <f t="array" aca="1" ref="J27" ca="1">_xlfn.IFNA(_xlfn.XLOOKUP("Phelpy",INDIRECT("'"&amp;I27&amp;"'!$e$10:$e$44"),INDIRECT("'"&amp;I27&amp;"'!$y$10:$y$44")),"")</f>
        <v/>
      </c>
      <c r="O27" s="16"/>
      <c r="P27" s="21">
        <v>21</v>
      </c>
      <c r="Q27" s="21" t="str">
        <f ca="1">_xlfn.XLOOKUP(P27,Table2[Rank],Table2[Player])</f>
        <v>CraneGuy936</v>
      </c>
      <c r="R27" s="21">
        <f t="array" aca="1" ref="R27" ca="1">_xlfn.XLOOKUP(Q27,Table2[Player],Season!$T$5:$T$39)</f>
        <v>34</v>
      </c>
      <c r="S27" s="23">
        <f ca="1">IFERROR(SUM(_xlfn.XLOOKUP(Q27,Table2[Player],Table2[Season Wins]))/SUM(Season!$B$3:$S$3),0)</f>
        <v>0.125</v>
      </c>
      <c r="T27" s="21">
        <f t="shared" ca="1" si="3"/>
        <v>9</v>
      </c>
      <c r="U27" s="24">
        <f ca="1">_xlfn.XLOOKUP(Q27,Winnings!$A$5:$A$39,Winnings!$U$5:$U$39)</f>
        <v>-40</v>
      </c>
    </row>
    <row r="28" spans="1:21" ht="15" customHeight="1" x14ac:dyDescent="0.3">
      <c r="A28" s="21">
        <v>22</v>
      </c>
      <c r="B28" s="21" t="str">
        <f ca="1">IFERROR(INDEX(_xlfn.SORTBY(INDIRECT("'"&amp;$A$1&amp;"'!$E$10:$E$44"),INDIRECT("'"&amp;$A$1&amp;"'!$B$10:$B$44"),-1),ROWS($B$7:B28)),"")</f>
        <v>Katie A</v>
      </c>
      <c r="C28" s="21">
        <f t="array" aca="1" ref="C28" ca="1">IF(B28="","",INDEX(_xlfn.SORTBY(INDIRECT("'"&amp;$A$1&amp;"'!$B$10:$B$44"),INDIRECT("'"&amp;$A$1&amp;"'!$B$10:$B$44"),-1),ROWS($B$7:B28)))</f>
        <v>9</v>
      </c>
      <c r="D28" s="21">
        <f t="array" aca="1" ref="D28" ca="1">IF(B28="","",INDEX(_xlfn.SORTBY(INDIRECT("'"&amp;$A$1&amp;"'!$C$10:$C$44"),INDIRECT("'"&amp;$A$1&amp;"'!$B$10:$B$44"),-1),ROWS($B$7:B28)))</f>
        <v>8</v>
      </c>
      <c r="E28" s="23">
        <f t="shared" ca="1" si="0"/>
        <v>0.5</v>
      </c>
      <c r="F28" s="21">
        <f t="shared" ca="1" si="1"/>
        <v>5</v>
      </c>
      <c r="G28" s="24">
        <f t="shared" ca="1" si="2"/>
        <v>5</v>
      </c>
      <c r="H28" s="16"/>
      <c r="I28" t="s">
        <v>34</v>
      </c>
      <c r="J28" t="str">
        <f t="array" aca="1" ref="J28" ca="1">_xlfn.IFNA(_xlfn.XLOOKUP("Phelpy",INDIRECT("'"&amp;I28&amp;"'!$e$10:$e$44"),INDIRECT("'"&amp;I28&amp;"'!$y$10:$y$44")),"")</f>
        <v/>
      </c>
      <c r="O28" s="16"/>
      <c r="P28" s="21">
        <v>22</v>
      </c>
      <c r="Q28" s="21" t="str">
        <f ca="1">_xlfn.XLOOKUP(P28,Table2[Rank],Table2[Player])</f>
        <v>MayeDay! MayeDay!</v>
      </c>
      <c r="R28" s="21">
        <f t="array" aca="1" ref="R28" ca="1">_xlfn.XLOOKUP(Q28,Table2[Player],Season!$T$5:$T$39)</f>
        <v>34</v>
      </c>
      <c r="S28" s="23">
        <f ca="1">IFERROR(SUM(_xlfn.XLOOKUP(Q28,Table2[Player],Table2[Season Wins]))/SUM(Season!$B$3:$S$3),0)</f>
        <v>0.125</v>
      </c>
      <c r="T28" s="21">
        <f t="shared" ca="1" si="3"/>
        <v>9</v>
      </c>
      <c r="U28" s="24">
        <f ca="1">_xlfn.XLOOKUP(Q28,Winnings!$A$5:$A$39,Winnings!$U$5:$U$39)</f>
        <v>-40</v>
      </c>
    </row>
    <row r="29" spans="1:21" ht="15" customHeight="1" x14ac:dyDescent="0.3">
      <c r="A29" s="21">
        <v>23</v>
      </c>
      <c r="B29" s="21" t="str">
        <f ca="1">IFERROR(INDEX(_xlfn.SORTBY(INDIRECT("'"&amp;$A$1&amp;"'!$E$10:$E$44"),INDIRECT("'"&amp;$A$1&amp;"'!$B$10:$B$44"),-1),ROWS($B$7:B29)),"")</f>
        <v>meatloaf</v>
      </c>
      <c r="C29" s="21">
        <f t="array" aca="1" ref="C29" ca="1">IF(B29="","",INDEX(_xlfn.SORTBY(INDIRECT("'"&amp;$A$1&amp;"'!$B$10:$B$44"),INDIRECT("'"&amp;$A$1&amp;"'!$B$10:$B$44"),-1),ROWS($B$7:B29)))</f>
        <v>9</v>
      </c>
      <c r="D29" s="21">
        <f t="array" aca="1" ref="D29" ca="1">IF(B29="","",INDEX(_xlfn.SORTBY(INDIRECT("'"&amp;$A$1&amp;"'!$C$10:$C$44"),INDIRECT("'"&amp;$A$1&amp;"'!$B$10:$B$44"),-1),ROWS($B$7:B29)))</f>
        <v>8</v>
      </c>
      <c r="E29" s="23">
        <f t="shared" ca="1" si="0"/>
        <v>0.5</v>
      </c>
      <c r="F29" s="21">
        <f t="shared" ca="1" si="1"/>
        <v>5</v>
      </c>
      <c r="G29" s="24">
        <f t="shared" ca="1" si="2"/>
        <v>5</v>
      </c>
      <c r="H29" s="16"/>
      <c r="I29" t="s">
        <v>35</v>
      </c>
      <c r="J29" t="str">
        <f t="array" aca="1" ref="J29" ca="1">_xlfn.IFNA(_xlfn.XLOOKUP("Phelpy",INDIRECT("'"&amp;I29&amp;"'!$e$10:$e$44"),INDIRECT("'"&amp;I29&amp;"'!$y$10:$y$44")),"")</f>
        <v/>
      </c>
      <c r="O29" s="16"/>
      <c r="P29" s="21">
        <v>23</v>
      </c>
      <c r="Q29" s="21" t="str">
        <f ca="1">_xlfn.XLOOKUP(P29,Table2[Rank],Table2[Player])</f>
        <v>Mrp4real</v>
      </c>
      <c r="R29" s="21">
        <f t="array" aca="1" ref="R29" ca="1">_xlfn.XLOOKUP(Q29,Table2[Player],Season!$T$5:$T$39)</f>
        <v>34</v>
      </c>
      <c r="S29" s="23">
        <f ca="1">IFERROR(SUM(_xlfn.XLOOKUP(Q29,Table2[Player],Table2[Season Wins]))/SUM(Season!$B$3:$S$3),0)</f>
        <v>0.125</v>
      </c>
      <c r="T29" s="21">
        <f t="shared" ca="1" si="3"/>
        <v>9</v>
      </c>
      <c r="U29" s="24">
        <f ca="1">_xlfn.XLOOKUP(Q29,Winnings!$A$5:$A$39,Winnings!$U$5:$U$39)</f>
        <v>-35.583333333333336</v>
      </c>
    </row>
    <row r="30" spans="1:21" ht="15" customHeight="1" x14ac:dyDescent="0.3">
      <c r="A30" s="21">
        <v>24</v>
      </c>
      <c r="B30" s="21" t="str">
        <f ca="1">IFERROR(INDEX(_xlfn.SORTBY(INDIRECT("'"&amp;$A$1&amp;"'!$E$10:$E$44"),INDIRECT("'"&amp;$A$1&amp;"'!$B$10:$B$44"),-1),ROWS($B$7:B30)),"")</f>
        <v>Vonasek Family</v>
      </c>
      <c r="C30" s="21">
        <f t="array" aca="1" ref="C30" ca="1">IF(B30="","",INDEX(_xlfn.SORTBY(INDIRECT("'"&amp;$A$1&amp;"'!$B$10:$B$44"),INDIRECT("'"&amp;$A$1&amp;"'!$B$10:$B$44"),-1),ROWS($B$7:B30)))</f>
        <v>9</v>
      </c>
      <c r="D30" s="21">
        <f t="array" aca="1" ref="D30" ca="1">IF(B30="","",INDEX(_xlfn.SORTBY(INDIRECT("'"&amp;$A$1&amp;"'!$C$10:$C$44"),INDIRECT("'"&amp;$A$1&amp;"'!$B$10:$B$44"),-1),ROWS($B$7:B30)))</f>
        <v>8</v>
      </c>
      <c r="E30" s="23">
        <f t="shared" ca="1" si="0"/>
        <v>0.5</v>
      </c>
      <c r="F30" s="21">
        <f t="shared" ca="1" si="1"/>
        <v>5</v>
      </c>
      <c r="G30" s="24">
        <f t="shared" ca="1" si="2"/>
        <v>5</v>
      </c>
      <c r="H30" s="16"/>
      <c r="I30" t="s">
        <v>36</v>
      </c>
      <c r="J30" t="str">
        <f t="array" aca="1" ref="J30" ca="1">_xlfn.IFNA(_xlfn.XLOOKUP("Phelpy",INDIRECT("'"&amp;I30&amp;"'!$e$10:$e$44"),INDIRECT("'"&amp;I30&amp;"'!$y$10:$y$44")),"")</f>
        <v/>
      </c>
      <c r="O30" s="16"/>
      <c r="P30" s="21">
        <v>24</v>
      </c>
      <c r="Q30" s="21" t="str">
        <f ca="1">_xlfn.XLOOKUP(P30,Table2[Rank],Table2[Player])</f>
        <v>The Dark Side</v>
      </c>
      <c r="R30" s="21">
        <f t="array" aca="1" ref="R30" ca="1">_xlfn.XLOOKUP(Q30,Table2[Player],Season!$T$5:$T$39)</f>
        <v>34</v>
      </c>
      <c r="S30" s="23">
        <f ca="1">IFERROR(SUM(_xlfn.XLOOKUP(Q30,Table2[Player],Table2[Season Wins]))/SUM(Season!$B$3:$S$3),0)</f>
        <v>0.125</v>
      </c>
      <c r="T30" s="21">
        <f t="shared" ca="1" si="3"/>
        <v>9</v>
      </c>
      <c r="U30" s="24">
        <f ca="1">_xlfn.XLOOKUP(Q30,Winnings!$A$5:$A$39,Winnings!$U$5:$U$39)</f>
        <v>-35.583333333333336</v>
      </c>
    </row>
    <row r="31" spans="1:21" ht="15" customHeight="1" x14ac:dyDescent="0.3">
      <c r="A31" s="21">
        <v>25</v>
      </c>
      <c r="B31" s="21" t="str">
        <f ca="1">IFERROR(INDEX(_xlfn.SORTBY(INDIRECT("'"&amp;$A$1&amp;"'!$E$10:$E$44"),INDIRECT("'"&amp;$A$1&amp;"'!$B$10:$B$44"),-1),ROWS($B$7:B31)),"")</f>
        <v>cuetop</v>
      </c>
      <c r="C31" s="21">
        <f t="array" aca="1" ref="C31" ca="1">IF(B31="","",INDEX(_xlfn.SORTBY(INDIRECT("'"&amp;$A$1&amp;"'!$B$10:$B$44"),INDIRECT("'"&amp;$A$1&amp;"'!$B$10:$B$44"),-1),ROWS($B$7:B31)))</f>
        <v>9</v>
      </c>
      <c r="D31" s="21">
        <f t="array" aca="1" ref="D31" ca="1">IF(B31="","",INDEX(_xlfn.SORTBY(INDIRECT("'"&amp;$A$1&amp;"'!$C$10:$C$44"),INDIRECT("'"&amp;$A$1&amp;"'!$B$10:$B$44"),-1),ROWS($B$7:B31)))</f>
        <v>8</v>
      </c>
      <c r="E31" s="23">
        <f t="shared" ca="1" si="0"/>
        <v>0.5</v>
      </c>
      <c r="F31" s="21">
        <f t="shared" ca="1" si="1"/>
        <v>5</v>
      </c>
      <c r="G31" s="24">
        <f t="shared" ca="1" si="2"/>
        <v>5</v>
      </c>
      <c r="H31" s="16"/>
      <c r="I31" t="s">
        <v>37</v>
      </c>
      <c r="J31" t="str">
        <f t="array" aca="1" ref="J31" ca="1">_xlfn.IFNA(_xlfn.XLOOKUP("Phelpy",INDIRECT("'"&amp;I31&amp;"'!$e$10:$e$44"),INDIRECT("'"&amp;I31&amp;"'!$y$10:$y$44")),"")</f>
        <v/>
      </c>
      <c r="O31" s="16"/>
      <c r="P31" s="21">
        <v>25</v>
      </c>
      <c r="Q31" s="21" t="str">
        <f ca="1">_xlfn.XLOOKUP(P31,Table2[Rank],Table2[Player])</f>
        <v>Debe</v>
      </c>
      <c r="R31" s="21">
        <f t="array" aca="1" ref="R31" ca="1">_xlfn.XLOOKUP(Q31,Table2[Player],Season!$T$5:$T$39)</f>
        <v>33</v>
      </c>
      <c r="S31" s="23">
        <f ca="1">IFERROR(SUM(_xlfn.XLOOKUP(Q31,Table2[Player],Table2[Season Wins]))/SUM(Season!$B$3:$S$3),0)</f>
        <v>0.12132352941176471</v>
      </c>
      <c r="T31" s="21">
        <f t="shared" ca="1" si="3"/>
        <v>10</v>
      </c>
      <c r="U31" s="24">
        <f ca="1">_xlfn.XLOOKUP(Q31,Winnings!$A$5:$A$39,Winnings!$U$5:$U$39)</f>
        <v>-40</v>
      </c>
    </row>
    <row r="32" spans="1:21" ht="15" customHeight="1" x14ac:dyDescent="0.3">
      <c r="A32" s="21">
        <v>26</v>
      </c>
      <c r="B32" s="21" t="str">
        <f ca="1">IFERROR(INDEX(_xlfn.SORTBY(INDIRECT("'"&amp;$A$1&amp;"'!$E$10:$E$44"),INDIRECT("'"&amp;$A$1&amp;"'!$B$10:$B$44"),-1),ROWS($B$7:B32)),"")</f>
        <v>MayeDay! MayeDay!</v>
      </c>
      <c r="C32" s="21">
        <f t="array" aca="1" ref="C32" ca="1">IF(B32="","",INDEX(_xlfn.SORTBY(INDIRECT("'"&amp;$A$1&amp;"'!$B$10:$B$44"),INDIRECT("'"&amp;$A$1&amp;"'!$B$10:$B$44"),-1),ROWS($B$7:B32)))</f>
        <v>9</v>
      </c>
      <c r="D32" s="21">
        <f t="array" aca="1" ref="D32" ca="1">IF(B32="","",INDEX(_xlfn.SORTBY(INDIRECT("'"&amp;$A$1&amp;"'!$C$10:$C$44"),INDIRECT("'"&amp;$A$1&amp;"'!$B$10:$B$44"),-1),ROWS($B$7:B32)))</f>
        <v>8</v>
      </c>
      <c r="E32" s="23">
        <f t="shared" ca="1" si="0"/>
        <v>0.5</v>
      </c>
      <c r="F32" s="21">
        <f t="shared" ca="1" si="1"/>
        <v>5</v>
      </c>
      <c r="G32" s="24">
        <f t="shared" ca="1" si="2"/>
        <v>5</v>
      </c>
      <c r="H32" s="16"/>
      <c r="I32" t="s">
        <v>38</v>
      </c>
      <c r="J32" t="str">
        <f t="array" aca="1" ref="J32" ca="1">_xlfn.IFNA(_xlfn.XLOOKUP("Phelpy",INDIRECT("'"&amp;I32&amp;"'!$e$10:$e$44"),INDIRECT("'"&amp;I32&amp;"'!$y$10:$y$44")),"")</f>
        <v/>
      </c>
      <c r="O32" s="16"/>
      <c r="P32" s="21">
        <v>26</v>
      </c>
      <c r="Q32" s="21" t="str">
        <f ca="1">_xlfn.XLOOKUP(P32,Table2[Rank],Table2[Player])</f>
        <v>Ian</v>
      </c>
      <c r="R32" s="21">
        <f t="array" aca="1" ref="R32" ca="1">_xlfn.XLOOKUP(Q32,Table2[Player],Season!$T$5:$T$39)</f>
        <v>33</v>
      </c>
      <c r="S32" s="23">
        <f ca="1">IFERROR(SUM(_xlfn.XLOOKUP(Q32,Table2[Player],Table2[Season Wins]))/SUM(Season!$B$3:$S$3),0)</f>
        <v>0.12132352941176471</v>
      </c>
      <c r="T32" s="21">
        <f t="shared" ca="1" si="3"/>
        <v>10</v>
      </c>
      <c r="U32" s="24">
        <f ca="1">_xlfn.XLOOKUP(Q32,Winnings!$A$5:$A$39,Winnings!$U$5:$U$39)</f>
        <v>-40</v>
      </c>
    </row>
    <row r="33" spans="1:21" ht="15" customHeight="1" x14ac:dyDescent="0.3">
      <c r="A33" s="21">
        <v>27</v>
      </c>
      <c r="B33" s="21" t="str">
        <f ca="1">IFERROR(INDEX(_xlfn.SORTBY(INDIRECT("'"&amp;$A$1&amp;"'!$E$10:$E$44"),INDIRECT("'"&amp;$A$1&amp;"'!$B$10:$B$44"),-1),ROWS($B$7:B33)),"")</f>
        <v>The Dark Side</v>
      </c>
      <c r="C33" s="21">
        <f t="array" aca="1" ref="C33" ca="1">IF(B33="","",INDEX(_xlfn.SORTBY(INDIRECT("'"&amp;$A$1&amp;"'!$B$10:$B$44"),INDIRECT("'"&amp;$A$1&amp;"'!$B$10:$B$44"),-1),ROWS($B$7:B33)))</f>
        <v>9</v>
      </c>
      <c r="D33" s="21">
        <f t="array" aca="1" ref="D33" ca="1">IF(B33="","",INDEX(_xlfn.SORTBY(INDIRECT("'"&amp;$A$1&amp;"'!$C$10:$C$44"),INDIRECT("'"&amp;$A$1&amp;"'!$B$10:$B$44"),-1),ROWS($B$7:B33)))</f>
        <v>9</v>
      </c>
      <c r="E33" s="23">
        <f t="shared" ca="1" si="0"/>
        <v>0.5625</v>
      </c>
      <c r="F33" s="21">
        <f t="shared" ca="1" si="1"/>
        <v>5</v>
      </c>
      <c r="G33" s="24">
        <f t="shared" ca="1" si="2"/>
        <v>5</v>
      </c>
      <c r="H33" s="16"/>
      <c r="I33" t="s">
        <v>39</v>
      </c>
      <c r="J33" t="str">
        <f t="array" aca="1" ref="J33" ca="1">_xlfn.IFNA(_xlfn.XLOOKUP("Phelpy",INDIRECT("'"&amp;I33&amp;"'!$e$10:$e$44"),INDIRECT("'"&amp;I33&amp;"'!$y$10:$y$44")),"")</f>
        <v/>
      </c>
      <c r="O33" s="16"/>
      <c r="P33" s="21">
        <v>27</v>
      </c>
      <c r="Q33" s="21" t="str">
        <f ca="1">_xlfn.XLOOKUP(P33,Table2[Rank],Table2[Player])</f>
        <v>Rusted Ox</v>
      </c>
      <c r="R33" s="21">
        <f t="array" aca="1" ref="R33" ca="1">_xlfn.XLOOKUP(Q33,Table2[Player],Season!$T$5:$T$39)</f>
        <v>33</v>
      </c>
      <c r="S33" s="23">
        <f ca="1">IFERROR(SUM(_xlfn.XLOOKUP(Q33,Table2[Player],Table2[Season Wins]))/SUM(Season!$B$3:$S$3),0)</f>
        <v>0.12132352941176471</v>
      </c>
      <c r="T33" s="21">
        <f t="shared" ca="1" si="3"/>
        <v>10</v>
      </c>
      <c r="U33" s="24">
        <f ca="1">_xlfn.XLOOKUP(Q33,Winnings!$A$5:$A$39,Winnings!$U$5:$U$39)</f>
        <v>-40</v>
      </c>
    </row>
    <row r="34" spans="1:21" ht="15" customHeight="1" x14ac:dyDescent="0.3">
      <c r="A34" s="21">
        <v>28</v>
      </c>
      <c r="B34" s="21" t="str">
        <f ca="1">IFERROR(INDEX(_xlfn.SORTBY(INDIRECT("'"&amp;$A$1&amp;"'!$E$10:$E$44"),INDIRECT("'"&amp;$A$1&amp;"'!$B$10:$B$44"),-1),ROWS($B$7:B34)),"")</f>
        <v>CraneGuy936</v>
      </c>
      <c r="C34" s="21">
        <f t="array" aca="1" ref="C34" ca="1">IF(B34="","",INDEX(_xlfn.SORTBY(INDIRECT("'"&amp;$A$1&amp;"'!$B$10:$B$44"),INDIRECT("'"&amp;$A$1&amp;"'!$B$10:$B$44"),-1),ROWS($B$7:B34)))</f>
        <v>8</v>
      </c>
      <c r="D34" s="21">
        <f t="array" aca="1" ref="D34" ca="1">IF(B34="","",INDEX(_xlfn.SORTBY(INDIRECT("'"&amp;$A$1&amp;"'!$C$10:$C$44"),INDIRECT("'"&amp;$A$1&amp;"'!$B$10:$B$44"),-1),ROWS($B$7:B34)))</f>
        <v>7</v>
      </c>
      <c r="E34" s="23">
        <f t="shared" ca="1" si="0"/>
        <v>0.4375</v>
      </c>
      <c r="F34" s="21">
        <f t="shared" ca="1" si="1"/>
        <v>6</v>
      </c>
      <c r="G34" s="24">
        <f t="shared" ca="1" si="2"/>
        <v>6</v>
      </c>
      <c r="H34" s="16"/>
      <c r="I34" t="s">
        <v>40</v>
      </c>
      <c r="J34" t="str">
        <f t="array" aca="1" ref="J34" ca="1">_xlfn.IFNA(_xlfn.XLOOKUP("Phelpy",INDIRECT("'"&amp;I34&amp;"'!$e$10:$e$44"),INDIRECT("'"&amp;I34&amp;"'!$y$10:$y$44")),"")</f>
        <v/>
      </c>
      <c r="O34" s="16"/>
      <c r="P34" s="21">
        <v>28</v>
      </c>
      <c r="Q34" s="21" t="str">
        <f ca="1">_xlfn.XLOOKUP(P34,Table2[Rank],Table2[Player])</f>
        <v>Brick_Hauss</v>
      </c>
      <c r="R34" s="21">
        <f t="array" aca="1" ref="R34" ca="1">_xlfn.XLOOKUP(Q34,Table2[Player],Season!$T$5:$T$39)</f>
        <v>32</v>
      </c>
      <c r="S34" s="23">
        <f ca="1">IFERROR(SUM(_xlfn.XLOOKUP(Q34,Table2[Player],Table2[Season Wins]))/SUM(Season!$B$3:$S$3),0)</f>
        <v>0.11764705882352941</v>
      </c>
      <c r="T34" s="21">
        <f t="shared" ca="1" si="3"/>
        <v>11</v>
      </c>
      <c r="U34" s="24">
        <f ca="1">_xlfn.XLOOKUP(Q34,Winnings!$A$5:$A$39,Winnings!$U$5:$U$39)</f>
        <v>-35.583333333333336</v>
      </c>
    </row>
    <row r="35" spans="1:21" ht="15" customHeight="1" x14ac:dyDescent="0.3">
      <c r="A35" s="21">
        <v>29</v>
      </c>
      <c r="B35" s="21" t="str">
        <f ca="1">IFERROR(INDEX(_xlfn.SORTBY(INDIRECT("'"&amp;$A$1&amp;"'!$E$10:$E$44"),INDIRECT("'"&amp;$A$1&amp;"'!$B$10:$B$44"),-1),ROWS($B$7:B35)),"")</f>
        <v>Ian</v>
      </c>
      <c r="C35" s="21">
        <f t="array" aca="1" ref="C35" ca="1">IF(B35="","",INDEX(_xlfn.SORTBY(INDIRECT("'"&amp;$A$1&amp;"'!$B$10:$B$44"),INDIRECT("'"&amp;$A$1&amp;"'!$B$10:$B$44"),-1),ROWS($B$7:B35)))</f>
        <v>8</v>
      </c>
      <c r="D35" s="21">
        <f t="array" aca="1" ref="D35" ca="1">IF(B35="","",INDEX(_xlfn.SORTBY(INDIRECT("'"&amp;$A$1&amp;"'!$C$10:$C$44"),INDIRECT("'"&amp;$A$1&amp;"'!$B$10:$B$44"),-1),ROWS($B$7:B35)))</f>
        <v>7</v>
      </c>
      <c r="E35" s="23">
        <f t="shared" ca="1" si="0"/>
        <v>0.4375</v>
      </c>
      <c r="F35" s="21">
        <f t="shared" ca="1" si="1"/>
        <v>6</v>
      </c>
      <c r="G35" s="24">
        <f t="shared" ca="1" si="2"/>
        <v>6</v>
      </c>
      <c r="H35" s="16"/>
      <c r="I35" t="s">
        <v>41</v>
      </c>
      <c r="J35" t="str">
        <f t="array" aca="1" ref="J35" ca="1">_xlfn.IFNA(_xlfn.XLOOKUP("Phelpy",INDIRECT("'"&amp;I35&amp;"'!$e$10:$e$44"),INDIRECT("'"&amp;I35&amp;"'!$y$10:$y$44")),"")</f>
        <v/>
      </c>
      <c r="O35" s="16"/>
      <c r="P35" s="21">
        <v>29</v>
      </c>
      <c r="Q35" s="21" t="str">
        <f ca="1">_xlfn.XLOOKUP(P35,Table2[Rank],Table2[Player])</f>
        <v>Ddupuy</v>
      </c>
      <c r="R35" s="21">
        <f t="array" aca="1" ref="R35" ca="1">_xlfn.XLOOKUP(Q35,Table2[Player],Season!$T$5:$T$39)</f>
        <v>32</v>
      </c>
      <c r="S35" s="23">
        <f ca="1">IFERROR(SUM(_xlfn.XLOOKUP(Q35,Table2[Player],Table2[Season Wins]))/SUM(Season!$B$3:$S$3),0)</f>
        <v>0.11764705882352941</v>
      </c>
      <c r="T35" s="21">
        <f t="shared" ca="1" si="3"/>
        <v>11</v>
      </c>
      <c r="U35" s="24">
        <f ca="1">_xlfn.XLOOKUP(Q35,Winnings!$A$5:$A$39,Winnings!$U$5:$U$39)</f>
        <v>-40</v>
      </c>
    </row>
    <row r="36" spans="1:21" ht="15" customHeight="1" x14ac:dyDescent="0.3">
      <c r="A36" s="21">
        <v>30</v>
      </c>
      <c r="B36" s="21" t="str">
        <f ca="1">IFERROR(INDEX(_xlfn.SORTBY(INDIRECT("'"&amp;$A$1&amp;"'!$E$10:$E$44"),INDIRECT("'"&amp;$A$1&amp;"'!$B$10:$B$44"),-1),ROWS($B$7:B36)),"")</f>
        <v>Brick_Hauss</v>
      </c>
      <c r="C36" s="21">
        <f t="array" aca="1" ref="C36" ca="1">IF(B36="","",INDEX(_xlfn.SORTBY(INDIRECT("'"&amp;$A$1&amp;"'!$B$10:$B$44"),INDIRECT("'"&amp;$A$1&amp;"'!$B$10:$B$44"),-1),ROWS($B$7:B36)))</f>
        <v>8</v>
      </c>
      <c r="D36" s="21">
        <f t="array" aca="1" ref="D36" ca="1">IF(B36="","",INDEX(_xlfn.SORTBY(INDIRECT("'"&amp;$A$1&amp;"'!$C$10:$C$44"),INDIRECT("'"&amp;$A$1&amp;"'!$B$10:$B$44"),-1),ROWS($B$7:B36)))</f>
        <v>7</v>
      </c>
      <c r="E36" s="23">
        <f t="shared" ca="1" si="0"/>
        <v>0.4375</v>
      </c>
      <c r="F36" s="21">
        <f t="shared" ca="1" si="1"/>
        <v>6</v>
      </c>
      <c r="G36" s="24">
        <f t="shared" ca="1" si="2"/>
        <v>6</v>
      </c>
      <c r="H36" s="16"/>
      <c r="I36" t="s">
        <v>42</v>
      </c>
      <c r="J36" t="str">
        <f t="array" aca="1" ref="J36" ca="1">_xlfn.IFNA(_xlfn.XLOOKUP("Phelpy",INDIRECT("'"&amp;I36&amp;"'!$e$10:$e$44"),INDIRECT("'"&amp;I36&amp;"'!$y$10:$y$44")),"")</f>
        <v/>
      </c>
      <c r="O36" s="16"/>
      <c r="P36" s="21">
        <v>30</v>
      </c>
      <c r="Q36" s="21" t="str">
        <f ca="1">_xlfn.XLOOKUP(P36,Table2[Rank],Table2[Player])</f>
        <v>Ryan S</v>
      </c>
      <c r="R36" s="21">
        <f t="array" aca="1" ref="R36" ca="1">_xlfn.XLOOKUP(Q36,Table2[Player],Season!$T$5:$T$39)</f>
        <v>32</v>
      </c>
      <c r="S36" s="23">
        <f ca="1">IFERROR(SUM(_xlfn.XLOOKUP(Q36,Table2[Player],Table2[Season Wins]))/SUM(Season!$B$3:$S$3),0)</f>
        <v>0.11764705882352941</v>
      </c>
      <c r="T36" s="21">
        <f t="shared" ca="1" si="3"/>
        <v>11</v>
      </c>
      <c r="U36" s="24">
        <f ca="1">_xlfn.XLOOKUP(Q36,Winnings!$A$5:$A$39,Winnings!$U$5:$U$39)</f>
        <v>-35.583333333333336</v>
      </c>
    </row>
    <row r="37" spans="1:21" ht="15" customHeight="1" x14ac:dyDescent="0.3">
      <c r="A37" s="21">
        <v>31</v>
      </c>
      <c r="B37" s="21" t="str">
        <f ca="1">IFERROR(INDEX(_xlfn.SORTBY(INDIRECT("'"&amp;$A$1&amp;"'!$E$10:$E$44"),INDIRECT("'"&amp;$A$1&amp;"'!$B$10:$B$44"),-1),ROWS($B$7:B37)),"")</f>
        <v>Zach N</v>
      </c>
      <c r="C37" s="21">
        <f t="array" aca="1" ref="C37" ca="1">IF(B37="","",INDEX(_xlfn.SORTBY(INDIRECT("'"&amp;$A$1&amp;"'!$B$10:$B$44"),INDIRECT("'"&amp;$A$1&amp;"'!$B$10:$B$44"),-1),ROWS($B$7:B37)))</f>
        <v>7</v>
      </c>
      <c r="D37" s="21">
        <f t="array" aca="1" ref="D37" ca="1">IF(B37="","",INDEX(_xlfn.SORTBY(INDIRECT("'"&amp;$A$1&amp;"'!$C$10:$C$44"),INDIRECT("'"&amp;$A$1&amp;"'!$B$10:$B$44"),-1),ROWS($B$7:B37)))</f>
        <v>6</v>
      </c>
      <c r="E37" s="23">
        <f t="shared" ca="1" si="0"/>
        <v>0.375</v>
      </c>
      <c r="F37" s="21">
        <f t="shared" ca="1" si="1"/>
        <v>7</v>
      </c>
      <c r="G37" s="24">
        <f t="shared" ca="1" si="2"/>
        <v>7</v>
      </c>
      <c r="H37" s="16"/>
      <c r="I37" t="s">
        <v>43</v>
      </c>
      <c r="J37" t="str">
        <f t="array" aca="1" ref="J37" ca="1">_xlfn.IFNA(_xlfn.XLOOKUP("Phelpy",INDIRECT("'"&amp;I37&amp;"'!$e$10:$e$44"),INDIRECT("'"&amp;I37&amp;"'!$y$10:$y$44")),"")</f>
        <v/>
      </c>
      <c r="O37" s="16"/>
      <c r="P37" s="21">
        <v>31</v>
      </c>
      <c r="Q37" s="21" t="str">
        <f ca="1">_xlfn.XLOOKUP(P37,Table2[Rank],Table2[Player])</f>
        <v>TheDogfather</v>
      </c>
      <c r="R37" s="21">
        <f t="array" aca="1" ref="R37" ca="1">_xlfn.XLOOKUP(Q37,Table2[Player],Season!$T$5:$T$39)</f>
        <v>32</v>
      </c>
      <c r="S37" s="23">
        <f ca="1">IFERROR(SUM(_xlfn.XLOOKUP(Q37,Table2[Player],Table2[Season Wins]))/SUM(Season!$B$3:$S$3),0)</f>
        <v>0.11764705882352941</v>
      </c>
      <c r="T37" s="21">
        <f t="shared" ca="1" si="3"/>
        <v>11</v>
      </c>
      <c r="U37" s="24">
        <f ca="1">_xlfn.XLOOKUP(Q37,Winnings!$A$5:$A$39,Winnings!$U$5:$U$39)</f>
        <v>-40</v>
      </c>
    </row>
    <row r="38" spans="1:21" x14ac:dyDescent="0.3">
      <c r="A38" s="21">
        <v>32</v>
      </c>
      <c r="B38" s="21" t="str">
        <f ca="1">IFERROR(INDEX(_xlfn.SORTBY(INDIRECT("'"&amp;$A$1&amp;"'!$E$10:$E$44"),INDIRECT("'"&amp;$A$1&amp;"'!$B$10:$B$44"),-1),ROWS($B$7:B38)),"")</f>
        <v>Debe</v>
      </c>
      <c r="C38" s="21">
        <f t="array" aca="1" ref="C38" ca="1">IF(B38="","",INDEX(_xlfn.SORTBY(INDIRECT("'"&amp;$A$1&amp;"'!$B$10:$B$44"),INDIRECT("'"&amp;$A$1&amp;"'!$B$10:$B$44"),-1),ROWS($B$7:B38)))</f>
        <v>7</v>
      </c>
      <c r="D38" s="21">
        <f t="array" aca="1" ref="D38" ca="1">IF(B38="","",INDEX(_xlfn.SORTBY(INDIRECT("'"&amp;$A$1&amp;"'!$C$10:$C$44"),INDIRECT("'"&amp;$A$1&amp;"'!$B$10:$B$44"),-1),ROWS($B$7:B38)))</f>
        <v>7</v>
      </c>
      <c r="E38" s="23">
        <f t="shared" ca="1" si="0"/>
        <v>0.4375</v>
      </c>
      <c r="F38" s="21">
        <f t="shared" ca="1" si="1"/>
        <v>7</v>
      </c>
      <c r="G38" s="24">
        <f t="shared" ca="1" si="2"/>
        <v>7</v>
      </c>
      <c r="H38" s="16"/>
      <c r="I38" t="s">
        <v>44</v>
      </c>
      <c r="J38" t="str">
        <f t="array" aca="1" ref="J38" ca="1">_xlfn.IFNA(_xlfn.XLOOKUP("Phelpy",INDIRECT("'"&amp;I38&amp;"'!$e$10:$e$44"),INDIRECT("'"&amp;I38&amp;"'!$y$10:$y$44")),"")</f>
        <v/>
      </c>
      <c r="O38" s="16"/>
      <c r="P38" s="21">
        <v>32</v>
      </c>
      <c r="Q38" s="21" t="str">
        <f ca="1">_xlfn.XLOOKUP(P38,Table2[Rank],Table2[Player])</f>
        <v>Kit</v>
      </c>
      <c r="R38" s="21">
        <f t="array" aca="1" ref="R38" ca="1">_xlfn.XLOOKUP(Q38,Table2[Player],Season!$T$5:$T$39)</f>
        <v>31</v>
      </c>
      <c r="S38" s="23">
        <f ca="1">IFERROR(SUM(_xlfn.XLOOKUP(Q38,Table2[Player],Table2[Season Wins]))/SUM(Season!$B$3:$S$3),0)</f>
        <v>0.11397058823529412</v>
      </c>
      <c r="T38" s="21">
        <f t="shared" ca="1" si="3"/>
        <v>12</v>
      </c>
      <c r="U38" s="24">
        <f ca="1">_xlfn.XLOOKUP(Q38,Winnings!$A$5:$A$39,Winnings!$U$5:$U$39)</f>
        <v>-35.583333333333336</v>
      </c>
    </row>
    <row r="39" spans="1:21" x14ac:dyDescent="0.3">
      <c r="A39" s="21">
        <v>33</v>
      </c>
      <c r="B39" s="21" t="str">
        <f ca="1">IFERROR(INDEX(_xlfn.SORTBY(INDIRECT("'"&amp;$A$1&amp;"'!$E$10:$E$44"),INDIRECT("'"&amp;$A$1&amp;"'!$B$10:$B$44"),-1),ROWS($B$7:B39)),"")</f>
        <v>Kit</v>
      </c>
      <c r="C39" s="21">
        <f t="array" aca="1" ref="C39" ca="1">IF(B39="","",INDEX(_xlfn.SORTBY(INDIRECT("'"&amp;$A$1&amp;"'!$B$10:$B$44"),INDIRECT("'"&amp;$A$1&amp;"'!$B$10:$B$44"),-1),ROWS($B$7:B39)))</f>
        <v>7</v>
      </c>
      <c r="D39" s="21">
        <f t="array" aca="1" ref="D39" ca="1">IF(B39="","",INDEX(_xlfn.SORTBY(INDIRECT("'"&amp;$A$1&amp;"'!$C$10:$C$44"),INDIRECT("'"&amp;$A$1&amp;"'!$B$10:$B$44"),-1),ROWS($B$7:B39)))</f>
        <v>7</v>
      </c>
      <c r="E39" s="23">
        <f t="shared" ca="1" si="0"/>
        <v>0.4375</v>
      </c>
      <c r="F39" s="21">
        <f t="shared" ca="1" si="1"/>
        <v>7</v>
      </c>
      <c r="G39" s="24">
        <f t="shared" ca="1" si="2"/>
        <v>7</v>
      </c>
      <c r="H39" s="16"/>
      <c r="O39" s="16"/>
      <c r="P39" s="21">
        <v>33</v>
      </c>
      <c r="Q39" s="21" t="str">
        <f ca="1">_xlfn.XLOOKUP(P39,Table2[Rank],Table2[Player])</f>
        <v>SaleeNmd</v>
      </c>
      <c r="R39" s="21">
        <f t="array" aca="1" ref="R39" ca="1">_xlfn.XLOOKUP(Q39,Table2[Player],Season!$T$5:$T$39)</f>
        <v>25</v>
      </c>
      <c r="S39" s="23">
        <f ca="1">IFERROR(SUM(_xlfn.XLOOKUP(Q39,Table2[Player],Table2[Season Wins]))/SUM(Season!$B$3:$S$3),0)</f>
        <v>9.1911764705882359E-2</v>
      </c>
      <c r="T39" s="21">
        <f t="shared" ca="1" si="3"/>
        <v>18</v>
      </c>
      <c r="U39" s="24">
        <f ca="1">_xlfn.XLOOKUP(Q39,Winnings!$A$5:$A$39,Winnings!$U$5:$U$39)</f>
        <v>-40</v>
      </c>
    </row>
    <row r="40" spans="1:21" x14ac:dyDescent="0.3">
      <c r="A40" s="21">
        <v>34</v>
      </c>
      <c r="B40" s="21" t="str">
        <f ca="1">IFERROR(INDEX(_xlfn.SORTBY(INDIRECT("'"&amp;$A$1&amp;"'!$E$10:$E$44"),INDIRECT("'"&amp;$A$1&amp;"'!$B$10:$B$44"),-1),ROWS($B$7:B40)),"")</f>
        <v>Ryan S</v>
      </c>
      <c r="C40" s="21">
        <f t="array" aca="1" ref="C40" ca="1">IF(B40="","",INDEX(_xlfn.SORTBY(INDIRECT("'"&amp;$A$1&amp;"'!$B$10:$B$44"),INDIRECT("'"&amp;$A$1&amp;"'!$B$10:$B$44"),-1),ROWS($B$7:B40)))</f>
        <v>6</v>
      </c>
      <c r="D40" s="21">
        <f t="array" aca="1" ref="D40" ca="1">IF(B40="","",INDEX(_xlfn.SORTBY(INDIRECT("'"&amp;$A$1&amp;"'!$C$10:$C$44"),INDIRECT("'"&amp;$A$1&amp;"'!$B$10:$B$44"),-1),ROWS($B$7:B40)))</f>
        <v>6</v>
      </c>
      <c r="E40" s="23">
        <f t="shared" ca="1" si="0"/>
        <v>0.375</v>
      </c>
      <c r="F40" s="21">
        <f t="shared" ca="1" si="1"/>
        <v>8</v>
      </c>
      <c r="G40" s="24">
        <f t="shared" ca="1" si="2"/>
        <v>8</v>
      </c>
      <c r="H40" s="16"/>
      <c r="O40" s="16"/>
      <c r="P40" s="21">
        <v>34</v>
      </c>
      <c r="Q40" s="21" t="str">
        <f ca="1">_xlfn.XLOOKUP(P40,Table2[Rank],Table2[Player])</f>
        <v>Regltr5</v>
      </c>
      <c r="R40" s="21">
        <f t="array" aca="1" ref="R40" ca="1">_xlfn.XLOOKUP(Q40,Table2[Player],Season!$T$5:$T$39)</f>
        <v>23</v>
      </c>
      <c r="S40" s="23">
        <f ca="1">IFERROR(SUM(_xlfn.XLOOKUP(Q40,Table2[Player],Table2[Season Wins]))/SUM(Season!$B$3:$S$3),0)</f>
        <v>8.455882352941177E-2</v>
      </c>
      <c r="T40" s="21">
        <f t="shared" ca="1" si="3"/>
        <v>20</v>
      </c>
      <c r="U40" s="24">
        <f ca="1">_xlfn.XLOOKUP(Q40,Winnings!$A$5:$A$39,Winnings!$U$5:$U$39)</f>
        <v>-40</v>
      </c>
    </row>
    <row r="41" spans="1:21" x14ac:dyDescent="0.3">
      <c r="A41" s="21">
        <v>35</v>
      </c>
      <c r="B41" s="21" t="str">
        <f ca="1">IFERROR(INDEX(_xlfn.SORTBY(INDIRECT("'"&amp;$A$1&amp;"'!$E$10:$E$44"),INDIRECT("'"&amp;$A$1&amp;"'!$B$10:$B$44"),-1),ROWS($B$7:B41)),"")</f>
        <v>TheDogfather</v>
      </c>
      <c r="C41" s="21">
        <f t="array" aca="1" ref="C41" ca="1">IF(B41="","",INDEX(_xlfn.SORTBY(INDIRECT("'"&amp;$A$1&amp;"'!$B$10:$B$44"),INDIRECT("'"&amp;$A$1&amp;"'!$B$10:$B$44"),-1),ROWS($B$7:B41)))</f>
        <v>5</v>
      </c>
      <c r="D41" s="21">
        <f t="array" aca="1" ref="D41" ca="1">IF(B41="","",INDEX(_xlfn.SORTBY(INDIRECT("'"&amp;$A$1&amp;"'!$C$10:$C$44"),INDIRECT("'"&amp;$A$1&amp;"'!$B$10:$B$44"),-1),ROWS($B$7:B41)))</f>
        <v>5</v>
      </c>
      <c r="E41" s="23">
        <f t="shared" ca="1" si="0"/>
        <v>0.3125</v>
      </c>
      <c r="F41" s="21">
        <f t="shared" ca="1" si="1"/>
        <v>9</v>
      </c>
      <c r="G41" s="24">
        <f t="shared" ca="1" si="2"/>
        <v>9</v>
      </c>
      <c r="H41" s="16"/>
      <c r="O41" s="16"/>
      <c r="P41" s="21">
        <v>35</v>
      </c>
      <c r="Q41" s="21" t="str">
        <f ca="1">_xlfn.XLOOKUP(P41,Table2[Rank],Table2[Player])</f>
        <v>Waffle Hauss</v>
      </c>
      <c r="R41" s="21">
        <f t="array" aca="1" ref="R41" ca="1">_xlfn.XLOOKUP(Q41,Table2[Player],Season!$T$5:$T$39)</f>
        <v>23</v>
      </c>
      <c r="S41" s="23">
        <f ca="1">IFERROR(SUM(_xlfn.XLOOKUP(Q41,Table2[Player],Table2[Season Wins]))/SUM(Season!$B$3:$S$3),0)</f>
        <v>8.455882352941177E-2</v>
      </c>
      <c r="T41" s="21">
        <f t="shared" ca="1" si="3"/>
        <v>20</v>
      </c>
      <c r="U41" s="24">
        <f ca="1">_xlfn.XLOOKUP(Q41,Winnings!$A$5:$A$39,Winnings!$U$5:$U$39)</f>
        <v>35.5</v>
      </c>
    </row>
    <row r="42" spans="1:21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5" spans="1:21" x14ac:dyDescent="0.3">
      <c r="E45" s="1"/>
      <c r="G45" s="2"/>
    </row>
    <row r="46" spans="1:21" hidden="1" x14ac:dyDescent="0.3">
      <c r="E46" s="1"/>
      <c r="G46" s="2"/>
    </row>
  </sheetData>
  <mergeCells count="9">
    <mergeCell ref="C1:U3"/>
    <mergeCell ref="A1:B3"/>
    <mergeCell ref="K5:K6"/>
    <mergeCell ref="L5:L6"/>
    <mergeCell ref="P4:U5"/>
    <mergeCell ref="I4:J4"/>
    <mergeCell ref="A4:G5"/>
    <mergeCell ref="M5:M6"/>
    <mergeCell ref="I5:J6"/>
  </mergeCells>
  <dataValidations count="1">
    <dataValidation type="list" allowBlank="1" showInputMessage="1" showErrorMessage="1" sqref="A1" xr:uid="{00000000-0002-0000-0000-000000000000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showGridLines="0" zoomScale="96" workbookViewId="0">
      <pane xSplit="1" ySplit="4" topLeftCell="B8" activePane="bottomRight" state="frozen"/>
      <selection pane="topRight"/>
      <selection pane="bottomLeft"/>
      <selection pane="bottomRight" activeCell="Y6" sqref="Y6"/>
    </sheetView>
  </sheetViews>
  <sheetFormatPr defaultRowHeight="14.4" x14ac:dyDescent="0.3"/>
  <cols>
    <col min="1" max="1" width="24" style="40" customWidth="1"/>
    <col min="2" max="19" width="9.33203125" style="42" customWidth="1"/>
    <col min="20" max="20" width="12.33203125" style="42" bestFit="1" customWidth="1"/>
    <col min="21" max="24" width="12.6640625" style="42" customWidth="1"/>
    <col min="25" max="25" width="12.6640625" style="32" bestFit="1" customWidth="1"/>
  </cols>
  <sheetData>
    <row r="1" spans="1:25" ht="15" customHeight="1" x14ac:dyDescent="0.3">
      <c r="A1" s="52" t="s">
        <v>45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</row>
    <row r="2" spans="1:25" x14ac:dyDescent="0.3">
      <c r="A2" s="46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</row>
    <row r="3" spans="1:25" x14ac:dyDescent="0.3">
      <c r="A3" s="20" t="s">
        <v>46</v>
      </c>
      <c r="B3" s="42">
        <v>16</v>
      </c>
      <c r="C3" s="42">
        <v>16</v>
      </c>
      <c r="D3" s="42">
        <v>16</v>
      </c>
      <c r="E3" s="42">
        <v>16</v>
      </c>
      <c r="F3" s="42">
        <v>15</v>
      </c>
      <c r="G3" s="42">
        <v>14</v>
      </c>
      <c r="H3" s="42">
        <v>14</v>
      </c>
      <c r="I3" s="42">
        <v>14</v>
      </c>
      <c r="J3" s="42">
        <v>15</v>
      </c>
      <c r="K3" s="42">
        <v>14</v>
      </c>
      <c r="L3" s="42">
        <v>13</v>
      </c>
      <c r="M3" s="42">
        <v>16</v>
      </c>
      <c r="N3" s="42">
        <v>14</v>
      </c>
      <c r="O3" s="42">
        <v>15</v>
      </c>
      <c r="P3" s="42">
        <v>16</v>
      </c>
      <c r="Q3" s="42">
        <v>16</v>
      </c>
      <c r="R3" s="42">
        <v>16</v>
      </c>
      <c r="S3" s="42">
        <v>16</v>
      </c>
    </row>
    <row r="4" spans="1:25" x14ac:dyDescent="0.3">
      <c r="A4" s="15" t="s">
        <v>9</v>
      </c>
      <c r="B4" s="17" t="s">
        <v>28</v>
      </c>
      <c r="C4" s="17" t="s">
        <v>0</v>
      </c>
      <c r="D4" s="17" t="s">
        <v>29</v>
      </c>
      <c r="E4" s="17" t="s">
        <v>30</v>
      </c>
      <c r="F4" s="17" t="s">
        <v>31</v>
      </c>
      <c r="G4" s="17" t="s">
        <v>32</v>
      </c>
      <c r="H4" s="17" t="s">
        <v>33</v>
      </c>
      <c r="I4" s="17" t="s">
        <v>34</v>
      </c>
      <c r="J4" s="17" t="s">
        <v>35</v>
      </c>
      <c r="K4" s="17" t="s">
        <v>36</v>
      </c>
      <c r="L4" s="17" t="s">
        <v>37</v>
      </c>
      <c r="M4" s="17" t="s">
        <v>38</v>
      </c>
      <c r="N4" s="17" t="s">
        <v>39</v>
      </c>
      <c r="O4" s="17" t="s">
        <v>40</v>
      </c>
      <c r="P4" s="17" t="s">
        <v>41</v>
      </c>
      <c r="Q4" s="17" t="s">
        <v>42</v>
      </c>
      <c r="R4" s="17" t="s">
        <v>43</v>
      </c>
      <c r="S4" s="17" t="s">
        <v>44</v>
      </c>
      <c r="T4" s="18" t="s">
        <v>47</v>
      </c>
      <c r="U4" s="18" t="s">
        <v>48</v>
      </c>
      <c r="V4" s="18" t="s">
        <v>49</v>
      </c>
      <c r="W4" s="18" t="s">
        <v>50</v>
      </c>
      <c r="X4" s="18" t="s">
        <v>8</v>
      </c>
      <c r="Y4" s="33" t="s">
        <v>51</v>
      </c>
    </row>
    <row r="5" spans="1:25" x14ac:dyDescent="0.3">
      <c r="A5" t="s">
        <v>52</v>
      </c>
      <c r="B5" s="42">
        <f t="array" aca="1" ref="B5" ca="1">_xlfn.IFNA(_xlfn.XLOOKUP($A5,INDIRECT("'"&amp;B$4&amp;"'!$E$10:$E$44"),INDIRECT("'"&amp;B$4&amp;"'!$b$10:$b$44"))," ")</f>
        <v>10</v>
      </c>
      <c r="C5" s="42">
        <f t="array" aca="1" ref="C5" ca="1">_xlfn.IFNA(_xlfn.XLOOKUP($A5,INDIRECT("'"&amp;C$4&amp;"'!$E$10:$E$44"),INDIRECT("'"&amp;C$4&amp;"'!$b$10:$b$44"))," ")</f>
        <v>11</v>
      </c>
      <c r="D5" s="42">
        <f t="array" aca="1" ref="D5" ca="1">_xlfn.IFNA(_xlfn.XLOOKUP($A5,INDIRECT("'"&amp;D$4&amp;"'!$E$10:$E$44"),INDIRECT("'"&amp;D$4&amp;"'!$b$10:$b$44"))," ")</f>
        <v>15</v>
      </c>
      <c r="E5" s="42" t="str">
        <f t="array" aca="1" ref="E5" ca="1">_xlfn.IFNA(_xlfn.XLOOKUP($A5,INDIRECT("'"&amp;E$4&amp;"'!$E$10:$E$44"),INDIRECT("'"&amp;E$4&amp;"'!$b$10:$b$44"))," ")</f>
        <v xml:space="preserve"> </v>
      </c>
      <c r="F5" s="42" t="str">
        <f t="array" aca="1" ref="F5" ca="1">_xlfn.IFNA(_xlfn.XLOOKUP($A5,INDIRECT("'"&amp;F$4&amp;"'!$E$10:$E$44"),INDIRECT("'"&amp;F$4&amp;"'!$b$10:$b$44"))," ")</f>
        <v xml:space="preserve"> </v>
      </c>
      <c r="G5" s="42" t="str">
        <f t="array" aca="1" ref="G5" ca="1">_xlfn.IFNA(_xlfn.XLOOKUP($A5,INDIRECT("'"&amp;G$4&amp;"'!$E$10:$E$44"),INDIRECT("'"&amp;G$4&amp;"'!$b$10:$b$44"))," ")</f>
        <v xml:space="preserve"> </v>
      </c>
      <c r="H5" s="42" t="str">
        <f t="array" aca="1" ref="H5" ca="1">_xlfn.IFNA(_xlfn.XLOOKUP($A5,INDIRECT("'"&amp;H$4&amp;"'!$E$10:$E$44"),INDIRECT("'"&amp;H$4&amp;"'!$b$10:$b$44"))," ")</f>
        <v xml:space="preserve"> </v>
      </c>
      <c r="I5" s="42" t="str">
        <f t="array" aca="1" ref="I5" ca="1">_xlfn.IFNA(_xlfn.XLOOKUP($A5,INDIRECT("'"&amp;I$4&amp;"'!$E$10:$E$44"),INDIRECT("'"&amp;I$4&amp;"'!$b$10:$b$44"))," ")</f>
        <v xml:space="preserve"> </v>
      </c>
      <c r="J5" s="42" t="str">
        <f t="array" aca="1" ref="J5" ca="1">_xlfn.IFNA(_xlfn.XLOOKUP($A5,INDIRECT("'"&amp;J$4&amp;"'!$E$10:$E$44"),INDIRECT("'"&amp;J$4&amp;"'!$b$10:$b$44"))," ")</f>
        <v xml:space="preserve"> </v>
      </c>
      <c r="K5" s="42" t="str">
        <f t="array" aca="1" ref="K5" ca="1">_xlfn.IFNA(_xlfn.XLOOKUP($A5,INDIRECT("'"&amp;K$4&amp;"'!$E$10:$E$44"),INDIRECT("'"&amp;K$4&amp;"'!$b$10:$b$44"))," ")</f>
        <v xml:space="preserve"> </v>
      </c>
      <c r="L5" s="42" t="str">
        <f t="array" aca="1" ref="L5" ca="1">_xlfn.IFNA(_xlfn.XLOOKUP($A5,INDIRECT("'"&amp;L$4&amp;"'!$E$10:$E$44"),INDIRECT("'"&amp;L$4&amp;"'!$b$10:$b$44"))," ")</f>
        <v xml:space="preserve"> </v>
      </c>
      <c r="M5" s="42" t="str">
        <f t="array" aca="1" ref="M5" ca="1">_xlfn.IFNA(_xlfn.XLOOKUP($A5,INDIRECT("'"&amp;M$4&amp;"'!$E$10:$E$44"),INDIRECT("'"&amp;M$4&amp;"'!$b$10:$b$44"))," ")</f>
        <v xml:space="preserve"> </v>
      </c>
      <c r="N5" s="42" t="str">
        <f t="array" aca="1" ref="N5" ca="1">_xlfn.IFNA(_xlfn.XLOOKUP($A5,INDIRECT("'"&amp;N$4&amp;"'!$E$10:$E$44"),INDIRECT("'"&amp;N$4&amp;"'!$b$10:$b$44"))," ")</f>
        <v xml:space="preserve"> </v>
      </c>
      <c r="O5" s="42" t="str">
        <f t="array" aca="1" ref="O5" ca="1">_xlfn.IFNA(_xlfn.XLOOKUP($A5,INDIRECT("'"&amp;O$4&amp;"'!$E$10:$E$44"),INDIRECT("'"&amp;O$4&amp;"'!$b$10:$b$44"))," ")</f>
        <v xml:space="preserve"> </v>
      </c>
      <c r="P5" s="42" t="str">
        <f t="array" aca="1" ref="P5" ca="1">_xlfn.IFNA(_xlfn.XLOOKUP($A5,INDIRECT("'"&amp;P$4&amp;"'!$E$10:$E$44"),INDIRECT("'"&amp;P$4&amp;"'!$b$10:$b$44"))," ")</f>
        <v xml:space="preserve"> </v>
      </c>
      <c r="Q5" s="42" t="str">
        <f t="array" aca="1" ref="Q5" ca="1">_xlfn.IFNA(_xlfn.XLOOKUP($A5,INDIRECT("'"&amp;Q$4&amp;"'!$E$10:$E$44"),INDIRECT("'"&amp;Q$4&amp;"'!$b$10:$b$44"))," ")</f>
        <v xml:space="preserve"> </v>
      </c>
      <c r="T5" s="42">
        <f t="shared" ref="T5:T39" ca="1" si="0">SUM(B5:K5)</f>
        <v>36</v>
      </c>
      <c r="U5" s="19">
        <f t="shared" ref="U5:U39" ca="1" si="1">IFERROR(AVERAGEIF(B5:Q5,"&gt;=0"),0)</f>
        <v>12</v>
      </c>
      <c r="V5" s="42">
        <f t="shared" ref="V5:V39" ca="1" si="2">IFERROR(MAX(B5:Q5),0)</f>
        <v>15</v>
      </c>
      <c r="W5" s="42">
        <f t="shared" ref="W5:W39" ca="1" si="3">IFERROR(_xlfn.MINIFS(B5:Q5,B5:Q5,"&gt;0"),0)</f>
        <v>10</v>
      </c>
      <c r="X5" s="42">
        <f ca="1">RANK(T5,$T$5:$T$39)+COUNTIF($T$5:T5,T5)-1</f>
        <v>10</v>
      </c>
      <c r="Y5" s="34">
        <f t="array" aca="1" ref="Y5" ca="1">IFERROR(T5/SUMPRODUCT(($B5:$C5&lt;&gt;"")*$B$3:$C$3),0)</f>
        <v>1.125</v>
      </c>
    </row>
    <row r="6" spans="1:25" x14ac:dyDescent="0.3">
      <c r="A6" t="s">
        <v>53</v>
      </c>
      <c r="B6" s="42">
        <f t="array" aca="1" ref="B6" ca="1">_xlfn.IFNA(_xlfn.XLOOKUP($A6,INDIRECT("'"&amp;B$4&amp;"'!$E$10:$E$44"),INDIRECT("'"&amp;B$4&amp;"'!$b$10:$b$44"))," ")</f>
        <v>8</v>
      </c>
      <c r="C6" s="42">
        <f t="array" aca="1" ref="C6" ca="1">_xlfn.IFNA(_xlfn.XLOOKUP($A6,INDIRECT("'"&amp;C$4&amp;"'!$E$10:$E$44"),INDIRECT("'"&amp;C$4&amp;"'!$b$10:$b$44"))," ")</f>
        <v>8</v>
      </c>
      <c r="D6" s="42">
        <f t="array" aca="1" ref="D6" ca="1">_xlfn.IFNA(_xlfn.XLOOKUP($A6,INDIRECT("'"&amp;D$4&amp;"'!$E$10:$E$44"),INDIRECT("'"&amp;D$4&amp;"'!$b$10:$b$44"))," ")</f>
        <v>16</v>
      </c>
      <c r="E6" s="42" t="str">
        <f t="array" aca="1" ref="E6" ca="1">_xlfn.IFNA(_xlfn.XLOOKUP($A6,INDIRECT("'"&amp;E$4&amp;"'!$E$10:$E$44"),INDIRECT("'"&amp;E$4&amp;"'!$b$10:$b$44"))," ")</f>
        <v xml:space="preserve"> </v>
      </c>
      <c r="F6" s="42" t="str">
        <f t="array" aca="1" ref="F6" ca="1">_xlfn.IFNA(_xlfn.XLOOKUP($A6,INDIRECT("'"&amp;F$4&amp;"'!$E$10:$E$44"),INDIRECT("'"&amp;F$4&amp;"'!$b$10:$b$44"))," ")</f>
        <v xml:space="preserve"> </v>
      </c>
      <c r="G6" s="42" t="str">
        <f t="array" aca="1" ref="G6" ca="1">_xlfn.IFNA(_xlfn.XLOOKUP($A6,INDIRECT("'"&amp;G$4&amp;"'!$E$10:$E$44"),INDIRECT("'"&amp;G$4&amp;"'!$b$10:$b$44"))," ")</f>
        <v xml:space="preserve"> </v>
      </c>
      <c r="H6" s="42" t="str">
        <f t="array" aca="1" ref="H6" ca="1">_xlfn.IFNA(_xlfn.XLOOKUP($A6,INDIRECT("'"&amp;H$4&amp;"'!$E$10:$E$44"),INDIRECT("'"&amp;H$4&amp;"'!$b$10:$b$44"))," ")</f>
        <v xml:space="preserve"> </v>
      </c>
      <c r="I6" s="42" t="str">
        <f t="array" aca="1" ref="I6" ca="1">_xlfn.IFNA(_xlfn.XLOOKUP($A6,INDIRECT("'"&amp;I$4&amp;"'!$E$10:$E$44"),INDIRECT("'"&amp;I$4&amp;"'!$b$10:$b$44"))," ")</f>
        <v xml:space="preserve"> </v>
      </c>
      <c r="J6" s="42" t="str">
        <f t="array" aca="1" ref="J6" ca="1">_xlfn.IFNA(_xlfn.XLOOKUP($A6,INDIRECT("'"&amp;J$4&amp;"'!$E$10:$E$44"),INDIRECT("'"&amp;J$4&amp;"'!$b$10:$b$44"))," ")</f>
        <v xml:space="preserve"> </v>
      </c>
      <c r="K6" s="42" t="str">
        <f t="array" aca="1" ref="K6" ca="1">_xlfn.IFNA(_xlfn.XLOOKUP($A6,INDIRECT("'"&amp;K$4&amp;"'!$E$10:$E$44"),INDIRECT("'"&amp;K$4&amp;"'!$b$10:$b$44"))," ")</f>
        <v xml:space="preserve"> </v>
      </c>
      <c r="L6" s="42" t="str">
        <f t="array" aca="1" ref="L6" ca="1">_xlfn.IFNA(_xlfn.XLOOKUP($A6,INDIRECT("'"&amp;L$4&amp;"'!$E$10:$E$44"),INDIRECT("'"&amp;L$4&amp;"'!$b$10:$b$44"))," ")</f>
        <v xml:space="preserve"> </v>
      </c>
      <c r="M6" s="42" t="str">
        <f t="array" aca="1" ref="M6" ca="1">_xlfn.IFNA(_xlfn.XLOOKUP($A6,INDIRECT("'"&amp;M$4&amp;"'!$E$10:$E$44"),INDIRECT("'"&amp;M$4&amp;"'!$b$10:$b$44"))," ")</f>
        <v xml:space="preserve"> </v>
      </c>
      <c r="N6" s="42" t="str">
        <f t="array" aca="1" ref="N6" ca="1">_xlfn.IFNA(_xlfn.XLOOKUP($A6,INDIRECT("'"&amp;N$4&amp;"'!$E$10:$E$44"),INDIRECT("'"&amp;N$4&amp;"'!$b$10:$b$44"))," ")</f>
        <v xml:space="preserve"> </v>
      </c>
      <c r="O6" s="42" t="str">
        <f t="array" aca="1" ref="O6" ca="1">_xlfn.IFNA(_xlfn.XLOOKUP($A6,INDIRECT("'"&amp;O$4&amp;"'!$E$10:$E$44"),INDIRECT("'"&amp;O$4&amp;"'!$b$10:$b$44"))," ")</f>
        <v xml:space="preserve"> </v>
      </c>
      <c r="P6" s="42" t="str">
        <f t="array" aca="1" ref="P6" ca="1">_xlfn.IFNA(_xlfn.XLOOKUP($A6,INDIRECT("'"&amp;P$4&amp;"'!$E$10:$E$44"),INDIRECT("'"&amp;P$4&amp;"'!$b$10:$b$44"))," ")</f>
        <v xml:space="preserve"> </v>
      </c>
      <c r="Q6" s="42" t="str">
        <f t="array" aca="1" ref="Q6" ca="1">_xlfn.IFNA(_xlfn.XLOOKUP($A6,INDIRECT("'"&amp;Q$4&amp;"'!$E$10:$E$44"),INDIRECT("'"&amp;Q$4&amp;"'!$b$10:$b$44"))," ")</f>
        <v xml:space="preserve"> </v>
      </c>
      <c r="T6" s="42">
        <f t="shared" ca="1" si="0"/>
        <v>32</v>
      </c>
      <c r="U6" s="19">
        <f t="shared" ca="1" si="1"/>
        <v>10.666666666666666</v>
      </c>
      <c r="V6" s="42">
        <f t="shared" ca="1" si="2"/>
        <v>16</v>
      </c>
      <c r="W6" s="42">
        <f t="shared" ca="1" si="3"/>
        <v>8</v>
      </c>
      <c r="X6" s="42">
        <f ca="1">RANK(T6,$T$5:$T$39)+COUNTIF($T$5:T6,T6)-1</f>
        <v>28</v>
      </c>
      <c r="Y6" s="34">
        <f t="array" aca="1" ref="Y6" ca="1">IFERROR(T6/SUMPRODUCT(($B6:$C6&lt;&gt;"")*$B$3:$C$3),0)</f>
        <v>1</v>
      </c>
    </row>
    <row r="7" spans="1:25" x14ac:dyDescent="0.3">
      <c r="A7" t="s">
        <v>54</v>
      </c>
      <c r="B7" s="42">
        <f t="array" aca="1" ref="B7" ca="1">_xlfn.IFNA(_xlfn.XLOOKUP($A7,INDIRECT("'"&amp;B$4&amp;"'!$E$10:$E$44"),INDIRECT("'"&amp;B$4&amp;"'!$b$10:$b$44"))," ")</f>
        <v>11</v>
      </c>
      <c r="C7" s="42">
        <f t="array" aca="1" ref="C7" ca="1">_xlfn.IFNA(_xlfn.XLOOKUP($A7,INDIRECT("'"&amp;C$4&amp;"'!$E$10:$E$44"),INDIRECT("'"&amp;C$4&amp;"'!$b$10:$b$44"))," ")</f>
        <v>8</v>
      </c>
      <c r="D7" s="42">
        <f t="array" aca="1" ref="D7" ca="1">_xlfn.IFNA(_xlfn.XLOOKUP($A7,INDIRECT("'"&amp;D$4&amp;"'!$E$10:$E$44"),INDIRECT("'"&amp;D$4&amp;"'!$b$10:$b$44"))," ")</f>
        <v>15</v>
      </c>
      <c r="E7" s="42" t="str">
        <f t="array" aca="1" ref="E7" ca="1">_xlfn.IFNA(_xlfn.XLOOKUP($A7,INDIRECT("'"&amp;E$4&amp;"'!$E$10:$E$44"),INDIRECT("'"&amp;E$4&amp;"'!$b$10:$b$44"))," ")</f>
        <v xml:space="preserve"> </v>
      </c>
      <c r="F7" s="42" t="str">
        <f t="array" aca="1" ref="F7" ca="1">_xlfn.IFNA(_xlfn.XLOOKUP($A7,INDIRECT("'"&amp;F$4&amp;"'!$E$10:$E$44"),INDIRECT("'"&amp;F$4&amp;"'!$b$10:$b$44"))," ")</f>
        <v xml:space="preserve"> </v>
      </c>
      <c r="G7" s="42" t="str">
        <f t="array" aca="1" ref="G7" ca="1">_xlfn.IFNA(_xlfn.XLOOKUP($A7,INDIRECT("'"&amp;G$4&amp;"'!$E$10:$E$44"),INDIRECT("'"&amp;G$4&amp;"'!$b$10:$b$44"))," ")</f>
        <v xml:space="preserve"> </v>
      </c>
      <c r="H7" s="42" t="str">
        <f t="array" aca="1" ref="H7" ca="1">_xlfn.IFNA(_xlfn.XLOOKUP($A7,INDIRECT("'"&amp;H$4&amp;"'!$E$10:$E$44"),INDIRECT("'"&amp;H$4&amp;"'!$b$10:$b$44"))," ")</f>
        <v xml:space="preserve"> </v>
      </c>
      <c r="I7" s="42" t="str">
        <f t="array" aca="1" ref="I7" ca="1">_xlfn.IFNA(_xlfn.XLOOKUP($A7,INDIRECT("'"&amp;I$4&amp;"'!$E$10:$E$44"),INDIRECT("'"&amp;I$4&amp;"'!$b$10:$b$44"))," ")</f>
        <v xml:space="preserve"> </v>
      </c>
      <c r="J7" s="42" t="str">
        <f t="array" aca="1" ref="J7" ca="1">_xlfn.IFNA(_xlfn.XLOOKUP($A7,INDIRECT("'"&amp;J$4&amp;"'!$E$10:$E$44"),INDIRECT("'"&amp;J$4&amp;"'!$b$10:$b$44"))," ")</f>
        <v xml:space="preserve"> </v>
      </c>
      <c r="K7" s="42" t="str">
        <f t="array" aca="1" ref="K7" ca="1">_xlfn.IFNA(_xlfn.XLOOKUP($A7,INDIRECT("'"&amp;K$4&amp;"'!$E$10:$E$44"),INDIRECT("'"&amp;K$4&amp;"'!$b$10:$b$44"))," ")</f>
        <v xml:space="preserve"> </v>
      </c>
      <c r="L7" s="42" t="str">
        <f t="array" aca="1" ref="L7" ca="1">_xlfn.IFNA(_xlfn.XLOOKUP($A7,INDIRECT("'"&amp;L$4&amp;"'!$E$10:$E$44"),INDIRECT("'"&amp;L$4&amp;"'!$b$10:$b$44"))," ")</f>
        <v xml:space="preserve"> </v>
      </c>
      <c r="M7" s="42" t="str">
        <f t="array" aca="1" ref="M7" ca="1">_xlfn.IFNA(_xlfn.XLOOKUP($A7,INDIRECT("'"&amp;M$4&amp;"'!$E$10:$E$44"),INDIRECT("'"&amp;M$4&amp;"'!$b$10:$b$44"))," ")</f>
        <v xml:space="preserve"> </v>
      </c>
      <c r="N7" s="42" t="str">
        <f t="array" aca="1" ref="N7" ca="1">_xlfn.IFNA(_xlfn.XLOOKUP($A7,INDIRECT("'"&amp;N$4&amp;"'!$E$10:$E$44"),INDIRECT("'"&amp;N$4&amp;"'!$b$10:$b$44"))," ")</f>
        <v xml:space="preserve"> </v>
      </c>
      <c r="O7" s="42" t="str">
        <f t="array" aca="1" ref="O7" ca="1">_xlfn.IFNA(_xlfn.XLOOKUP($A7,INDIRECT("'"&amp;O$4&amp;"'!$E$10:$E$44"),INDIRECT("'"&amp;O$4&amp;"'!$b$10:$b$44"))," ")</f>
        <v xml:space="preserve"> </v>
      </c>
      <c r="P7" s="42" t="str">
        <f t="array" aca="1" ref="P7" ca="1">_xlfn.IFNA(_xlfn.XLOOKUP($A7,INDIRECT("'"&amp;P$4&amp;"'!$E$10:$E$44"),INDIRECT("'"&amp;P$4&amp;"'!$b$10:$b$44"))," ")</f>
        <v xml:space="preserve"> </v>
      </c>
      <c r="Q7" s="42" t="str">
        <f t="array" aca="1" ref="Q7" ca="1">_xlfn.IFNA(_xlfn.XLOOKUP($A7,INDIRECT("'"&amp;Q$4&amp;"'!$E$10:$E$44"),INDIRECT("'"&amp;Q$4&amp;"'!$b$10:$b$44"))," ")</f>
        <v xml:space="preserve"> </v>
      </c>
      <c r="T7" s="42">
        <f t="shared" ca="1" si="0"/>
        <v>34</v>
      </c>
      <c r="U7" s="19">
        <f t="shared" ca="1" si="1"/>
        <v>11.333333333333334</v>
      </c>
      <c r="V7" s="42">
        <f t="shared" ca="1" si="2"/>
        <v>15</v>
      </c>
      <c r="W7" s="42">
        <f t="shared" ca="1" si="3"/>
        <v>8</v>
      </c>
      <c r="X7" s="42">
        <f ca="1">RANK(T7,$T$5:$T$39)+COUNTIF($T$5:T7,T7)-1</f>
        <v>21</v>
      </c>
      <c r="Y7" s="34">
        <f t="array" aca="1" ref="Y7" ca="1">IFERROR(T7/SUMPRODUCT(($B7:$C7&lt;&gt;"")*$B$3:$C$3),0)</f>
        <v>1.0625</v>
      </c>
    </row>
    <row r="8" spans="1:25" x14ac:dyDescent="0.3">
      <c r="A8" t="s">
        <v>55</v>
      </c>
      <c r="B8" s="42">
        <f t="array" aca="1" ref="B8" ca="1">_xlfn.IFNA(_xlfn.XLOOKUP($A8,INDIRECT("'"&amp;B$4&amp;"'!$E$10:$E$44"),INDIRECT("'"&amp;B$4&amp;"'!$b$10:$b$44"))," ")</f>
        <v>11</v>
      </c>
      <c r="C8" s="42">
        <f t="array" aca="1" ref="C8" ca="1">_xlfn.IFNA(_xlfn.XLOOKUP($A8,INDIRECT("'"&amp;C$4&amp;"'!$E$10:$E$44"),INDIRECT("'"&amp;C$4&amp;"'!$b$10:$b$44"))," ")</f>
        <v>9</v>
      </c>
      <c r="D8" s="42">
        <f t="array" aca="1" ref="D8" ca="1">_xlfn.IFNA(_xlfn.XLOOKUP($A8,INDIRECT("'"&amp;D$4&amp;"'!$E$10:$E$44"),INDIRECT("'"&amp;D$4&amp;"'!$b$10:$b$44"))," ")</f>
        <v>15</v>
      </c>
      <c r="E8" s="42" t="str">
        <f t="array" aca="1" ref="E8" ca="1">_xlfn.IFNA(_xlfn.XLOOKUP($A8,INDIRECT("'"&amp;E$4&amp;"'!$E$10:$E$44"),INDIRECT("'"&amp;E$4&amp;"'!$b$10:$b$44"))," ")</f>
        <v xml:space="preserve"> </v>
      </c>
      <c r="F8" s="42" t="str">
        <f t="array" aca="1" ref="F8" ca="1">_xlfn.IFNA(_xlfn.XLOOKUP($A8,INDIRECT("'"&amp;F$4&amp;"'!$E$10:$E$44"),INDIRECT("'"&amp;F$4&amp;"'!$b$10:$b$44"))," ")</f>
        <v xml:space="preserve"> </v>
      </c>
      <c r="G8" s="42" t="str">
        <f t="array" aca="1" ref="G8" ca="1">_xlfn.IFNA(_xlfn.XLOOKUP($A8,INDIRECT("'"&amp;G$4&amp;"'!$E$10:$E$44"),INDIRECT("'"&amp;G$4&amp;"'!$b$10:$b$44"))," ")</f>
        <v xml:space="preserve"> </v>
      </c>
      <c r="H8" s="42" t="str">
        <f t="array" aca="1" ref="H8" ca="1">_xlfn.IFNA(_xlfn.XLOOKUP($A8,INDIRECT("'"&amp;H$4&amp;"'!$E$10:$E$44"),INDIRECT("'"&amp;H$4&amp;"'!$b$10:$b$44"))," ")</f>
        <v xml:space="preserve"> </v>
      </c>
      <c r="I8" s="42" t="str">
        <f t="array" aca="1" ref="I8" ca="1">_xlfn.IFNA(_xlfn.XLOOKUP($A8,INDIRECT("'"&amp;I$4&amp;"'!$E$10:$E$44"),INDIRECT("'"&amp;I$4&amp;"'!$b$10:$b$44"))," ")</f>
        <v xml:space="preserve"> </v>
      </c>
      <c r="J8" s="42" t="str">
        <f t="array" aca="1" ref="J8" ca="1">_xlfn.IFNA(_xlfn.XLOOKUP($A8,INDIRECT("'"&amp;J$4&amp;"'!$E$10:$E$44"),INDIRECT("'"&amp;J$4&amp;"'!$b$10:$b$44"))," ")</f>
        <v xml:space="preserve"> </v>
      </c>
      <c r="K8" s="42" t="str">
        <f t="array" aca="1" ref="K8" ca="1">_xlfn.IFNA(_xlfn.XLOOKUP($A8,INDIRECT("'"&amp;K$4&amp;"'!$E$10:$E$44"),INDIRECT("'"&amp;K$4&amp;"'!$b$10:$b$44"))," ")</f>
        <v xml:space="preserve"> </v>
      </c>
      <c r="L8" s="42" t="str">
        <f t="array" aca="1" ref="L8" ca="1">_xlfn.IFNA(_xlfn.XLOOKUP($A8,INDIRECT("'"&amp;L$4&amp;"'!$E$10:$E$44"),INDIRECT("'"&amp;L$4&amp;"'!$b$10:$b$44"))," ")</f>
        <v xml:space="preserve"> </v>
      </c>
      <c r="M8" s="42" t="str">
        <f t="array" aca="1" ref="M8" ca="1">_xlfn.IFNA(_xlfn.XLOOKUP($A8,INDIRECT("'"&amp;M$4&amp;"'!$E$10:$E$44"),INDIRECT("'"&amp;M$4&amp;"'!$b$10:$b$44"))," ")</f>
        <v xml:space="preserve"> </v>
      </c>
      <c r="N8" s="42" t="str">
        <f t="array" aca="1" ref="N8" ca="1">_xlfn.IFNA(_xlfn.XLOOKUP($A8,INDIRECT("'"&amp;N$4&amp;"'!$E$10:$E$44"),INDIRECT("'"&amp;N$4&amp;"'!$b$10:$b$44"))," ")</f>
        <v xml:space="preserve"> </v>
      </c>
      <c r="O8" s="42" t="str">
        <f t="array" aca="1" ref="O8" ca="1">_xlfn.IFNA(_xlfn.XLOOKUP($A8,INDIRECT("'"&amp;O$4&amp;"'!$E$10:$E$44"),INDIRECT("'"&amp;O$4&amp;"'!$b$10:$b$44"))," ")</f>
        <v xml:space="preserve"> </v>
      </c>
      <c r="P8" s="42" t="str">
        <f t="array" aca="1" ref="P8" ca="1">_xlfn.IFNA(_xlfn.XLOOKUP($A8,INDIRECT("'"&amp;P$4&amp;"'!$E$10:$E$44"),INDIRECT("'"&amp;P$4&amp;"'!$b$10:$b$44"))," ")</f>
        <v xml:space="preserve"> </v>
      </c>
      <c r="Q8" s="42" t="str">
        <f t="array" aca="1" ref="Q8" ca="1">_xlfn.IFNA(_xlfn.XLOOKUP($A8,INDIRECT("'"&amp;Q$4&amp;"'!$E$10:$E$44"),INDIRECT("'"&amp;Q$4&amp;"'!$b$10:$b$44"))," ")</f>
        <v xml:space="preserve"> </v>
      </c>
      <c r="T8" s="42">
        <f t="shared" ca="1" si="0"/>
        <v>35</v>
      </c>
      <c r="U8" s="19">
        <f t="shared" ca="1" si="1"/>
        <v>11.666666666666666</v>
      </c>
      <c r="V8" s="42">
        <f t="shared" ca="1" si="2"/>
        <v>15</v>
      </c>
      <c r="W8" s="42">
        <f t="shared" ca="1" si="3"/>
        <v>9</v>
      </c>
      <c r="X8" s="42">
        <f ca="1">RANK(T8,$T$5:$T$39)+COUNTIF($T$5:T8,T8)-1</f>
        <v>16</v>
      </c>
      <c r="Y8" s="34">
        <f t="array" aca="1" ref="Y8" ca="1">IFERROR(T8/SUMPRODUCT(($B8:$C8&lt;&gt;"")*$B$3:$C$3),0)</f>
        <v>1.09375</v>
      </c>
    </row>
    <row r="9" spans="1:25" x14ac:dyDescent="0.3">
      <c r="A9" t="s">
        <v>56</v>
      </c>
      <c r="B9" s="42">
        <f t="array" aca="1" ref="B9" ca="1">_xlfn.IFNA(_xlfn.XLOOKUP($A9,INDIRECT("'"&amp;B$4&amp;"'!$E$10:$E$44"),INDIRECT("'"&amp;B$4&amp;"'!$b$10:$b$44"))," ")</f>
        <v>7</v>
      </c>
      <c r="C9" s="42">
        <f t="array" aca="1" ref="C9" ca="1">_xlfn.IFNA(_xlfn.XLOOKUP($A9,INDIRECT("'"&amp;C$4&amp;"'!$E$10:$E$44"),INDIRECT("'"&amp;C$4&amp;"'!$b$10:$b$44"))," ")</f>
        <v>10</v>
      </c>
      <c r="D9" s="42">
        <f t="array" aca="1" ref="D9" ca="1">_xlfn.IFNA(_xlfn.XLOOKUP($A9,INDIRECT("'"&amp;D$4&amp;"'!$E$10:$E$44"),INDIRECT("'"&amp;D$4&amp;"'!$b$10:$b$44"))," ")</f>
        <v>15</v>
      </c>
      <c r="E9" s="42" t="str">
        <f t="array" aca="1" ref="E9" ca="1">_xlfn.IFNA(_xlfn.XLOOKUP($A9,INDIRECT("'"&amp;E$4&amp;"'!$E$10:$E$44"),INDIRECT("'"&amp;E$4&amp;"'!$b$10:$b$44"))," ")</f>
        <v xml:space="preserve"> </v>
      </c>
      <c r="F9" s="42" t="str">
        <f t="array" aca="1" ref="F9" ca="1">_xlfn.IFNA(_xlfn.XLOOKUP($A9,INDIRECT("'"&amp;F$4&amp;"'!$E$10:$E$44"),INDIRECT("'"&amp;F$4&amp;"'!$b$10:$b$44"))," ")</f>
        <v xml:space="preserve"> </v>
      </c>
      <c r="G9" s="42" t="str">
        <f t="array" aca="1" ref="G9" ca="1">_xlfn.IFNA(_xlfn.XLOOKUP($A9,INDIRECT("'"&amp;G$4&amp;"'!$E$10:$E$44"),INDIRECT("'"&amp;G$4&amp;"'!$b$10:$b$44"))," ")</f>
        <v xml:space="preserve"> </v>
      </c>
      <c r="H9" s="42" t="str">
        <f t="array" aca="1" ref="H9" ca="1">_xlfn.IFNA(_xlfn.XLOOKUP($A9,INDIRECT("'"&amp;H$4&amp;"'!$E$10:$E$44"),INDIRECT("'"&amp;H$4&amp;"'!$b$10:$b$44"))," ")</f>
        <v xml:space="preserve"> </v>
      </c>
      <c r="I9" s="42" t="str">
        <f t="array" aca="1" ref="I9" ca="1">_xlfn.IFNA(_xlfn.XLOOKUP($A9,INDIRECT("'"&amp;I$4&amp;"'!$E$10:$E$44"),INDIRECT("'"&amp;I$4&amp;"'!$b$10:$b$44"))," ")</f>
        <v xml:space="preserve"> </v>
      </c>
      <c r="J9" s="42" t="str">
        <f t="array" aca="1" ref="J9" ca="1">_xlfn.IFNA(_xlfn.XLOOKUP($A9,INDIRECT("'"&amp;J$4&amp;"'!$E$10:$E$44"),INDIRECT("'"&amp;J$4&amp;"'!$b$10:$b$44"))," ")</f>
        <v xml:space="preserve"> </v>
      </c>
      <c r="K9" s="42" t="str">
        <f t="array" aca="1" ref="K9" ca="1">_xlfn.IFNA(_xlfn.XLOOKUP($A9,INDIRECT("'"&amp;K$4&amp;"'!$E$10:$E$44"),INDIRECT("'"&amp;K$4&amp;"'!$b$10:$b$44"))," ")</f>
        <v xml:space="preserve"> </v>
      </c>
      <c r="L9" s="42" t="str">
        <f t="array" aca="1" ref="L9" ca="1">_xlfn.IFNA(_xlfn.XLOOKUP($A9,INDIRECT("'"&amp;L$4&amp;"'!$E$10:$E$44"),INDIRECT("'"&amp;L$4&amp;"'!$b$10:$b$44"))," ")</f>
        <v xml:space="preserve"> </v>
      </c>
      <c r="M9" s="42" t="str">
        <f t="array" aca="1" ref="M9" ca="1">_xlfn.IFNA(_xlfn.XLOOKUP($A9,INDIRECT("'"&amp;M$4&amp;"'!$E$10:$E$44"),INDIRECT("'"&amp;M$4&amp;"'!$b$10:$b$44"))," ")</f>
        <v xml:space="preserve"> </v>
      </c>
      <c r="N9" s="42" t="str">
        <f t="array" aca="1" ref="N9" ca="1">_xlfn.IFNA(_xlfn.XLOOKUP($A9,INDIRECT("'"&amp;N$4&amp;"'!$E$10:$E$44"),INDIRECT("'"&amp;N$4&amp;"'!$b$10:$b$44"))," ")</f>
        <v xml:space="preserve"> </v>
      </c>
      <c r="O9" s="42" t="str">
        <f t="array" aca="1" ref="O9" ca="1">_xlfn.IFNA(_xlfn.XLOOKUP($A9,INDIRECT("'"&amp;O$4&amp;"'!$E$10:$E$44"),INDIRECT("'"&amp;O$4&amp;"'!$b$10:$b$44"))," ")</f>
        <v xml:space="preserve"> </v>
      </c>
      <c r="P9" s="42" t="str">
        <f t="array" aca="1" ref="P9" ca="1">_xlfn.IFNA(_xlfn.XLOOKUP($A9,INDIRECT("'"&amp;P$4&amp;"'!$E$10:$E$44"),INDIRECT("'"&amp;P$4&amp;"'!$b$10:$b$44"))," ")</f>
        <v xml:space="preserve"> </v>
      </c>
      <c r="Q9" s="42" t="str">
        <f t="array" aca="1" ref="Q9" ca="1">_xlfn.IFNA(_xlfn.XLOOKUP($A9,INDIRECT("'"&amp;Q$4&amp;"'!$E$10:$E$44"),INDIRECT("'"&amp;Q$4&amp;"'!$b$10:$b$44"))," ")</f>
        <v xml:space="preserve"> </v>
      </c>
      <c r="T9" s="42">
        <f t="shared" ca="1" si="0"/>
        <v>32</v>
      </c>
      <c r="U9" s="19">
        <f t="shared" ca="1" si="1"/>
        <v>10.666666666666666</v>
      </c>
      <c r="V9" s="42">
        <f t="shared" ca="1" si="2"/>
        <v>15</v>
      </c>
      <c r="W9" s="42">
        <f t="shared" ca="1" si="3"/>
        <v>7</v>
      </c>
      <c r="X9" s="42">
        <f ca="1">RANK(T9,$T$5:$T$39)+COUNTIF($T$5:T9,T9)-1</f>
        <v>29</v>
      </c>
      <c r="Y9" s="34">
        <f t="array" aca="1" ref="Y9" ca="1">IFERROR(T9/SUMPRODUCT(($B9:$C9&lt;&gt;"")*$B$3:$C$3),0)</f>
        <v>1</v>
      </c>
    </row>
    <row r="10" spans="1:25" x14ac:dyDescent="0.3">
      <c r="A10" t="s">
        <v>57</v>
      </c>
      <c r="B10" s="42">
        <f t="array" aca="1" ref="B10" ca="1">_xlfn.IFNA(_xlfn.XLOOKUP($A10,INDIRECT("'"&amp;B$4&amp;"'!$E$10:$E$44"),INDIRECT("'"&amp;B$4&amp;"'!$b$10:$b$44"))," ")</f>
        <v>11</v>
      </c>
      <c r="C10" s="42">
        <f t="array" aca="1" ref="C10" ca="1">_xlfn.IFNA(_xlfn.XLOOKUP($A10,INDIRECT("'"&amp;C$4&amp;"'!$E$10:$E$44"),INDIRECT("'"&amp;C$4&amp;"'!$b$10:$b$44"))," ")</f>
        <v>7</v>
      </c>
      <c r="D10" s="42">
        <f t="array" aca="1" ref="D10" ca="1">_xlfn.IFNA(_xlfn.XLOOKUP($A10,INDIRECT("'"&amp;D$4&amp;"'!$E$10:$E$44"),INDIRECT("'"&amp;D$4&amp;"'!$b$10:$b$44"))," ")</f>
        <v>15</v>
      </c>
      <c r="E10" s="42" t="str">
        <f t="array" aca="1" ref="E10" ca="1">_xlfn.IFNA(_xlfn.XLOOKUP($A10,INDIRECT("'"&amp;E$4&amp;"'!$E$10:$E$44"),INDIRECT("'"&amp;E$4&amp;"'!$b$10:$b$44"))," ")</f>
        <v xml:space="preserve"> </v>
      </c>
      <c r="F10" s="42" t="str">
        <f t="array" aca="1" ref="F10" ca="1">_xlfn.IFNA(_xlfn.XLOOKUP($A10,INDIRECT("'"&amp;F$4&amp;"'!$E$10:$E$44"),INDIRECT("'"&amp;F$4&amp;"'!$b$10:$b$44"))," ")</f>
        <v xml:space="preserve"> </v>
      </c>
      <c r="G10" s="42" t="str">
        <f t="array" aca="1" ref="G10" ca="1">_xlfn.IFNA(_xlfn.XLOOKUP($A10,INDIRECT("'"&amp;G$4&amp;"'!$E$10:$E$44"),INDIRECT("'"&amp;G$4&amp;"'!$b$10:$b$44"))," ")</f>
        <v xml:space="preserve"> </v>
      </c>
      <c r="H10" s="42" t="str">
        <f t="array" aca="1" ref="H10" ca="1">_xlfn.IFNA(_xlfn.XLOOKUP($A10,INDIRECT("'"&amp;H$4&amp;"'!$E$10:$E$44"),INDIRECT("'"&amp;H$4&amp;"'!$b$10:$b$44"))," ")</f>
        <v xml:space="preserve"> </v>
      </c>
      <c r="I10" s="42" t="str">
        <f t="array" aca="1" ref="I10" ca="1">_xlfn.IFNA(_xlfn.XLOOKUP($A10,INDIRECT("'"&amp;I$4&amp;"'!$E$10:$E$44"),INDIRECT("'"&amp;I$4&amp;"'!$b$10:$b$44"))," ")</f>
        <v xml:space="preserve"> </v>
      </c>
      <c r="J10" s="42" t="str">
        <f t="array" aca="1" ref="J10" ca="1">_xlfn.IFNA(_xlfn.XLOOKUP($A10,INDIRECT("'"&amp;J$4&amp;"'!$E$10:$E$44"),INDIRECT("'"&amp;J$4&amp;"'!$b$10:$b$44"))," ")</f>
        <v xml:space="preserve"> </v>
      </c>
      <c r="K10" s="42" t="str">
        <f t="array" aca="1" ref="K10" ca="1">_xlfn.IFNA(_xlfn.XLOOKUP($A10,INDIRECT("'"&amp;K$4&amp;"'!$E$10:$E$44"),INDIRECT("'"&amp;K$4&amp;"'!$b$10:$b$44"))," ")</f>
        <v xml:space="preserve"> </v>
      </c>
      <c r="L10" s="42" t="str">
        <f t="array" aca="1" ref="L10" ca="1">_xlfn.IFNA(_xlfn.XLOOKUP($A10,INDIRECT("'"&amp;L$4&amp;"'!$E$10:$E$44"),INDIRECT("'"&amp;L$4&amp;"'!$b$10:$b$44"))," ")</f>
        <v xml:space="preserve"> </v>
      </c>
      <c r="M10" s="42" t="str">
        <f t="array" aca="1" ref="M10" ca="1">_xlfn.IFNA(_xlfn.XLOOKUP($A10,INDIRECT("'"&amp;M$4&amp;"'!$E$10:$E$44"),INDIRECT("'"&amp;M$4&amp;"'!$b$10:$b$44"))," ")</f>
        <v xml:space="preserve"> </v>
      </c>
      <c r="N10" s="42" t="str">
        <f t="array" aca="1" ref="N10" ca="1">_xlfn.IFNA(_xlfn.XLOOKUP($A10,INDIRECT("'"&amp;N$4&amp;"'!$E$10:$E$44"),INDIRECT("'"&amp;N$4&amp;"'!$b$10:$b$44"))," ")</f>
        <v xml:space="preserve"> </v>
      </c>
      <c r="O10" s="42" t="str">
        <f t="array" aca="1" ref="O10" ca="1">_xlfn.IFNA(_xlfn.XLOOKUP($A10,INDIRECT("'"&amp;O$4&amp;"'!$E$10:$E$44"),INDIRECT("'"&amp;O$4&amp;"'!$b$10:$b$44"))," ")</f>
        <v xml:space="preserve"> </v>
      </c>
      <c r="P10" s="42" t="str">
        <f t="array" aca="1" ref="P10" ca="1">_xlfn.IFNA(_xlfn.XLOOKUP($A10,INDIRECT("'"&amp;P$4&amp;"'!$E$10:$E$44"),INDIRECT("'"&amp;P$4&amp;"'!$b$10:$b$44"))," ")</f>
        <v xml:space="preserve"> </v>
      </c>
      <c r="Q10" s="42" t="str">
        <f t="array" aca="1" ref="Q10" ca="1">_xlfn.IFNA(_xlfn.XLOOKUP($A10,INDIRECT("'"&amp;Q$4&amp;"'!$E$10:$E$44"),INDIRECT("'"&amp;Q$4&amp;"'!$b$10:$b$44"))," ")</f>
        <v xml:space="preserve"> </v>
      </c>
      <c r="T10" s="42">
        <f t="shared" ca="1" si="0"/>
        <v>33</v>
      </c>
      <c r="U10" s="19">
        <f t="shared" ca="1" si="1"/>
        <v>11</v>
      </c>
      <c r="V10" s="42">
        <f t="shared" ca="1" si="2"/>
        <v>15</v>
      </c>
      <c r="W10" s="42">
        <f t="shared" ca="1" si="3"/>
        <v>7</v>
      </c>
      <c r="X10" s="42">
        <f ca="1">RANK(T10,$T$5:$T$39)+COUNTIF($T$5:T10,T10)-1</f>
        <v>25</v>
      </c>
      <c r="Y10" s="34">
        <f t="array" aca="1" ref="Y10" ca="1">IFERROR(T10/SUMPRODUCT(($B10:$C10&lt;&gt;"")*$B$3:$C$3),0)</f>
        <v>1.03125</v>
      </c>
    </row>
    <row r="11" spans="1:25" x14ac:dyDescent="0.3">
      <c r="A11" t="s">
        <v>58</v>
      </c>
      <c r="B11" s="42">
        <f t="array" aca="1" ref="B11" ca="1">_xlfn.IFNA(_xlfn.XLOOKUP($A11,INDIRECT("'"&amp;B$4&amp;"'!$E$10:$E$44"),INDIRECT("'"&amp;B$4&amp;"'!$b$10:$b$44"))," ")</f>
        <v>13</v>
      </c>
      <c r="C11" s="42">
        <f t="array" aca="1" ref="C11" ca="1">_xlfn.IFNA(_xlfn.XLOOKUP($A11,INDIRECT("'"&amp;C$4&amp;"'!$E$10:$E$44"),INDIRECT("'"&amp;C$4&amp;"'!$b$10:$b$44"))," ")</f>
        <v>11</v>
      </c>
      <c r="D11" s="42">
        <f t="array" aca="1" ref="D11" ca="1">_xlfn.IFNA(_xlfn.XLOOKUP($A11,INDIRECT("'"&amp;D$4&amp;"'!$E$10:$E$44"),INDIRECT("'"&amp;D$4&amp;"'!$b$10:$b$44"))," ")</f>
        <v>16</v>
      </c>
      <c r="E11" s="42" t="str">
        <f t="array" aca="1" ref="E11" ca="1">_xlfn.IFNA(_xlfn.XLOOKUP($A11,INDIRECT("'"&amp;E$4&amp;"'!$E$10:$E$44"),INDIRECT("'"&amp;E$4&amp;"'!$b$10:$b$44"))," ")</f>
        <v xml:space="preserve"> </v>
      </c>
      <c r="F11" s="42" t="str">
        <f t="array" aca="1" ref="F11" ca="1">_xlfn.IFNA(_xlfn.XLOOKUP($A11,INDIRECT("'"&amp;F$4&amp;"'!$E$10:$E$44"),INDIRECT("'"&amp;F$4&amp;"'!$b$10:$b$44"))," ")</f>
        <v xml:space="preserve"> </v>
      </c>
      <c r="G11" s="42" t="str">
        <f t="array" aca="1" ref="G11" ca="1">_xlfn.IFNA(_xlfn.XLOOKUP($A11,INDIRECT("'"&amp;G$4&amp;"'!$E$10:$E$44"),INDIRECT("'"&amp;G$4&amp;"'!$b$10:$b$44"))," ")</f>
        <v xml:space="preserve"> </v>
      </c>
      <c r="H11" s="42" t="str">
        <f t="array" aca="1" ref="H11" ca="1">_xlfn.IFNA(_xlfn.XLOOKUP($A11,INDIRECT("'"&amp;H$4&amp;"'!$E$10:$E$44"),INDIRECT("'"&amp;H$4&amp;"'!$b$10:$b$44"))," ")</f>
        <v xml:space="preserve"> </v>
      </c>
      <c r="I11" s="42" t="str">
        <f t="array" aca="1" ref="I11" ca="1">_xlfn.IFNA(_xlfn.XLOOKUP($A11,INDIRECT("'"&amp;I$4&amp;"'!$E$10:$E$44"),INDIRECT("'"&amp;I$4&amp;"'!$b$10:$b$44"))," ")</f>
        <v xml:space="preserve"> </v>
      </c>
      <c r="J11" s="42" t="str">
        <f t="array" aca="1" ref="J11" ca="1">_xlfn.IFNA(_xlfn.XLOOKUP($A11,INDIRECT("'"&amp;J$4&amp;"'!$E$10:$E$44"),INDIRECT("'"&amp;J$4&amp;"'!$b$10:$b$44"))," ")</f>
        <v xml:space="preserve"> </v>
      </c>
      <c r="K11" s="42" t="str">
        <f t="array" aca="1" ref="K11" ca="1">_xlfn.IFNA(_xlfn.XLOOKUP($A11,INDIRECT("'"&amp;K$4&amp;"'!$E$10:$E$44"),INDIRECT("'"&amp;K$4&amp;"'!$b$10:$b$44"))," ")</f>
        <v xml:space="preserve"> </v>
      </c>
      <c r="L11" s="42" t="str">
        <f t="array" aca="1" ref="L11" ca="1">_xlfn.IFNA(_xlfn.XLOOKUP($A11,INDIRECT("'"&amp;L$4&amp;"'!$E$10:$E$44"),INDIRECT("'"&amp;L$4&amp;"'!$b$10:$b$44"))," ")</f>
        <v xml:space="preserve"> </v>
      </c>
      <c r="M11" s="42" t="str">
        <f t="array" aca="1" ref="M11" ca="1">_xlfn.IFNA(_xlfn.XLOOKUP($A11,INDIRECT("'"&amp;M$4&amp;"'!$E$10:$E$44"),INDIRECT("'"&amp;M$4&amp;"'!$b$10:$b$44"))," ")</f>
        <v xml:space="preserve"> </v>
      </c>
      <c r="N11" s="42" t="str">
        <f t="array" aca="1" ref="N11" ca="1">_xlfn.IFNA(_xlfn.XLOOKUP($A11,INDIRECT("'"&amp;N$4&amp;"'!$E$10:$E$44"),INDIRECT("'"&amp;N$4&amp;"'!$b$10:$b$44"))," ")</f>
        <v xml:space="preserve"> </v>
      </c>
      <c r="O11" s="42" t="str">
        <f t="array" aca="1" ref="O11" ca="1">_xlfn.IFNA(_xlfn.XLOOKUP($A11,INDIRECT("'"&amp;O$4&amp;"'!$E$10:$E$44"),INDIRECT("'"&amp;O$4&amp;"'!$b$10:$b$44"))," ")</f>
        <v xml:space="preserve"> </v>
      </c>
      <c r="P11" s="42" t="str">
        <f t="array" aca="1" ref="P11" ca="1">_xlfn.IFNA(_xlfn.XLOOKUP($A11,INDIRECT("'"&amp;P$4&amp;"'!$E$10:$E$44"),INDIRECT("'"&amp;P$4&amp;"'!$b$10:$b$44"))," ")</f>
        <v xml:space="preserve"> </v>
      </c>
      <c r="Q11" s="42" t="str">
        <f t="array" aca="1" ref="Q11" ca="1">_xlfn.IFNA(_xlfn.XLOOKUP($A11,INDIRECT("'"&amp;Q$4&amp;"'!$E$10:$E$44"),INDIRECT("'"&amp;Q$4&amp;"'!$b$10:$b$44"))," ")</f>
        <v xml:space="preserve"> </v>
      </c>
      <c r="T11" s="42">
        <f t="shared" ca="1" si="0"/>
        <v>40</v>
      </c>
      <c r="U11" s="19">
        <f t="shared" ca="1" si="1"/>
        <v>13.333333333333334</v>
      </c>
      <c r="V11" s="42">
        <f t="shared" ca="1" si="2"/>
        <v>16</v>
      </c>
      <c r="W11" s="42">
        <f t="shared" ca="1" si="3"/>
        <v>11</v>
      </c>
      <c r="X11" s="42">
        <f ca="1">RANK(T11,$T$5:$T$39)+COUNTIF($T$5:T11,T11)-1</f>
        <v>2</v>
      </c>
      <c r="Y11" s="34">
        <f t="array" aca="1" ref="Y11" ca="1">IFERROR(T11/SUMPRODUCT(($B11:$C11&lt;&gt;"")*$B$3:$C$3),0)</f>
        <v>1.25</v>
      </c>
    </row>
    <row r="12" spans="1:25" x14ac:dyDescent="0.3">
      <c r="A12" t="s">
        <v>59</v>
      </c>
      <c r="B12" s="42">
        <f t="array" aca="1" ref="B12" ca="1">_xlfn.IFNA(_xlfn.XLOOKUP($A12,INDIRECT("'"&amp;B$4&amp;"'!$E$10:$E$44"),INDIRECT("'"&amp;B$4&amp;"'!$b$10:$b$44"))," ")</f>
        <v>12</v>
      </c>
      <c r="C12" s="42">
        <f t="array" aca="1" ref="C12" ca="1">_xlfn.IFNA(_xlfn.XLOOKUP($A12,INDIRECT("'"&amp;C$4&amp;"'!$E$10:$E$44"),INDIRECT("'"&amp;C$4&amp;"'!$b$10:$b$44"))," ")</f>
        <v>11</v>
      </c>
      <c r="D12" s="42">
        <f t="array" aca="1" ref="D12" ca="1">_xlfn.IFNA(_xlfn.XLOOKUP($A12,INDIRECT("'"&amp;D$4&amp;"'!$E$10:$E$44"),INDIRECT("'"&amp;D$4&amp;"'!$b$10:$b$44"))," ")</f>
        <v>15</v>
      </c>
      <c r="E12" s="42" t="str">
        <f t="array" aca="1" ref="E12" ca="1">_xlfn.IFNA(_xlfn.XLOOKUP($A12,INDIRECT("'"&amp;E$4&amp;"'!$E$10:$E$44"),INDIRECT("'"&amp;E$4&amp;"'!$b$10:$b$44"))," ")</f>
        <v xml:space="preserve"> </v>
      </c>
      <c r="F12" s="42" t="str">
        <f t="array" aca="1" ref="F12" ca="1">_xlfn.IFNA(_xlfn.XLOOKUP($A12,INDIRECT("'"&amp;F$4&amp;"'!$E$10:$E$44"),INDIRECT("'"&amp;F$4&amp;"'!$b$10:$b$44"))," ")</f>
        <v xml:space="preserve"> </v>
      </c>
      <c r="G12" s="42" t="str">
        <f t="array" aca="1" ref="G12" ca="1">_xlfn.IFNA(_xlfn.XLOOKUP($A12,INDIRECT("'"&amp;G$4&amp;"'!$E$10:$E$44"),INDIRECT("'"&amp;G$4&amp;"'!$b$10:$b$44"))," ")</f>
        <v xml:space="preserve"> </v>
      </c>
      <c r="H12" s="42" t="str">
        <f t="array" aca="1" ref="H12" ca="1">_xlfn.IFNA(_xlfn.XLOOKUP($A12,INDIRECT("'"&amp;H$4&amp;"'!$E$10:$E$44"),INDIRECT("'"&amp;H$4&amp;"'!$b$10:$b$44"))," ")</f>
        <v xml:space="preserve"> </v>
      </c>
      <c r="I12" s="42" t="str">
        <f t="array" aca="1" ref="I12" ca="1">_xlfn.IFNA(_xlfn.XLOOKUP($A12,INDIRECT("'"&amp;I$4&amp;"'!$E$10:$E$44"),INDIRECT("'"&amp;I$4&amp;"'!$b$10:$b$44"))," ")</f>
        <v xml:space="preserve"> </v>
      </c>
      <c r="J12" s="42" t="str">
        <f t="array" aca="1" ref="J12" ca="1">_xlfn.IFNA(_xlfn.XLOOKUP($A12,INDIRECT("'"&amp;J$4&amp;"'!$E$10:$E$44"),INDIRECT("'"&amp;J$4&amp;"'!$b$10:$b$44"))," ")</f>
        <v xml:space="preserve"> </v>
      </c>
      <c r="K12" s="42" t="str">
        <f t="array" aca="1" ref="K12" ca="1">_xlfn.IFNA(_xlfn.XLOOKUP($A12,INDIRECT("'"&amp;K$4&amp;"'!$E$10:$E$44"),INDIRECT("'"&amp;K$4&amp;"'!$b$10:$b$44"))," ")</f>
        <v xml:space="preserve"> </v>
      </c>
      <c r="L12" s="42" t="str">
        <f t="array" aca="1" ref="L12" ca="1">_xlfn.IFNA(_xlfn.XLOOKUP($A12,INDIRECT("'"&amp;L$4&amp;"'!$E$10:$E$44"),INDIRECT("'"&amp;L$4&amp;"'!$b$10:$b$44"))," ")</f>
        <v xml:space="preserve"> </v>
      </c>
      <c r="M12" s="42" t="str">
        <f t="array" aca="1" ref="M12" ca="1">_xlfn.IFNA(_xlfn.XLOOKUP($A12,INDIRECT("'"&amp;M$4&amp;"'!$E$10:$E$44"),INDIRECT("'"&amp;M$4&amp;"'!$b$10:$b$44"))," ")</f>
        <v xml:space="preserve"> </v>
      </c>
      <c r="N12" s="42" t="str">
        <f t="array" aca="1" ref="N12" ca="1">_xlfn.IFNA(_xlfn.XLOOKUP($A12,INDIRECT("'"&amp;N$4&amp;"'!$E$10:$E$44"),INDIRECT("'"&amp;N$4&amp;"'!$b$10:$b$44"))," ")</f>
        <v xml:space="preserve"> </v>
      </c>
      <c r="O12" s="42" t="str">
        <f t="array" aca="1" ref="O12" ca="1">_xlfn.IFNA(_xlfn.XLOOKUP($A12,INDIRECT("'"&amp;O$4&amp;"'!$E$10:$E$44"),INDIRECT("'"&amp;O$4&amp;"'!$b$10:$b$44"))," ")</f>
        <v xml:space="preserve"> </v>
      </c>
      <c r="P12" s="42" t="str">
        <f t="array" aca="1" ref="P12" ca="1">_xlfn.IFNA(_xlfn.XLOOKUP($A12,INDIRECT("'"&amp;P$4&amp;"'!$E$10:$E$44"),INDIRECT("'"&amp;P$4&amp;"'!$b$10:$b$44"))," ")</f>
        <v xml:space="preserve"> </v>
      </c>
      <c r="Q12" s="42" t="str">
        <f t="array" aca="1" ref="Q12" ca="1">_xlfn.IFNA(_xlfn.XLOOKUP($A12,INDIRECT("'"&amp;Q$4&amp;"'!$E$10:$E$44"),INDIRECT("'"&amp;Q$4&amp;"'!$b$10:$b$44"))," ")</f>
        <v xml:space="preserve"> </v>
      </c>
      <c r="T12" s="42">
        <f t="shared" ca="1" si="0"/>
        <v>38</v>
      </c>
      <c r="U12" s="19">
        <f t="shared" ca="1" si="1"/>
        <v>12.666666666666666</v>
      </c>
      <c r="V12" s="42">
        <f t="shared" ca="1" si="2"/>
        <v>15</v>
      </c>
      <c r="W12" s="42">
        <f t="shared" ca="1" si="3"/>
        <v>11</v>
      </c>
      <c r="X12" s="42">
        <f ca="1">RANK(T12,$T$5:$T$39)+COUNTIF($T$5:T12,T12)-1</f>
        <v>5</v>
      </c>
      <c r="Y12" s="34">
        <f t="array" aca="1" ref="Y12" ca="1">IFERROR(T12/SUMPRODUCT(($B12:$C12&lt;&gt;"")*$B$3:$C$3),0)</f>
        <v>1.1875</v>
      </c>
    </row>
    <row r="13" spans="1:25" x14ac:dyDescent="0.3">
      <c r="A13" t="s">
        <v>60</v>
      </c>
      <c r="B13" s="42">
        <f t="array" aca="1" ref="B13" ca="1">_xlfn.IFNA(_xlfn.XLOOKUP($A13,INDIRECT("'"&amp;B$4&amp;"'!$E$10:$E$44"),INDIRECT("'"&amp;B$4&amp;"'!$b$10:$b$44"))," ")</f>
        <v>11</v>
      </c>
      <c r="C13" s="42">
        <f t="array" aca="1" ref="C13" ca="1">_xlfn.IFNA(_xlfn.XLOOKUP($A13,INDIRECT("'"&amp;C$4&amp;"'!$E$10:$E$44"),INDIRECT("'"&amp;C$4&amp;"'!$b$10:$b$44"))," ")</f>
        <v>10</v>
      </c>
      <c r="D13" s="42">
        <f t="array" aca="1" ref="D13" ca="1">_xlfn.IFNA(_xlfn.XLOOKUP($A13,INDIRECT("'"&amp;D$4&amp;"'!$E$10:$E$44"),INDIRECT("'"&amp;D$4&amp;"'!$b$10:$b$44"))," ")</f>
        <v>16</v>
      </c>
      <c r="E13" s="42" t="str">
        <f t="array" aca="1" ref="E13" ca="1">_xlfn.IFNA(_xlfn.XLOOKUP($A13,INDIRECT("'"&amp;E$4&amp;"'!$E$10:$E$44"),INDIRECT("'"&amp;E$4&amp;"'!$b$10:$b$44"))," ")</f>
        <v xml:space="preserve"> </v>
      </c>
      <c r="F13" s="42" t="str">
        <f t="array" aca="1" ref="F13" ca="1">_xlfn.IFNA(_xlfn.XLOOKUP($A13,INDIRECT("'"&amp;F$4&amp;"'!$E$10:$E$44"),INDIRECT("'"&amp;F$4&amp;"'!$b$10:$b$44"))," ")</f>
        <v xml:space="preserve"> </v>
      </c>
      <c r="G13" s="42" t="str">
        <f t="array" aca="1" ref="G13" ca="1">_xlfn.IFNA(_xlfn.XLOOKUP($A13,INDIRECT("'"&amp;G$4&amp;"'!$E$10:$E$44"),INDIRECT("'"&amp;G$4&amp;"'!$b$10:$b$44"))," ")</f>
        <v xml:space="preserve"> </v>
      </c>
      <c r="H13" s="42" t="str">
        <f t="array" aca="1" ref="H13" ca="1">_xlfn.IFNA(_xlfn.XLOOKUP($A13,INDIRECT("'"&amp;H$4&amp;"'!$E$10:$E$44"),INDIRECT("'"&amp;H$4&amp;"'!$b$10:$b$44"))," ")</f>
        <v xml:space="preserve"> </v>
      </c>
      <c r="I13" s="42" t="str">
        <f t="array" aca="1" ref="I13" ca="1">_xlfn.IFNA(_xlfn.XLOOKUP($A13,INDIRECT("'"&amp;I$4&amp;"'!$E$10:$E$44"),INDIRECT("'"&amp;I$4&amp;"'!$b$10:$b$44"))," ")</f>
        <v xml:space="preserve"> </v>
      </c>
      <c r="J13" s="42" t="str">
        <f t="array" aca="1" ref="J13" ca="1">_xlfn.IFNA(_xlfn.XLOOKUP($A13,INDIRECT("'"&amp;J$4&amp;"'!$E$10:$E$44"),INDIRECT("'"&amp;J$4&amp;"'!$b$10:$b$44"))," ")</f>
        <v xml:space="preserve"> </v>
      </c>
      <c r="K13" s="42" t="str">
        <f t="array" aca="1" ref="K13" ca="1">_xlfn.IFNA(_xlfn.XLOOKUP($A13,INDIRECT("'"&amp;K$4&amp;"'!$E$10:$E$44"),INDIRECT("'"&amp;K$4&amp;"'!$b$10:$b$44"))," ")</f>
        <v xml:space="preserve"> </v>
      </c>
      <c r="L13" s="42" t="str">
        <f t="array" aca="1" ref="L13" ca="1">_xlfn.IFNA(_xlfn.XLOOKUP($A13,INDIRECT("'"&amp;L$4&amp;"'!$E$10:$E$44"),INDIRECT("'"&amp;L$4&amp;"'!$b$10:$b$44"))," ")</f>
        <v xml:space="preserve"> </v>
      </c>
      <c r="M13" s="42" t="str">
        <f t="array" aca="1" ref="M13" ca="1">_xlfn.IFNA(_xlfn.XLOOKUP($A13,INDIRECT("'"&amp;M$4&amp;"'!$E$10:$E$44"),INDIRECT("'"&amp;M$4&amp;"'!$b$10:$b$44"))," ")</f>
        <v xml:space="preserve"> </v>
      </c>
      <c r="N13" s="42" t="str">
        <f t="array" aca="1" ref="N13" ca="1">_xlfn.IFNA(_xlfn.XLOOKUP($A13,INDIRECT("'"&amp;N$4&amp;"'!$E$10:$E$44"),INDIRECT("'"&amp;N$4&amp;"'!$b$10:$b$44"))," ")</f>
        <v xml:space="preserve"> </v>
      </c>
      <c r="O13" s="42" t="str">
        <f t="array" aca="1" ref="O13" ca="1">_xlfn.IFNA(_xlfn.XLOOKUP($A13,INDIRECT("'"&amp;O$4&amp;"'!$E$10:$E$44"),INDIRECT("'"&amp;O$4&amp;"'!$b$10:$b$44"))," ")</f>
        <v xml:space="preserve"> </v>
      </c>
      <c r="P13" s="42" t="str">
        <f t="array" aca="1" ref="P13" ca="1">_xlfn.IFNA(_xlfn.XLOOKUP($A13,INDIRECT("'"&amp;P$4&amp;"'!$E$10:$E$44"),INDIRECT("'"&amp;P$4&amp;"'!$b$10:$b$44"))," ")</f>
        <v xml:space="preserve"> </v>
      </c>
      <c r="Q13" s="42" t="str">
        <f t="array" aca="1" ref="Q13" ca="1">_xlfn.IFNA(_xlfn.XLOOKUP($A13,INDIRECT("'"&amp;Q$4&amp;"'!$E$10:$E$44"),INDIRECT("'"&amp;Q$4&amp;"'!$b$10:$b$44"))," ")</f>
        <v xml:space="preserve"> </v>
      </c>
      <c r="T13" s="42">
        <f t="shared" ca="1" si="0"/>
        <v>37</v>
      </c>
      <c r="U13" s="19">
        <f t="shared" ca="1" si="1"/>
        <v>12.333333333333334</v>
      </c>
      <c r="V13" s="42">
        <f t="shared" ca="1" si="2"/>
        <v>16</v>
      </c>
      <c r="W13" s="42">
        <f t="shared" ca="1" si="3"/>
        <v>10</v>
      </c>
      <c r="X13" s="42">
        <f ca="1">RANK(T13,$T$5:$T$39)+COUNTIF($T$5:T13,T13)-1</f>
        <v>7</v>
      </c>
      <c r="Y13" s="34">
        <f t="array" aca="1" ref="Y13" ca="1">IFERROR(T13/SUMPRODUCT(($B13:$C13&lt;&gt;"")*$B$3:$C$3),0)</f>
        <v>1.15625</v>
      </c>
    </row>
    <row r="14" spans="1:25" x14ac:dyDescent="0.3">
      <c r="A14" t="s">
        <v>61</v>
      </c>
      <c r="B14" s="42">
        <f t="array" aca="1" ref="B14" ca="1">_xlfn.IFNA(_xlfn.XLOOKUP($A14,INDIRECT("'"&amp;B$4&amp;"'!$E$10:$E$44"),INDIRECT("'"&amp;B$4&amp;"'!$b$10:$b$44"))," ")</f>
        <v>10</v>
      </c>
      <c r="C14" s="42">
        <f t="array" aca="1" ref="C14" ca="1">_xlfn.IFNA(_xlfn.XLOOKUP($A14,INDIRECT("'"&amp;C$4&amp;"'!$E$10:$E$44"),INDIRECT("'"&amp;C$4&amp;"'!$b$10:$b$44"))," ")</f>
        <v>10</v>
      </c>
      <c r="D14" s="42">
        <f t="array" aca="1" ref="D14" ca="1">_xlfn.IFNA(_xlfn.XLOOKUP($A14,INDIRECT("'"&amp;D$4&amp;"'!$E$10:$E$44"),INDIRECT("'"&amp;D$4&amp;"'!$b$10:$b$44"))," ")</f>
        <v>15</v>
      </c>
      <c r="E14" s="42" t="str">
        <f t="array" aca="1" ref="E14" ca="1">_xlfn.IFNA(_xlfn.XLOOKUP($A14,INDIRECT("'"&amp;E$4&amp;"'!$E$10:$E$44"),INDIRECT("'"&amp;E$4&amp;"'!$b$10:$b$44"))," ")</f>
        <v xml:space="preserve"> </v>
      </c>
      <c r="F14" s="42" t="str">
        <f t="array" aca="1" ref="F14" ca="1">_xlfn.IFNA(_xlfn.XLOOKUP($A14,INDIRECT("'"&amp;F$4&amp;"'!$E$10:$E$44"),INDIRECT("'"&amp;F$4&amp;"'!$b$10:$b$44"))," ")</f>
        <v xml:space="preserve"> </v>
      </c>
      <c r="G14" s="42" t="str">
        <f t="array" aca="1" ref="G14" ca="1">_xlfn.IFNA(_xlfn.XLOOKUP($A14,INDIRECT("'"&amp;G$4&amp;"'!$E$10:$E$44"),INDIRECT("'"&amp;G$4&amp;"'!$b$10:$b$44"))," ")</f>
        <v xml:space="preserve"> </v>
      </c>
      <c r="H14" s="42" t="str">
        <f t="array" aca="1" ref="H14" ca="1">_xlfn.IFNA(_xlfn.XLOOKUP($A14,INDIRECT("'"&amp;H$4&amp;"'!$E$10:$E$44"),INDIRECT("'"&amp;H$4&amp;"'!$b$10:$b$44"))," ")</f>
        <v xml:space="preserve"> </v>
      </c>
      <c r="I14" s="42" t="str">
        <f t="array" aca="1" ref="I14" ca="1">_xlfn.IFNA(_xlfn.XLOOKUP($A14,INDIRECT("'"&amp;I$4&amp;"'!$E$10:$E$44"),INDIRECT("'"&amp;I$4&amp;"'!$b$10:$b$44"))," ")</f>
        <v xml:space="preserve"> </v>
      </c>
      <c r="J14" s="42" t="str">
        <f t="array" aca="1" ref="J14" ca="1">_xlfn.IFNA(_xlfn.XLOOKUP($A14,INDIRECT("'"&amp;J$4&amp;"'!$E$10:$E$44"),INDIRECT("'"&amp;J$4&amp;"'!$b$10:$b$44"))," ")</f>
        <v xml:space="preserve"> </v>
      </c>
      <c r="K14" s="42" t="str">
        <f t="array" aca="1" ref="K14" ca="1">_xlfn.IFNA(_xlfn.XLOOKUP($A14,INDIRECT("'"&amp;K$4&amp;"'!$E$10:$E$44"),INDIRECT("'"&amp;K$4&amp;"'!$b$10:$b$44"))," ")</f>
        <v xml:space="preserve"> </v>
      </c>
      <c r="L14" s="42" t="str">
        <f t="array" aca="1" ref="L14" ca="1">_xlfn.IFNA(_xlfn.XLOOKUP($A14,INDIRECT("'"&amp;L$4&amp;"'!$E$10:$E$44"),INDIRECT("'"&amp;L$4&amp;"'!$b$10:$b$44"))," ")</f>
        <v xml:space="preserve"> </v>
      </c>
      <c r="M14" s="42" t="str">
        <f t="array" aca="1" ref="M14" ca="1">_xlfn.IFNA(_xlfn.XLOOKUP($A14,INDIRECT("'"&amp;M$4&amp;"'!$E$10:$E$44"),INDIRECT("'"&amp;M$4&amp;"'!$b$10:$b$44"))," ")</f>
        <v xml:space="preserve"> </v>
      </c>
      <c r="N14" s="42" t="str">
        <f t="array" aca="1" ref="N14" ca="1">_xlfn.IFNA(_xlfn.XLOOKUP($A14,INDIRECT("'"&amp;N$4&amp;"'!$E$10:$E$44"),INDIRECT("'"&amp;N$4&amp;"'!$b$10:$b$44"))," ")</f>
        <v xml:space="preserve"> </v>
      </c>
      <c r="O14" s="42" t="str">
        <f t="array" aca="1" ref="O14" ca="1">_xlfn.IFNA(_xlfn.XLOOKUP($A14,INDIRECT("'"&amp;O$4&amp;"'!$E$10:$E$44"),INDIRECT("'"&amp;O$4&amp;"'!$b$10:$b$44"))," ")</f>
        <v xml:space="preserve"> </v>
      </c>
      <c r="P14" s="42" t="str">
        <f t="array" aca="1" ref="P14" ca="1">_xlfn.IFNA(_xlfn.XLOOKUP($A14,INDIRECT("'"&amp;P$4&amp;"'!$E$10:$E$44"),INDIRECT("'"&amp;P$4&amp;"'!$b$10:$b$44"))," ")</f>
        <v xml:space="preserve"> </v>
      </c>
      <c r="Q14" s="42" t="str">
        <f t="array" aca="1" ref="Q14" ca="1">_xlfn.IFNA(_xlfn.XLOOKUP($A14,INDIRECT("'"&amp;Q$4&amp;"'!$E$10:$E$44"),INDIRECT("'"&amp;Q$4&amp;"'!$b$10:$b$44"))," ")</f>
        <v xml:space="preserve"> </v>
      </c>
      <c r="T14" s="42">
        <f t="shared" ca="1" si="0"/>
        <v>35</v>
      </c>
      <c r="U14" s="19">
        <f t="shared" ca="1" si="1"/>
        <v>11.666666666666666</v>
      </c>
      <c r="V14" s="42">
        <f t="shared" ca="1" si="2"/>
        <v>15</v>
      </c>
      <c r="W14" s="42">
        <f t="shared" ca="1" si="3"/>
        <v>10</v>
      </c>
      <c r="X14" s="42">
        <f ca="1">RANK(T14,$T$5:$T$39)+COUNTIF($T$5:T14,T14)-1</f>
        <v>17</v>
      </c>
      <c r="Y14" s="34">
        <f t="array" aca="1" ref="Y14" ca="1">IFERROR(T14/SUMPRODUCT(($B14:$C14&lt;&gt;"")*$B$3:$C$3),0)</f>
        <v>1.09375</v>
      </c>
    </row>
    <row r="15" spans="1:25" x14ac:dyDescent="0.3">
      <c r="A15" t="s">
        <v>62</v>
      </c>
      <c r="B15" s="42">
        <f t="array" aca="1" ref="B15" ca="1">_xlfn.IFNA(_xlfn.XLOOKUP($A15,INDIRECT("'"&amp;B$4&amp;"'!$E$10:$E$44"),INDIRECT("'"&amp;B$4&amp;"'!$b$10:$b$44"))," ")</f>
        <v>10</v>
      </c>
      <c r="C15" s="42">
        <f t="array" aca="1" ref="C15" ca="1">_xlfn.IFNA(_xlfn.XLOOKUP($A15,INDIRECT("'"&amp;C$4&amp;"'!$E$10:$E$44"),INDIRECT("'"&amp;C$4&amp;"'!$b$10:$b$44"))," ")</f>
        <v>8</v>
      </c>
      <c r="D15" s="42">
        <f t="array" aca="1" ref="D15" ca="1">_xlfn.IFNA(_xlfn.XLOOKUP($A15,INDIRECT("'"&amp;D$4&amp;"'!$E$10:$E$44"),INDIRECT("'"&amp;D$4&amp;"'!$b$10:$b$44"))," ")</f>
        <v>15</v>
      </c>
      <c r="E15" s="42" t="str">
        <f t="array" aca="1" ref="E15" ca="1">_xlfn.IFNA(_xlfn.XLOOKUP($A15,INDIRECT("'"&amp;E$4&amp;"'!$E$10:$E$44"),INDIRECT("'"&amp;E$4&amp;"'!$b$10:$b$44"))," ")</f>
        <v xml:space="preserve"> </v>
      </c>
      <c r="F15" s="42" t="str">
        <f t="array" aca="1" ref="F15" ca="1">_xlfn.IFNA(_xlfn.XLOOKUP($A15,INDIRECT("'"&amp;F$4&amp;"'!$E$10:$E$44"),INDIRECT("'"&amp;F$4&amp;"'!$b$10:$b$44"))," ")</f>
        <v xml:space="preserve"> </v>
      </c>
      <c r="G15" s="42" t="str">
        <f t="array" aca="1" ref="G15" ca="1">_xlfn.IFNA(_xlfn.XLOOKUP($A15,INDIRECT("'"&amp;G$4&amp;"'!$E$10:$E$44"),INDIRECT("'"&amp;G$4&amp;"'!$b$10:$b$44"))," ")</f>
        <v xml:space="preserve"> </v>
      </c>
      <c r="H15" s="42" t="str">
        <f t="array" aca="1" ref="H15" ca="1">_xlfn.IFNA(_xlfn.XLOOKUP($A15,INDIRECT("'"&amp;H$4&amp;"'!$E$10:$E$44"),INDIRECT("'"&amp;H$4&amp;"'!$b$10:$b$44"))," ")</f>
        <v xml:space="preserve"> </v>
      </c>
      <c r="I15" s="42" t="str">
        <f t="array" aca="1" ref="I15" ca="1">_xlfn.IFNA(_xlfn.XLOOKUP($A15,INDIRECT("'"&amp;I$4&amp;"'!$E$10:$E$44"),INDIRECT("'"&amp;I$4&amp;"'!$b$10:$b$44"))," ")</f>
        <v xml:space="preserve"> </v>
      </c>
      <c r="J15" s="42" t="str">
        <f t="array" aca="1" ref="J15" ca="1">_xlfn.IFNA(_xlfn.XLOOKUP($A15,INDIRECT("'"&amp;J$4&amp;"'!$E$10:$E$44"),INDIRECT("'"&amp;J$4&amp;"'!$b$10:$b$44"))," ")</f>
        <v xml:space="preserve"> </v>
      </c>
      <c r="K15" s="42" t="str">
        <f t="array" aca="1" ref="K15" ca="1">_xlfn.IFNA(_xlfn.XLOOKUP($A15,INDIRECT("'"&amp;K$4&amp;"'!$E$10:$E$44"),INDIRECT("'"&amp;K$4&amp;"'!$b$10:$b$44"))," ")</f>
        <v xml:space="preserve"> </v>
      </c>
      <c r="L15" s="42" t="str">
        <f t="array" aca="1" ref="L15" ca="1">_xlfn.IFNA(_xlfn.XLOOKUP($A15,INDIRECT("'"&amp;L$4&amp;"'!$E$10:$E$44"),INDIRECT("'"&amp;L$4&amp;"'!$b$10:$b$44"))," ")</f>
        <v xml:space="preserve"> </v>
      </c>
      <c r="M15" s="42" t="str">
        <f t="array" aca="1" ref="M15" ca="1">_xlfn.IFNA(_xlfn.XLOOKUP($A15,INDIRECT("'"&amp;M$4&amp;"'!$E$10:$E$44"),INDIRECT("'"&amp;M$4&amp;"'!$b$10:$b$44"))," ")</f>
        <v xml:space="preserve"> </v>
      </c>
      <c r="N15" s="42" t="str">
        <f t="array" aca="1" ref="N15" ca="1">_xlfn.IFNA(_xlfn.XLOOKUP($A15,INDIRECT("'"&amp;N$4&amp;"'!$E$10:$E$44"),INDIRECT("'"&amp;N$4&amp;"'!$b$10:$b$44"))," ")</f>
        <v xml:space="preserve"> </v>
      </c>
      <c r="O15" s="42" t="str">
        <f t="array" aca="1" ref="O15" ca="1">_xlfn.IFNA(_xlfn.XLOOKUP($A15,INDIRECT("'"&amp;O$4&amp;"'!$E$10:$E$44"),INDIRECT("'"&amp;O$4&amp;"'!$b$10:$b$44"))," ")</f>
        <v xml:space="preserve"> </v>
      </c>
      <c r="P15" s="42" t="str">
        <f t="array" aca="1" ref="P15" ca="1">_xlfn.IFNA(_xlfn.XLOOKUP($A15,INDIRECT("'"&amp;P$4&amp;"'!$E$10:$E$44"),INDIRECT("'"&amp;P$4&amp;"'!$b$10:$b$44"))," ")</f>
        <v xml:space="preserve"> </v>
      </c>
      <c r="Q15" s="42" t="str">
        <f t="array" aca="1" ref="Q15" ca="1">_xlfn.IFNA(_xlfn.XLOOKUP($A15,INDIRECT("'"&amp;Q$4&amp;"'!$E$10:$E$44"),INDIRECT("'"&amp;Q$4&amp;"'!$b$10:$b$44"))," ")</f>
        <v xml:space="preserve"> </v>
      </c>
      <c r="T15" s="42">
        <f t="shared" ca="1" si="0"/>
        <v>33</v>
      </c>
      <c r="U15" s="19">
        <f t="shared" ca="1" si="1"/>
        <v>11</v>
      </c>
      <c r="V15" s="42">
        <f t="shared" ca="1" si="2"/>
        <v>15</v>
      </c>
      <c r="W15" s="42">
        <f t="shared" ca="1" si="3"/>
        <v>8</v>
      </c>
      <c r="X15" s="42">
        <f ca="1">RANK(T15,$T$5:$T$39)+COUNTIF($T$5:T15,T15)-1</f>
        <v>26</v>
      </c>
      <c r="Y15" s="34">
        <f t="array" aca="1" ref="Y15" ca="1">IFERROR(T15/SUMPRODUCT(($B15:$C15&lt;&gt;"")*$B$3:$C$3),0)</f>
        <v>1.03125</v>
      </c>
    </row>
    <row r="16" spans="1:25" x14ac:dyDescent="0.3">
      <c r="A16" t="s">
        <v>63</v>
      </c>
      <c r="B16" s="42">
        <f t="array" aca="1" ref="B16" ca="1">_xlfn.IFNA(_xlfn.XLOOKUP($A16,INDIRECT("'"&amp;B$4&amp;"'!$E$10:$E$44"),INDIRECT("'"&amp;B$4&amp;"'!$b$10:$b$44"))," ")</f>
        <v>12</v>
      </c>
      <c r="C16" s="42">
        <f t="array" aca="1" ref="C16" ca="1">_xlfn.IFNA(_xlfn.XLOOKUP($A16,INDIRECT("'"&amp;C$4&amp;"'!$E$10:$E$44"),INDIRECT("'"&amp;C$4&amp;"'!$b$10:$b$44"))," ")</f>
        <v>10</v>
      </c>
      <c r="D16" s="42">
        <f t="array" aca="1" ref="D16" ca="1">_xlfn.IFNA(_xlfn.XLOOKUP($A16,INDIRECT("'"&amp;D$4&amp;"'!$E$10:$E$44"),INDIRECT("'"&amp;D$4&amp;"'!$b$10:$b$44"))," ")</f>
        <v>15</v>
      </c>
      <c r="E16" s="42" t="str">
        <f t="array" aca="1" ref="E16" ca="1">_xlfn.IFNA(_xlfn.XLOOKUP($A16,INDIRECT("'"&amp;E$4&amp;"'!$E$10:$E$44"),INDIRECT("'"&amp;E$4&amp;"'!$b$10:$b$44"))," ")</f>
        <v xml:space="preserve"> </v>
      </c>
      <c r="F16" s="42" t="str">
        <f t="array" aca="1" ref="F16" ca="1">_xlfn.IFNA(_xlfn.XLOOKUP($A16,INDIRECT("'"&amp;F$4&amp;"'!$E$10:$E$44"),INDIRECT("'"&amp;F$4&amp;"'!$b$10:$b$44"))," ")</f>
        <v xml:space="preserve"> </v>
      </c>
      <c r="G16" s="42" t="str">
        <f t="array" aca="1" ref="G16" ca="1">_xlfn.IFNA(_xlfn.XLOOKUP($A16,INDIRECT("'"&amp;G$4&amp;"'!$E$10:$E$44"),INDIRECT("'"&amp;G$4&amp;"'!$b$10:$b$44"))," ")</f>
        <v xml:space="preserve"> </v>
      </c>
      <c r="H16" s="42" t="str">
        <f t="array" aca="1" ref="H16" ca="1">_xlfn.IFNA(_xlfn.XLOOKUP($A16,INDIRECT("'"&amp;H$4&amp;"'!$E$10:$E$44"),INDIRECT("'"&amp;H$4&amp;"'!$b$10:$b$44"))," ")</f>
        <v xml:space="preserve"> </v>
      </c>
      <c r="I16" s="42" t="str">
        <f t="array" aca="1" ref="I16" ca="1">_xlfn.IFNA(_xlfn.XLOOKUP($A16,INDIRECT("'"&amp;I$4&amp;"'!$E$10:$E$44"),INDIRECT("'"&amp;I$4&amp;"'!$b$10:$b$44"))," ")</f>
        <v xml:space="preserve"> </v>
      </c>
      <c r="J16" s="42" t="str">
        <f t="array" aca="1" ref="J16" ca="1">_xlfn.IFNA(_xlfn.XLOOKUP($A16,INDIRECT("'"&amp;J$4&amp;"'!$E$10:$E$44"),INDIRECT("'"&amp;J$4&amp;"'!$b$10:$b$44"))," ")</f>
        <v xml:space="preserve"> </v>
      </c>
      <c r="K16" s="42" t="str">
        <f t="array" aca="1" ref="K16" ca="1">_xlfn.IFNA(_xlfn.XLOOKUP($A16,INDIRECT("'"&amp;K$4&amp;"'!$E$10:$E$44"),INDIRECT("'"&amp;K$4&amp;"'!$b$10:$b$44"))," ")</f>
        <v xml:space="preserve"> </v>
      </c>
      <c r="L16" s="42" t="str">
        <f t="array" aca="1" ref="L16" ca="1">_xlfn.IFNA(_xlfn.XLOOKUP($A16,INDIRECT("'"&amp;L$4&amp;"'!$E$10:$E$44"),INDIRECT("'"&amp;L$4&amp;"'!$b$10:$b$44"))," ")</f>
        <v xml:space="preserve"> </v>
      </c>
      <c r="M16" s="42" t="str">
        <f t="array" aca="1" ref="M16" ca="1">_xlfn.IFNA(_xlfn.XLOOKUP($A16,INDIRECT("'"&amp;M$4&amp;"'!$E$10:$E$44"),INDIRECT("'"&amp;M$4&amp;"'!$b$10:$b$44"))," ")</f>
        <v xml:space="preserve"> </v>
      </c>
      <c r="N16" s="42" t="str">
        <f t="array" aca="1" ref="N16" ca="1">_xlfn.IFNA(_xlfn.XLOOKUP($A16,INDIRECT("'"&amp;N$4&amp;"'!$E$10:$E$44"),INDIRECT("'"&amp;N$4&amp;"'!$b$10:$b$44"))," ")</f>
        <v xml:space="preserve"> </v>
      </c>
      <c r="O16" s="42" t="str">
        <f t="array" aca="1" ref="O16" ca="1">_xlfn.IFNA(_xlfn.XLOOKUP($A16,INDIRECT("'"&amp;O$4&amp;"'!$E$10:$E$44"),INDIRECT("'"&amp;O$4&amp;"'!$b$10:$b$44"))," ")</f>
        <v xml:space="preserve"> </v>
      </c>
      <c r="P16" s="42" t="str">
        <f t="array" aca="1" ref="P16" ca="1">_xlfn.IFNA(_xlfn.XLOOKUP($A16,INDIRECT("'"&amp;P$4&amp;"'!$E$10:$E$44"),INDIRECT("'"&amp;P$4&amp;"'!$b$10:$b$44"))," ")</f>
        <v xml:space="preserve"> </v>
      </c>
      <c r="Q16" s="42" t="str">
        <f t="array" aca="1" ref="Q16" ca="1">_xlfn.IFNA(_xlfn.XLOOKUP($A16,INDIRECT("'"&amp;Q$4&amp;"'!$E$10:$E$44"),INDIRECT("'"&amp;Q$4&amp;"'!$b$10:$b$44"))," ")</f>
        <v xml:space="preserve"> </v>
      </c>
      <c r="T16" s="42">
        <f t="shared" ca="1" si="0"/>
        <v>37</v>
      </c>
      <c r="U16" s="19">
        <f t="shared" ca="1" si="1"/>
        <v>12.333333333333334</v>
      </c>
      <c r="V16" s="42">
        <f t="shared" ca="1" si="2"/>
        <v>15</v>
      </c>
      <c r="W16" s="42">
        <f t="shared" ca="1" si="3"/>
        <v>10</v>
      </c>
      <c r="X16" s="42">
        <f ca="1">RANK(T16,$T$5:$T$39)+COUNTIF($T$5:T16,T16)-1</f>
        <v>8</v>
      </c>
      <c r="Y16" s="34">
        <f t="array" aca="1" ref="Y16" ca="1">IFERROR(T16/SUMPRODUCT(($B16:$C16&lt;&gt;"")*$B$3:$C$3),0)</f>
        <v>1.15625</v>
      </c>
    </row>
    <row r="17" spans="1:25" x14ac:dyDescent="0.3">
      <c r="A17" t="s">
        <v>64</v>
      </c>
      <c r="B17" s="42">
        <f t="array" aca="1" ref="B17" ca="1">_xlfn.IFNA(_xlfn.XLOOKUP($A17,INDIRECT("'"&amp;B$4&amp;"'!$E$10:$E$44"),INDIRECT("'"&amp;B$4&amp;"'!$b$10:$b$44"))," ")</f>
        <v>12</v>
      </c>
      <c r="C17" s="42">
        <f t="array" aca="1" ref="C17" ca="1">_xlfn.IFNA(_xlfn.XLOOKUP($A17,INDIRECT("'"&amp;C$4&amp;"'!$E$10:$E$44"),INDIRECT("'"&amp;C$4&amp;"'!$b$10:$b$44"))," ")</f>
        <v>9</v>
      </c>
      <c r="D17" s="42">
        <f t="array" aca="1" ref="D17" ca="1">_xlfn.IFNA(_xlfn.XLOOKUP($A17,INDIRECT("'"&amp;D$4&amp;"'!$E$10:$E$44"),INDIRECT("'"&amp;D$4&amp;"'!$b$10:$b$44"))," ")</f>
        <v>15</v>
      </c>
      <c r="E17" s="42" t="str">
        <f t="array" aca="1" ref="E17" ca="1">_xlfn.IFNA(_xlfn.XLOOKUP($A17,INDIRECT("'"&amp;E$4&amp;"'!$E$10:$E$44"),INDIRECT("'"&amp;E$4&amp;"'!$b$10:$b$44"))," ")</f>
        <v xml:space="preserve"> </v>
      </c>
      <c r="F17" s="42" t="str">
        <f t="array" aca="1" ref="F17" ca="1">_xlfn.IFNA(_xlfn.XLOOKUP($A17,INDIRECT("'"&amp;F$4&amp;"'!$E$10:$E$44"),INDIRECT("'"&amp;F$4&amp;"'!$b$10:$b$44"))," ")</f>
        <v xml:space="preserve"> </v>
      </c>
      <c r="G17" s="42" t="str">
        <f t="array" aca="1" ref="G17" ca="1">_xlfn.IFNA(_xlfn.XLOOKUP($A17,INDIRECT("'"&amp;G$4&amp;"'!$E$10:$E$44"),INDIRECT("'"&amp;G$4&amp;"'!$b$10:$b$44"))," ")</f>
        <v xml:space="preserve"> </v>
      </c>
      <c r="H17" s="42" t="str">
        <f t="array" aca="1" ref="H17" ca="1">_xlfn.IFNA(_xlfn.XLOOKUP($A17,INDIRECT("'"&amp;H$4&amp;"'!$E$10:$E$44"),INDIRECT("'"&amp;H$4&amp;"'!$b$10:$b$44"))," ")</f>
        <v xml:space="preserve"> </v>
      </c>
      <c r="I17" s="42" t="str">
        <f t="array" aca="1" ref="I17" ca="1">_xlfn.IFNA(_xlfn.XLOOKUP($A17,INDIRECT("'"&amp;I$4&amp;"'!$E$10:$E$44"),INDIRECT("'"&amp;I$4&amp;"'!$b$10:$b$44"))," ")</f>
        <v xml:space="preserve"> </v>
      </c>
      <c r="J17" s="42" t="str">
        <f t="array" aca="1" ref="J17" ca="1">_xlfn.IFNA(_xlfn.XLOOKUP($A17,INDIRECT("'"&amp;J$4&amp;"'!$E$10:$E$44"),INDIRECT("'"&amp;J$4&amp;"'!$b$10:$b$44"))," ")</f>
        <v xml:space="preserve"> </v>
      </c>
      <c r="K17" s="42" t="str">
        <f t="array" aca="1" ref="K17" ca="1">_xlfn.IFNA(_xlfn.XLOOKUP($A17,INDIRECT("'"&amp;K$4&amp;"'!$E$10:$E$44"),INDIRECT("'"&amp;K$4&amp;"'!$b$10:$b$44"))," ")</f>
        <v xml:space="preserve"> </v>
      </c>
      <c r="L17" s="42" t="str">
        <f t="array" aca="1" ref="L17" ca="1">_xlfn.IFNA(_xlfn.XLOOKUP($A17,INDIRECT("'"&amp;L$4&amp;"'!$E$10:$E$44"),INDIRECT("'"&amp;L$4&amp;"'!$b$10:$b$44"))," ")</f>
        <v xml:space="preserve"> </v>
      </c>
      <c r="M17" s="42" t="str">
        <f t="array" aca="1" ref="M17" ca="1">_xlfn.IFNA(_xlfn.XLOOKUP($A17,INDIRECT("'"&amp;M$4&amp;"'!$E$10:$E$44"),INDIRECT("'"&amp;M$4&amp;"'!$b$10:$b$44"))," ")</f>
        <v xml:space="preserve"> </v>
      </c>
      <c r="N17" s="42" t="str">
        <f t="array" aca="1" ref="N17" ca="1">_xlfn.IFNA(_xlfn.XLOOKUP($A17,INDIRECT("'"&amp;N$4&amp;"'!$E$10:$E$44"),INDIRECT("'"&amp;N$4&amp;"'!$b$10:$b$44"))," ")</f>
        <v xml:space="preserve"> </v>
      </c>
      <c r="O17" s="42" t="str">
        <f t="array" aca="1" ref="O17" ca="1">_xlfn.IFNA(_xlfn.XLOOKUP($A17,INDIRECT("'"&amp;O$4&amp;"'!$E$10:$E$44"),INDIRECT("'"&amp;O$4&amp;"'!$b$10:$b$44"))," ")</f>
        <v xml:space="preserve"> </v>
      </c>
      <c r="P17" s="42" t="str">
        <f t="array" aca="1" ref="P17" ca="1">_xlfn.IFNA(_xlfn.XLOOKUP($A17,INDIRECT("'"&amp;P$4&amp;"'!$E$10:$E$44"),INDIRECT("'"&amp;P$4&amp;"'!$b$10:$b$44"))," ")</f>
        <v xml:space="preserve"> </v>
      </c>
      <c r="Q17" s="42" t="str">
        <f t="array" aca="1" ref="Q17" ca="1">_xlfn.IFNA(_xlfn.XLOOKUP($A17,INDIRECT("'"&amp;Q$4&amp;"'!$E$10:$E$44"),INDIRECT("'"&amp;Q$4&amp;"'!$b$10:$b$44"))," ")</f>
        <v xml:space="preserve"> </v>
      </c>
      <c r="T17" s="42">
        <f t="shared" ca="1" si="0"/>
        <v>36</v>
      </c>
      <c r="U17" s="19">
        <f t="shared" ca="1" si="1"/>
        <v>12</v>
      </c>
      <c r="V17" s="42">
        <f t="shared" ca="1" si="2"/>
        <v>15</v>
      </c>
      <c r="W17" s="42">
        <f t="shared" ca="1" si="3"/>
        <v>9</v>
      </c>
      <c r="X17" s="42">
        <f ca="1">RANK(T17,$T$5:$T$39)+COUNTIF($T$5:T17,T17)-1</f>
        <v>11</v>
      </c>
      <c r="Y17" s="34">
        <f t="array" aca="1" ref="Y17" ca="1">IFERROR(T17/SUMPRODUCT(($B17:$C17&lt;&gt;"")*$B$3:$C$3),0)</f>
        <v>1.125</v>
      </c>
    </row>
    <row r="18" spans="1:25" x14ac:dyDescent="0.3">
      <c r="A18" t="s">
        <v>65</v>
      </c>
      <c r="B18" s="42">
        <f t="array" aca="1" ref="B18" ca="1">_xlfn.IFNA(_xlfn.XLOOKUP($A18,INDIRECT("'"&amp;B$4&amp;"'!$E$10:$E$44"),INDIRECT("'"&amp;B$4&amp;"'!$b$10:$b$44"))," ")</f>
        <v>8</v>
      </c>
      <c r="C18" s="42">
        <f t="array" aca="1" ref="C18" ca="1">_xlfn.IFNA(_xlfn.XLOOKUP($A18,INDIRECT("'"&amp;C$4&amp;"'!$E$10:$E$44"),INDIRECT("'"&amp;C$4&amp;"'!$b$10:$b$44"))," ")</f>
        <v>7</v>
      </c>
      <c r="D18" s="42">
        <f t="array" aca="1" ref="D18" ca="1">_xlfn.IFNA(_xlfn.XLOOKUP($A18,INDIRECT("'"&amp;D$4&amp;"'!$E$10:$E$44"),INDIRECT("'"&amp;D$4&amp;"'!$b$10:$b$44"))," ")</f>
        <v>16</v>
      </c>
      <c r="E18" s="42" t="str">
        <f t="array" aca="1" ref="E18" ca="1">_xlfn.IFNA(_xlfn.XLOOKUP($A18,INDIRECT("'"&amp;E$4&amp;"'!$E$10:$E$44"),INDIRECT("'"&amp;E$4&amp;"'!$b$10:$b$44"))," ")</f>
        <v xml:space="preserve"> </v>
      </c>
      <c r="F18" s="42" t="str">
        <f t="array" aca="1" ref="F18" ca="1">_xlfn.IFNA(_xlfn.XLOOKUP($A18,INDIRECT("'"&amp;F$4&amp;"'!$E$10:$E$44"),INDIRECT("'"&amp;F$4&amp;"'!$b$10:$b$44"))," ")</f>
        <v xml:space="preserve"> </v>
      </c>
      <c r="G18" s="42" t="str">
        <f t="array" aca="1" ref="G18" ca="1">_xlfn.IFNA(_xlfn.XLOOKUP($A18,INDIRECT("'"&amp;G$4&amp;"'!$E$10:$E$44"),INDIRECT("'"&amp;G$4&amp;"'!$b$10:$b$44"))," ")</f>
        <v xml:space="preserve"> </v>
      </c>
      <c r="H18" s="42" t="str">
        <f t="array" aca="1" ref="H18" ca="1">_xlfn.IFNA(_xlfn.XLOOKUP($A18,INDIRECT("'"&amp;H$4&amp;"'!$E$10:$E$44"),INDIRECT("'"&amp;H$4&amp;"'!$b$10:$b$44"))," ")</f>
        <v xml:space="preserve"> </v>
      </c>
      <c r="I18" s="42" t="str">
        <f t="array" aca="1" ref="I18" ca="1">_xlfn.IFNA(_xlfn.XLOOKUP($A18,INDIRECT("'"&amp;I$4&amp;"'!$E$10:$E$44"),INDIRECT("'"&amp;I$4&amp;"'!$b$10:$b$44"))," ")</f>
        <v xml:space="preserve"> </v>
      </c>
      <c r="J18" s="42" t="str">
        <f t="array" aca="1" ref="J18" ca="1">_xlfn.IFNA(_xlfn.XLOOKUP($A18,INDIRECT("'"&amp;J$4&amp;"'!$E$10:$E$44"),INDIRECT("'"&amp;J$4&amp;"'!$b$10:$b$44"))," ")</f>
        <v xml:space="preserve"> </v>
      </c>
      <c r="K18" s="42" t="str">
        <f t="array" aca="1" ref="K18" ca="1">_xlfn.IFNA(_xlfn.XLOOKUP($A18,INDIRECT("'"&amp;K$4&amp;"'!$E$10:$E$44"),INDIRECT("'"&amp;K$4&amp;"'!$b$10:$b$44"))," ")</f>
        <v xml:space="preserve"> </v>
      </c>
      <c r="L18" s="42" t="str">
        <f t="array" aca="1" ref="L18" ca="1">_xlfn.IFNA(_xlfn.XLOOKUP($A18,INDIRECT("'"&amp;L$4&amp;"'!$E$10:$E$44"),INDIRECT("'"&amp;L$4&amp;"'!$b$10:$b$44"))," ")</f>
        <v xml:space="preserve"> </v>
      </c>
      <c r="M18" s="42" t="str">
        <f t="array" aca="1" ref="M18" ca="1">_xlfn.IFNA(_xlfn.XLOOKUP($A18,INDIRECT("'"&amp;M$4&amp;"'!$E$10:$E$44"),INDIRECT("'"&amp;M$4&amp;"'!$b$10:$b$44"))," ")</f>
        <v xml:space="preserve"> </v>
      </c>
      <c r="N18" s="42" t="str">
        <f t="array" aca="1" ref="N18" ca="1">_xlfn.IFNA(_xlfn.XLOOKUP($A18,INDIRECT("'"&amp;N$4&amp;"'!$E$10:$E$44"),INDIRECT("'"&amp;N$4&amp;"'!$b$10:$b$44"))," ")</f>
        <v xml:space="preserve"> </v>
      </c>
      <c r="O18" s="42" t="str">
        <f t="array" aca="1" ref="O18" ca="1">_xlfn.IFNA(_xlfn.XLOOKUP($A18,INDIRECT("'"&amp;O$4&amp;"'!$E$10:$E$44"),INDIRECT("'"&amp;O$4&amp;"'!$b$10:$b$44"))," ")</f>
        <v xml:space="preserve"> </v>
      </c>
      <c r="P18" s="42" t="str">
        <f t="array" aca="1" ref="P18" ca="1">_xlfn.IFNA(_xlfn.XLOOKUP($A18,INDIRECT("'"&amp;P$4&amp;"'!$E$10:$E$44"),INDIRECT("'"&amp;P$4&amp;"'!$b$10:$b$44"))," ")</f>
        <v xml:space="preserve"> </v>
      </c>
      <c r="Q18" s="42" t="str">
        <f t="array" aca="1" ref="Q18" ca="1">_xlfn.IFNA(_xlfn.XLOOKUP($A18,INDIRECT("'"&amp;Q$4&amp;"'!$E$10:$E$44"),INDIRECT("'"&amp;Q$4&amp;"'!$b$10:$b$44"))," ")</f>
        <v xml:space="preserve"> </v>
      </c>
      <c r="T18" s="42">
        <f t="shared" ca="1" si="0"/>
        <v>31</v>
      </c>
      <c r="U18" s="19">
        <f t="shared" ca="1" si="1"/>
        <v>10.333333333333334</v>
      </c>
      <c r="V18" s="42">
        <f t="shared" ca="1" si="2"/>
        <v>16</v>
      </c>
      <c r="W18" s="42">
        <f t="shared" ca="1" si="3"/>
        <v>7</v>
      </c>
      <c r="X18" s="42">
        <f ca="1">RANK(T18,$T$5:$T$39)+COUNTIF($T$5:T18,T18)-1</f>
        <v>32</v>
      </c>
      <c r="Y18" s="34">
        <f t="array" aca="1" ref="Y18" ca="1">IFERROR(T18/SUMPRODUCT(($B18:$C18&lt;&gt;"")*$B$3:$C$3),0)</f>
        <v>0.96875</v>
      </c>
    </row>
    <row r="19" spans="1:25" x14ac:dyDescent="0.3">
      <c r="A19" t="s">
        <v>18</v>
      </c>
      <c r="B19" s="42">
        <f t="array" aca="1" ref="B19" ca="1">_xlfn.IFNA(_xlfn.XLOOKUP($A19,INDIRECT("'"&amp;B$4&amp;"'!$E$10:$E$44"),INDIRECT("'"&amp;B$4&amp;"'!$b$10:$b$44"))," ")</f>
        <v>13</v>
      </c>
      <c r="C19" s="42">
        <f t="array" aca="1" ref="C19" ca="1">_xlfn.IFNA(_xlfn.XLOOKUP($A19,INDIRECT("'"&amp;C$4&amp;"'!$E$10:$E$44"),INDIRECT("'"&amp;C$4&amp;"'!$b$10:$b$44"))," ")</f>
        <v>14</v>
      </c>
      <c r="D19" s="42">
        <f t="array" aca="1" ref="D19" ca="1">_xlfn.IFNA(_xlfn.XLOOKUP($A19,INDIRECT("'"&amp;D$4&amp;"'!$E$10:$E$44"),INDIRECT("'"&amp;D$4&amp;"'!$b$10:$b$44"))," ")</f>
        <v>16</v>
      </c>
      <c r="E19" s="42" t="str">
        <f t="array" aca="1" ref="E19" ca="1">_xlfn.IFNA(_xlfn.XLOOKUP($A19,INDIRECT("'"&amp;E$4&amp;"'!$E$10:$E$44"),INDIRECT("'"&amp;E$4&amp;"'!$b$10:$b$44"))," ")</f>
        <v xml:space="preserve"> </v>
      </c>
      <c r="F19" s="42" t="str">
        <f t="array" aca="1" ref="F19" ca="1">_xlfn.IFNA(_xlfn.XLOOKUP($A19,INDIRECT("'"&amp;F$4&amp;"'!$E$10:$E$44"),INDIRECT("'"&amp;F$4&amp;"'!$b$10:$b$44"))," ")</f>
        <v xml:space="preserve"> </v>
      </c>
      <c r="G19" s="42" t="str">
        <f t="array" aca="1" ref="G19" ca="1">_xlfn.IFNA(_xlfn.XLOOKUP($A19,INDIRECT("'"&amp;G$4&amp;"'!$E$10:$E$44"),INDIRECT("'"&amp;G$4&amp;"'!$b$10:$b$44"))," ")</f>
        <v xml:space="preserve"> </v>
      </c>
      <c r="H19" s="42" t="str">
        <f t="array" aca="1" ref="H19" ca="1">_xlfn.IFNA(_xlfn.XLOOKUP($A19,INDIRECT("'"&amp;H$4&amp;"'!$E$10:$E$44"),INDIRECT("'"&amp;H$4&amp;"'!$b$10:$b$44"))," ")</f>
        <v xml:space="preserve"> </v>
      </c>
      <c r="I19" s="42" t="str">
        <f t="array" aca="1" ref="I19" ca="1">_xlfn.IFNA(_xlfn.XLOOKUP($A19,INDIRECT("'"&amp;I$4&amp;"'!$E$10:$E$44"),INDIRECT("'"&amp;I$4&amp;"'!$b$10:$b$44"))," ")</f>
        <v xml:space="preserve"> </v>
      </c>
      <c r="J19" s="42" t="str">
        <f t="array" aca="1" ref="J19" ca="1">_xlfn.IFNA(_xlfn.XLOOKUP($A19,INDIRECT("'"&amp;J$4&amp;"'!$E$10:$E$44"),INDIRECT("'"&amp;J$4&amp;"'!$b$10:$b$44"))," ")</f>
        <v xml:space="preserve"> </v>
      </c>
      <c r="K19" s="42" t="str">
        <f t="array" aca="1" ref="K19" ca="1">_xlfn.IFNA(_xlfn.XLOOKUP($A19,INDIRECT("'"&amp;K$4&amp;"'!$E$10:$E$44"),INDIRECT("'"&amp;K$4&amp;"'!$b$10:$b$44"))," ")</f>
        <v xml:space="preserve"> </v>
      </c>
      <c r="L19" s="42" t="str">
        <f t="array" aca="1" ref="L19" ca="1">_xlfn.IFNA(_xlfn.XLOOKUP($A19,INDIRECT("'"&amp;L$4&amp;"'!$E$10:$E$44"),INDIRECT("'"&amp;L$4&amp;"'!$b$10:$b$44"))," ")</f>
        <v xml:space="preserve"> </v>
      </c>
      <c r="M19" s="42" t="str">
        <f t="array" aca="1" ref="M19" ca="1">_xlfn.IFNA(_xlfn.XLOOKUP($A19,INDIRECT("'"&amp;M$4&amp;"'!$E$10:$E$44"),INDIRECT("'"&amp;M$4&amp;"'!$b$10:$b$44"))," ")</f>
        <v xml:space="preserve"> </v>
      </c>
      <c r="N19" s="42" t="str">
        <f t="array" aca="1" ref="N19" ca="1">_xlfn.IFNA(_xlfn.XLOOKUP($A19,INDIRECT("'"&amp;N$4&amp;"'!$E$10:$E$44"),INDIRECT("'"&amp;N$4&amp;"'!$b$10:$b$44"))," ")</f>
        <v xml:space="preserve"> </v>
      </c>
      <c r="O19" s="42" t="str">
        <f t="array" aca="1" ref="O19" ca="1">_xlfn.IFNA(_xlfn.XLOOKUP($A19,INDIRECT("'"&amp;O$4&amp;"'!$E$10:$E$44"),INDIRECT("'"&amp;O$4&amp;"'!$b$10:$b$44"))," ")</f>
        <v xml:space="preserve"> </v>
      </c>
      <c r="P19" s="42" t="str">
        <f t="array" aca="1" ref="P19" ca="1">_xlfn.IFNA(_xlfn.XLOOKUP($A19,INDIRECT("'"&amp;P$4&amp;"'!$E$10:$E$44"),INDIRECT("'"&amp;P$4&amp;"'!$b$10:$b$44"))," ")</f>
        <v xml:space="preserve"> </v>
      </c>
      <c r="Q19" s="42" t="str">
        <f t="array" aca="1" ref="Q19" ca="1">_xlfn.IFNA(_xlfn.XLOOKUP($A19,INDIRECT("'"&amp;Q$4&amp;"'!$E$10:$E$44"),INDIRECT("'"&amp;Q$4&amp;"'!$b$10:$b$44"))," ")</f>
        <v xml:space="preserve"> </v>
      </c>
      <c r="T19" s="42">
        <f t="shared" ca="1" si="0"/>
        <v>43</v>
      </c>
      <c r="U19" s="19">
        <f t="shared" ca="1" si="1"/>
        <v>14.333333333333334</v>
      </c>
      <c r="V19" s="42">
        <f t="shared" ca="1" si="2"/>
        <v>16</v>
      </c>
      <c r="W19" s="42">
        <f t="shared" ca="1" si="3"/>
        <v>13</v>
      </c>
      <c r="X19" s="42">
        <f ca="1">RANK(T19,$T$5:$T$39)+COUNTIF($T$5:T19,T19)-1</f>
        <v>1</v>
      </c>
      <c r="Y19" s="34">
        <f t="array" aca="1" ref="Y19" ca="1">IFERROR(T19/SUMPRODUCT(($B19:$C19&lt;&gt;"")*$B$3:$C$3),0)</f>
        <v>1.34375</v>
      </c>
    </row>
    <row r="20" spans="1:25" x14ac:dyDescent="0.3">
      <c r="A20" t="s">
        <v>66</v>
      </c>
      <c r="B20" s="42">
        <f t="array" aca="1" ref="B20" ca="1">_xlfn.IFNA(_xlfn.XLOOKUP($A20,INDIRECT("'"&amp;B$4&amp;"'!$E$10:$E$44"),INDIRECT("'"&amp;B$4&amp;"'!$b$10:$b$44"))," ")</f>
        <v>10</v>
      </c>
      <c r="C20" s="42">
        <f t="array" aca="1" ref="C20" ca="1">_xlfn.IFNA(_xlfn.XLOOKUP($A20,INDIRECT("'"&amp;C$4&amp;"'!$E$10:$E$44"),INDIRECT("'"&amp;C$4&amp;"'!$b$10:$b$44"))," ")</f>
        <v>9</v>
      </c>
      <c r="D20" s="42">
        <f t="array" aca="1" ref="D20" ca="1">_xlfn.IFNA(_xlfn.XLOOKUP($A20,INDIRECT("'"&amp;D$4&amp;"'!$E$10:$E$44"),INDIRECT("'"&amp;D$4&amp;"'!$b$10:$b$44"))," ")</f>
        <v>15</v>
      </c>
      <c r="E20" s="42" t="str">
        <f t="array" aca="1" ref="E20" ca="1">_xlfn.IFNA(_xlfn.XLOOKUP($A20,INDIRECT("'"&amp;E$4&amp;"'!$E$10:$E$44"),INDIRECT("'"&amp;E$4&amp;"'!$b$10:$b$44"))," ")</f>
        <v xml:space="preserve"> </v>
      </c>
      <c r="F20" s="42" t="str">
        <f t="array" aca="1" ref="F20" ca="1">_xlfn.IFNA(_xlfn.XLOOKUP($A20,INDIRECT("'"&amp;F$4&amp;"'!$E$10:$E$44"),INDIRECT("'"&amp;F$4&amp;"'!$b$10:$b$44"))," ")</f>
        <v xml:space="preserve"> </v>
      </c>
      <c r="G20" s="42" t="str">
        <f t="array" aca="1" ref="G20" ca="1">_xlfn.IFNA(_xlfn.XLOOKUP($A20,INDIRECT("'"&amp;G$4&amp;"'!$E$10:$E$44"),INDIRECT("'"&amp;G$4&amp;"'!$b$10:$b$44"))," ")</f>
        <v xml:space="preserve"> </v>
      </c>
      <c r="H20" s="42" t="str">
        <f t="array" aca="1" ref="H20" ca="1">_xlfn.IFNA(_xlfn.XLOOKUP($A20,INDIRECT("'"&amp;H$4&amp;"'!$E$10:$E$44"),INDIRECT("'"&amp;H$4&amp;"'!$b$10:$b$44"))," ")</f>
        <v xml:space="preserve"> </v>
      </c>
      <c r="I20" s="42" t="str">
        <f t="array" aca="1" ref="I20" ca="1">_xlfn.IFNA(_xlfn.XLOOKUP($A20,INDIRECT("'"&amp;I$4&amp;"'!$E$10:$E$44"),INDIRECT("'"&amp;I$4&amp;"'!$b$10:$b$44"))," ")</f>
        <v xml:space="preserve"> </v>
      </c>
      <c r="J20" s="42" t="str">
        <f t="array" aca="1" ref="J20" ca="1">_xlfn.IFNA(_xlfn.XLOOKUP($A20,INDIRECT("'"&amp;J$4&amp;"'!$E$10:$E$44"),INDIRECT("'"&amp;J$4&amp;"'!$b$10:$b$44"))," ")</f>
        <v xml:space="preserve"> </v>
      </c>
      <c r="K20" s="42" t="str">
        <f t="array" aca="1" ref="K20" ca="1">_xlfn.IFNA(_xlfn.XLOOKUP($A20,INDIRECT("'"&amp;K$4&amp;"'!$E$10:$E$44"),INDIRECT("'"&amp;K$4&amp;"'!$b$10:$b$44"))," ")</f>
        <v xml:space="preserve"> </v>
      </c>
      <c r="L20" s="42" t="str">
        <f t="array" aca="1" ref="L20" ca="1">_xlfn.IFNA(_xlfn.XLOOKUP($A20,INDIRECT("'"&amp;L$4&amp;"'!$E$10:$E$44"),INDIRECT("'"&amp;L$4&amp;"'!$b$10:$b$44"))," ")</f>
        <v xml:space="preserve"> </v>
      </c>
      <c r="M20" s="42" t="str">
        <f t="array" aca="1" ref="M20" ca="1">_xlfn.IFNA(_xlfn.XLOOKUP($A20,INDIRECT("'"&amp;M$4&amp;"'!$E$10:$E$44"),INDIRECT("'"&amp;M$4&amp;"'!$b$10:$b$44"))," ")</f>
        <v xml:space="preserve"> </v>
      </c>
      <c r="N20" s="42" t="str">
        <f t="array" aca="1" ref="N20" ca="1">_xlfn.IFNA(_xlfn.XLOOKUP($A20,INDIRECT("'"&amp;N$4&amp;"'!$E$10:$E$44"),INDIRECT("'"&amp;N$4&amp;"'!$b$10:$b$44"))," ")</f>
        <v xml:space="preserve"> </v>
      </c>
      <c r="O20" s="42" t="str">
        <f t="array" aca="1" ref="O20" ca="1">_xlfn.IFNA(_xlfn.XLOOKUP($A20,INDIRECT("'"&amp;O$4&amp;"'!$E$10:$E$44"),INDIRECT("'"&amp;O$4&amp;"'!$b$10:$b$44"))," ")</f>
        <v xml:space="preserve"> </v>
      </c>
      <c r="P20" s="42" t="str">
        <f t="array" aca="1" ref="P20" ca="1">_xlfn.IFNA(_xlfn.XLOOKUP($A20,INDIRECT("'"&amp;P$4&amp;"'!$E$10:$E$44"),INDIRECT("'"&amp;P$4&amp;"'!$b$10:$b$44"))," ")</f>
        <v xml:space="preserve"> </v>
      </c>
      <c r="Q20" s="42" t="str">
        <f t="array" aca="1" ref="Q20" ca="1">_xlfn.IFNA(_xlfn.XLOOKUP($A20,INDIRECT("'"&amp;Q$4&amp;"'!$E$10:$E$44"),INDIRECT("'"&amp;Q$4&amp;"'!$b$10:$b$44"))," ")</f>
        <v xml:space="preserve"> </v>
      </c>
      <c r="T20" s="42">
        <f t="shared" ca="1" si="0"/>
        <v>34</v>
      </c>
      <c r="U20" s="19">
        <f t="shared" ca="1" si="1"/>
        <v>11.333333333333334</v>
      </c>
      <c r="V20" s="42">
        <f t="shared" ca="1" si="2"/>
        <v>15</v>
      </c>
      <c r="W20" s="42">
        <f t="shared" ca="1" si="3"/>
        <v>9</v>
      </c>
      <c r="X20" s="42">
        <f ca="1">RANK(T20,$T$5:$T$39)+COUNTIF($T$5:T20,T20)-1</f>
        <v>22</v>
      </c>
      <c r="Y20" s="34">
        <f t="array" aca="1" ref="Y20" ca="1">IFERROR(T20/SUMPRODUCT(($B20:$C20&lt;&gt;"")*$B$3:$C$3),0)</f>
        <v>1.0625</v>
      </c>
    </row>
    <row r="21" spans="1:25" x14ac:dyDescent="0.3">
      <c r="A21" t="s">
        <v>67</v>
      </c>
      <c r="B21" s="42">
        <f t="array" aca="1" ref="B21" ca="1">_xlfn.IFNA(_xlfn.XLOOKUP($A21,INDIRECT("'"&amp;B$4&amp;"'!$E$10:$E$44"),INDIRECT("'"&amp;B$4&amp;"'!$b$10:$b$44"))," ")</f>
        <v>11</v>
      </c>
      <c r="C21" s="42">
        <f t="array" aca="1" ref="C21" ca="1">_xlfn.IFNA(_xlfn.XLOOKUP($A21,INDIRECT("'"&amp;C$4&amp;"'!$E$10:$E$44"),INDIRECT("'"&amp;C$4&amp;"'!$b$10:$b$44"))," ")</f>
        <v>9</v>
      </c>
      <c r="D21" s="42">
        <f t="array" aca="1" ref="D21" ca="1">_xlfn.IFNA(_xlfn.XLOOKUP($A21,INDIRECT("'"&amp;D$4&amp;"'!$E$10:$E$44"),INDIRECT("'"&amp;D$4&amp;"'!$b$10:$b$44"))," ")</f>
        <v>15</v>
      </c>
      <c r="E21" s="42" t="str">
        <f t="array" aca="1" ref="E21" ca="1">_xlfn.IFNA(_xlfn.XLOOKUP($A21,INDIRECT("'"&amp;E$4&amp;"'!$E$10:$E$44"),INDIRECT("'"&amp;E$4&amp;"'!$b$10:$b$44"))," ")</f>
        <v xml:space="preserve"> </v>
      </c>
      <c r="F21" s="42" t="str">
        <f t="array" aca="1" ref="F21" ca="1">_xlfn.IFNA(_xlfn.XLOOKUP($A21,INDIRECT("'"&amp;F$4&amp;"'!$E$10:$E$44"),INDIRECT("'"&amp;F$4&amp;"'!$b$10:$b$44"))," ")</f>
        <v xml:space="preserve"> </v>
      </c>
      <c r="G21" s="42" t="str">
        <f t="array" aca="1" ref="G21" ca="1">_xlfn.IFNA(_xlfn.XLOOKUP($A21,INDIRECT("'"&amp;G$4&amp;"'!$E$10:$E$44"),INDIRECT("'"&amp;G$4&amp;"'!$b$10:$b$44"))," ")</f>
        <v xml:space="preserve"> </v>
      </c>
      <c r="H21" s="42" t="str">
        <f t="array" aca="1" ref="H21" ca="1">_xlfn.IFNA(_xlfn.XLOOKUP($A21,INDIRECT("'"&amp;H$4&amp;"'!$E$10:$E$44"),INDIRECT("'"&amp;H$4&amp;"'!$b$10:$b$44"))," ")</f>
        <v xml:space="preserve"> </v>
      </c>
      <c r="I21" s="42" t="str">
        <f t="array" aca="1" ref="I21" ca="1">_xlfn.IFNA(_xlfn.XLOOKUP($A21,INDIRECT("'"&amp;I$4&amp;"'!$E$10:$E$44"),INDIRECT("'"&amp;I$4&amp;"'!$b$10:$b$44"))," ")</f>
        <v xml:space="preserve"> </v>
      </c>
      <c r="J21" s="42" t="str">
        <f t="array" aca="1" ref="J21" ca="1">_xlfn.IFNA(_xlfn.XLOOKUP($A21,INDIRECT("'"&amp;J$4&amp;"'!$E$10:$E$44"),INDIRECT("'"&amp;J$4&amp;"'!$b$10:$b$44"))," ")</f>
        <v xml:space="preserve"> </v>
      </c>
      <c r="K21" s="42" t="str">
        <f t="array" aca="1" ref="K21" ca="1">_xlfn.IFNA(_xlfn.XLOOKUP($A21,INDIRECT("'"&amp;K$4&amp;"'!$E$10:$E$44"),INDIRECT("'"&amp;K$4&amp;"'!$b$10:$b$44"))," ")</f>
        <v xml:space="preserve"> </v>
      </c>
      <c r="L21" s="42" t="str">
        <f t="array" aca="1" ref="L21" ca="1">_xlfn.IFNA(_xlfn.XLOOKUP($A21,INDIRECT("'"&amp;L$4&amp;"'!$E$10:$E$44"),INDIRECT("'"&amp;L$4&amp;"'!$b$10:$b$44"))," ")</f>
        <v xml:space="preserve"> </v>
      </c>
      <c r="M21" s="42" t="str">
        <f t="array" aca="1" ref="M21" ca="1">_xlfn.IFNA(_xlfn.XLOOKUP($A21,INDIRECT("'"&amp;M$4&amp;"'!$E$10:$E$44"),INDIRECT("'"&amp;M$4&amp;"'!$b$10:$b$44"))," ")</f>
        <v xml:space="preserve"> </v>
      </c>
      <c r="N21" s="42" t="str">
        <f t="array" aca="1" ref="N21" ca="1">_xlfn.IFNA(_xlfn.XLOOKUP($A21,INDIRECT("'"&amp;N$4&amp;"'!$E$10:$E$44"),INDIRECT("'"&amp;N$4&amp;"'!$b$10:$b$44"))," ")</f>
        <v xml:space="preserve"> </v>
      </c>
      <c r="O21" s="42" t="str">
        <f t="array" aca="1" ref="O21" ca="1">_xlfn.IFNA(_xlfn.XLOOKUP($A21,INDIRECT("'"&amp;O$4&amp;"'!$E$10:$E$44"),INDIRECT("'"&amp;O$4&amp;"'!$b$10:$b$44"))," ")</f>
        <v xml:space="preserve"> </v>
      </c>
      <c r="P21" s="42" t="str">
        <f t="array" aca="1" ref="P21" ca="1">_xlfn.IFNA(_xlfn.XLOOKUP($A21,INDIRECT("'"&amp;P$4&amp;"'!$E$10:$E$44"),INDIRECT("'"&amp;P$4&amp;"'!$b$10:$b$44"))," ")</f>
        <v xml:space="preserve"> </v>
      </c>
      <c r="Q21" s="42" t="str">
        <f t="array" aca="1" ref="Q21" ca="1">_xlfn.IFNA(_xlfn.XLOOKUP($A21,INDIRECT("'"&amp;Q$4&amp;"'!$E$10:$E$44"),INDIRECT("'"&amp;Q$4&amp;"'!$b$10:$b$44"))," ")</f>
        <v xml:space="preserve"> </v>
      </c>
      <c r="T21" s="42">
        <f t="shared" ca="1" si="0"/>
        <v>35</v>
      </c>
      <c r="U21" s="19">
        <f t="shared" ca="1" si="1"/>
        <v>11.666666666666666</v>
      </c>
      <c r="V21" s="42">
        <f t="shared" ca="1" si="2"/>
        <v>15</v>
      </c>
      <c r="W21" s="42">
        <f t="shared" ca="1" si="3"/>
        <v>9</v>
      </c>
      <c r="X21" s="42">
        <f ca="1">RANK(T21,$T$5:$T$39)+COUNTIF($T$5:T21,T21)-1</f>
        <v>18</v>
      </c>
      <c r="Y21" s="34">
        <f t="array" aca="1" ref="Y21" ca="1">IFERROR(T21/SUMPRODUCT(($B21:$C21&lt;&gt;"")*$B$3:$C$3),0)</f>
        <v>1.09375</v>
      </c>
    </row>
    <row r="22" spans="1:25" x14ac:dyDescent="0.3">
      <c r="A22" t="s">
        <v>68</v>
      </c>
      <c r="B22" s="42">
        <f t="array" aca="1" ref="B22" ca="1">_xlfn.IFNA(_xlfn.XLOOKUP($A22,INDIRECT("'"&amp;B$4&amp;"'!$E$10:$E$44"),INDIRECT("'"&amp;B$4&amp;"'!$b$10:$b$44"))," ")</f>
        <v>11</v>
      </c>
      <c r="C22" s="42">
        <f t="array" aca="1" ref="C22" ca="1">_xlfn.IFNA(_xlfn.XLOOKUP($A22,INDIRECT("'"&amp;C$4&amp;"'!$E$10:$E$44"),INDIRECT("'"&amp;C$4&amp;"'!$b$10:$b$44"))," ")</f>
        <v>12</v>
      </c>
      <c r="D22" s="42">
        <f t="array" aca="1" ref="D22" ca="1">_xlfn.IFNA(_xlfn.XLOOKUP($A22,INDIRECT("'"&amp;D$4&amp;"'!$E$10:$E$44"),INDIRECT("'"&amp;D$4&amp;"'!$b$10:$b$44"))," ")</f>
        <v>16</v>
      </c>
      <c r="E22" s="42" t="str">
        <f t="array" aca="1" ref="E22" ca="1">_xlfn.IFNA(_xlfn.XLOOKUP($A22,INDIRECT("'"&amp;E$4&amp;"'!$E$10:$E$44"),INDIRECT("'"&amp;E$4&amp;"'!$b$10:$b$44"))," ")</f>
        <v xml:space="preserve"> </v>
      </c>
      <c r="F22" s="42" t="str">
        <f t="array" aca="1" ref="F22" ca="1">_xlfn.IFNA(_xlfn.XLOOKUP($A22,INDIRECT("'"&amp;F$4&amp;"'!$E$10:$E$44"),INDIRECT("'"&amp;F$4&amp;"'!$b$10:$b$44"))," ")</f>
        <v xml:space="preserve"> </v>
      </c>
      <c r="G22" s="42" t="str">
        <f t="array" aca="1" ref="G22" ca="1">_xlfn.IFNA(_xlfn.XLOOKUP($A22,INDIRECT("'"&amp;G$4&amp;"'!$E$10:$E$44"),INDIRECT("'"&amp;G$4&amp;"'!$b$10:$b$44"))," ")</f>
        <v xml:space="preserve"> </v>
      </c>
      <c r="H22" s="42" t="str">
        <f t="array" aca="1" ref="H22" ca="1">_xlfn.IFNA(_xlfn.XLOOKUP($A22,INDIRECT("'"&amp;H$4&amp;"'!$E$10:$E$44"),INDIRECT("'"&amp;H$4&amp;"'!$b$10:$b$44"))," ")</f>
        <v xml:space="preserve"> </v>
      </c>
      <c r="I22" s="42" t="str">
        <f t="array" aca="1" ref="I22" ca="1">_xlfn.IFNA(_xlfn.XLOOKUP($A22,INDIRECT("'"&amp;I$4&amp;"'!$E$10:$E$44"),INDIRECT("'"&amp;I$4&amp;"'!$b$10:$b$44"))," ")</f>
        <v xml:space="preserve"> </v>
      </c>
      <c r="J22" s="42" t="str">
        <f t="array" aca="1" ref="J22" ca="1">_xlfn.IFNA(_xlfn.XLOOKUP($A22,INDIRECT("'"&amp;J$4&amp;"'!$E$10:$E$44"),INDIRECT("'"&amp;J$4&amp;"'!$b$10:$b$44"))," ")</f>
        <v xml:space="preserve"> </v>
      </c>
      <c r="K22" s="42" t="str">
        <f t="array" aca="1" ref="K22" ca="1">_xlfn.IFNA(_xlfn.XLOOKUP($A22,INDIRECT("'"&amp;K$4&amp;"'!$E$10:$E$44"),INDIRECT("'"&amp;K$4&amp;"'!$b$10:$b$44"))," ")</f>
        <v xml:space="preserve"> </v>
      </c>
      <c r="L22" s="42" t="str">
        <f t="array" aca="1" ref="L22" ca="1">_xlfn.IFNA(_xlfn.XLOOKUP($A22,INDIRECT("'"&amp;L$4&amp;"'!$E$10:$E$44"),INDIRECT("'"&amp;L$4&amp;"'!$b$10:$b$44"))," ")</f>
        <v xml:space="preserve"> </v>
      </c>
      <c r="M22" s="42" t="str">
        <f t="array" aca="1" ref="M22" ca="1">_xlfn.IFNA(_xlfn.XLOOKUP($A22,INDIRECT("'"&amp;M$4&amp;"'!$E$10:$E$44"),INDIRECT("'"&amp;M$4&amp;"'!$b$10:$b$44"))," ")</f>
        <v xml:space="preserve"> </v>
      </c>
      <c r="N22" s="42" t="str">
        <f t="array" aca="1" ref="N22" ca="1">_xlfn.IFNA(_xlfn.XLOOKUP($A22,INDIRECT("'"&amp;N$4&amp;"'!$E$10:$E$44"),INDIRECT("'"&amp;N$4&amp;"'!$b$10:$b$44"))," ")</f>
        <v xml:space="preserve"> </v>
      </c>
      <c r="O22" s="42" t="str">
        <f t="array" aca="1" ref="O22" ca="1">_xlfn.IFNA(_xlfn.XLOOKUP($A22,INDIRECT("'"&amp;O$4&amp;"'!$E$10:$E$44"),INDIRECT("'"&amp;O$4&amp;"'!$b$10:$b$44"))," ")</f>
        <v xml:space="preserve"> </v>
      </c>
      <c r="P22" s="42" t="str">
        <f t="array" aca="1" ref="P22" ca="1">_xlfn.IFNA(_xlfn.XLOOKUP($A22,INDIRECT("'"&amp;P$4&amp;"'!$E$10:$E$44"),INDIRECT("'"&amp;P$4&amp;"'!$b$10:$b$44"))," ")</f>
        <v xml:space="preserve"> </v>
      </c>
      <c r="Q22" s="42" t="str">
        <f t="array" aca="1" ref="Q22" ca="1">_xlfn.IFNA(_xlfn.XLOOKUP($A22,INDIRECT("'"&amp;Q$4&amp;"'!$E$10:$E$44"),INDIRECT("'"&amp;Q$4&amp;"'!$b$10:$b$44"))," ")</f>
        <v xml:space="preserve"> </v>
      </c>
      <c r="T22" s="42">
        <f t="shared" ca="1" si="0"/>
        <v>39</v>
      </c>
      <c r="U22" s="19">
        <f t="shared" ca="1" si="1"/>
        <v>13</v>
      </c>
      <c r="V22" s="42">
        <f t="shared" ca="1" si="2"/>
        <v>16</v>
      </c>
      <c r="W22" s="42">
        <f t="shared" ca="1" si="3"/>
        <v>11</v>
      </c>
      <c r="X22" s="42">
        <f ca="1">RANK(T22,$T$5:$T$39)+COUNTIF($T$5:T22,T22)-1</f>
        <v>3</v>
      </c>
      <c r="Y22" s="34">
        <f t="array" aca="1" ref="Y22" ca="1">IFERROR(T22/SUMPRODUCT(($B22:$C22&lt;&gt;"")*$B$3:$C$3),0)</f>
        <v>1.21875</v>
      </c>
    </row>
    <row r="23" spans="1:25" x14ac:dyDescent="0.3">
      <c r="A23" t="s">
        <v>69</v>
      </c>
      <c r="B23" s="42">
        <f t="array" aca="1" ref="B23" ca="1">_xlfn.IFNA(_xlfn.XLOOKUP($A23,INDIRECT("'"&amp;B$4&amp;"'!$E$10:$E$44"),INDIRECT("'"&amp;B$4&amp;"'!$b$10:$b$44"))," ")</f>
        <v>8</v>
      </c>
      <c r="C23" s="42">
        <f t="array" aca="1" ref="C23" ca="1">_xlfn.IFNA(_xlfn.XLOOKUP($A23,INDIRECT("'"&amp;C$4&amp;"'!$E$10:$E$44"),INDIRECT("'"&amp;C$4&amp;"'!$b$10:$b$44"))," ")</f>
        <v>10</v>
      </c>
      <c r="D23" s="42">
        <f t="array" aca="1" ref="D23" ca="1">_xlfn.IFNA(_xlfn.XLOOKUP($A23,INDIRECT("'"&amp;D$4&amp;"'!$E$10:$E$44"),INDIRECT("'"&amp;D$4&amp;"'!$b$10:$b$44"))," ")</f>
        <v>16</v>
      </c>
      <c r="E23" s="42" t="str">
        <f t="array" aca="1" ref="E23" ca="1">_xlfn.IFNA(_xlfn.XLOOKUP($A23,INDIRECT("'"&amp;E$4&amp;"'!$E$10:$E$44"),INDIRECT("'"&amp;E$4&amp;"'!$b$10:$b$44"))," ")</f>
        <v xml:space="preserve"> </v>
      </c>
      <c r="F23" s="42" t="str">
        <f t="array" aca="1" ref="F23" ca="1">_xlfn.IFNA(_xlfn.XLOOKUP($A23,INDIRECT("'"&amp;F$4&amp;"'!$E$10:$E$44"),INDIRECT("'"&amp;F$4&amp;"'!$b$10:$b$44"))," ")</f>
        <v xml:space="preserve"> </v>
      </c>
      <c r="G23" s="42" t="str">
        <f t="array" aca="1" ref="G23" ca="1">_xlfn.IFNA(_xlfn.XLOOKUP($A23,INDIRECT("'"&amp;G$4&amp;"'!$E$10:$E$44"),INDIRECT("'"&amp;G$4&amp;"'!$b$10:$b$44"))," ")</f>
        <v xml:space="preserve"> </v>
      </c>
      <c r="H23" s="42" t="str">
        <f t="array" aca="1" ref="H23" ca="1">_xlfn.IFNA(_xlfn.XLOOKUP($A23,INDIRECT("'"&amp;H$4&amp;"'!$E$10:$E$44"),INDIRECT("'"&amp;H$4&amp;"'!$b$10:$b$44"))," ")</f>
        <v xml:space="preserve"> </v>
      </c>
      <c r="I23" s="42" t="str">
        <f t="array" aca="1" ref="I23" ca="1">_xlfn.IFNA(_xlfn.XLOOKUP($A23,INDIRECT("'"&amp;I$4&amp;"'!$E$10:$E$44"),INDIRECT("'"&amp;I$4&amp;"'!$b$10:$b$44"))," ")</f>
        <v xml:space="preserve"> </v>
      </c>
      <c r="J23" s="42" t="str">
        <f t="array" aca="1" ref="J23" ca="1">_xlfn.IFNA(_xlfn.XLOOKUP($A23,INDIRECT("'"&amp;J$4&amp;"'!$E$10:$E$44"),INDIRECT("'"&amp;J$4&amp;"'!$b$10:$b$44"))," ")</f>
        <v xml:space="preserve"> </v>
      </c>
      <c r="K23" s="42" t="str">
        <f t="array" aca="1" ref="K23" ca="1">_xlfn.IFNA(_xlfn.XLOOKUP($A23,INDIRECT("'"&amp;K$4&amp;"'!$E$10:$E$44"),INDIRECT("'"&amp;K$4&amp;"'!$b$10:$b$44"))," ")</f>
        <v xml:space="preserve"> </v>
      </c>
      <c r="L23" s="42" t="str">
        <f t="array" aca="1" ref="L23" ca="1">_xlfn.IFNA(_xlfn.XLOOKUP($A23,INDIRECT("'"&amp;L$4&amp;"'!$E$10:$E$44"),INDIRECT("'"&amp;L$4&amp;"'!$b$10:$b$44"))," ")</f>
        <v xml:space="preserve"> </v>
      </c>
      <c r="M23" s="42" t="str">
        <f t="array" aca="1" ref="M23" ca="1">_xlfn.IFNA(_xlfn.XLOOKUP($A23,INDIRECT("'"&amp;M$4&amp;"'!$E$10:$E$44"),INDIRECT("'"&amp;M$4&amp;"'!$b$10:$b$44"))," ")</f>
        <v xml:space="preserve"> </v>
      </c>
      <c r="N23" s="42" t="str">
        <f t="array" aca="1" ref="N23" ca="1">_xlfn.IFNA(_xlfn.XLOOKUP($A23,INDIRECT("'"&amp;N$4&amp;"'!$E$10:$E$44"),INDIRECT("'"&amp;N$4&amp;"'!$b$10:$b$44"))," ")</f>
        <v xml:space="preserve"> </v>
      </c>
      <c r="O23" s="42" t="str">
        <f t="array" aca="1" ref="O23" ca="1">_xlfn.IFNA(_xlfn.XLOOKUP($A23,INDIRECT("'"&amp;O$4&amp;"'!$E$10:$E$44"),INDIRECT("'"&amp;O$4&amp;"'!$b$10:$b$44"))," ")</f>
        <v xml:space="preserve"> </v>
      </c>
      <c r="P23" s="42" t="str">
        <f t="array" aca="1" ref="P23" ca="1">_xlfn.IFNA(_xlfn.XLOOKUP($A23,INDIRECT("'"&amp;P$4&amp;"'!$E$10:$E$44"),INDIRECT("'"&amp;P$4&amp;"'!$b$10:$b$44"))," ")</f>
        <v xml:space="preserve"> </v>
      </c>
      <c r="Q23" s="42" t="str">
        <f t="array" aca="1" ref="Q23" ca="1">_xlfn.IFNA(_xlfn.XLOOKUP($A23,INDIRECT("'"&amp;Q$4&amp;"'!$E$10:$E$44"),INDIRECT("'"&amp;Q$4&amp;"'!$b$10:$b$44"))," ")</f>
        <v xml:space="preserve"> </v>
      </c>
      <c r="T23" s="42">
        <f t="shared" ca="1" si="0"/>
        <v>34</v>
      </c>
      <c r="U23" s="19">
        <f t="shared" ca="1" si="1"/>
        <v>11.333333333333334</v>
      </c>
      <c r="V23" s="42">
        <f t="shared" ca="1" si="2"/>
        <v>16</v>
      </c>
      <c r="W23" s="42">
        <f t="shared" ca="1" si="3"/>
        <v>8</v>
      </c>
      <c r="X23" s="42">
        <f ca="1">RANK(T23,$T$5:$T$39)+COUNTIF($T$5:T23,T23)-1</f>
        <v>23</v>
      </c>
      <c r="Y23" s="34">
        <f t="array" aca="1" ref="Y23" ca="1">IFERROR(T23/SUMPRODUCT(($B23:$C23&lt;&gt;"")*$B$3:$C$3),0)</f>
        <v>1.0625</v>
      </c>
    </row>
    <row r="24" spans="1:25" x14ac:dyDescent="0.3">
      <c r="A24" t="s">
        <v>70</v>
      </c>
      <c r="B24" s="42">
        <f t="array" aca="1" ref="B24" ca="1">_xlfn.IFNA(_xlfn.XLOOKUP($A24,INDIRECT("'"&amp;B$4&amp;"'!$E$10:$E$44"),INDIRECT("'"&amp;B$4&amp;"'!$b$10:$b$44"))," ")</f>
        <v>11</v>
      </c>
      <c r="C24" s="42">
        <f t="array" aca="1" ref="C24" ca="1">_xlfn.IFNA(_xlfn.XLOOKUP($A24,INDIRECT("'"&amp;C$4&amp;"'!$E$10:$E$44"),INDIRECT("'"&amp;C$4&amp;"'!$b$10:$b$44"))," ")</f>
        <v>10</v>
      </c>
      <c r="D24" s="42">
        <f t="array" aca="1" ref="D24" ca="1">_xlfn.IFNA(_xlfn.XLOOKUP($A24,INDIRECT("'"&amp;D$4&amp;"'!$E$10:$E$44"),INDIRECT("'"&amp;D$4&amp;"'!$b$10:$b$44"))," ")</f>
        <v>15</v>
      </c>
      <c r="E24" s="42" t="str">
        <f t="array" aca="1" ref="E24" ca="1">_xlfn.IFNA(_xlfn.XLOOKUP($A24,INDIRECT("'"&amp;E$4&amp;"'!$E$10:$E$44"),INDIRECT("'"&amp;E$4&amp;"'!$b$10:$b$44"))," ")</f>
        <v xml:space="preserve"> </v>
      </c>
      <c r="F24" s="42" t="str">
        <f t="array" aca="1" ref="F24" ca="1">_xlfn.IFNA(_xlfn.XLOOKUP($A24,INDIRECT("'"&amp;F$4&amp;"'!$E$10:$E$44"),INDIRECT("'"&amp;F$4&amp;"'!$b$10:$b$44"))," ")</f>
        <v xml:space="preserve"> </v>
      </c>
      <c r="G24" s="42" t="str">
        <f t="array" aca="1" ref="G24" ca="1">_xlfn.IFNA(_xlfn.XLOOKUP($A24,INDIRECT("'"&amp;G$4&amp;"'!$E$10:$E$44"),INDIRECT("'"&amp;G$4&amp;"'!$b$10:$b$44"))," ")</f>
        <v xml:space="preserve"> </v>
      </c>
      <c r="H24" s="42" t="str">
        <f t="array" aca="1" ref="H24" ca="1">_xlfn.IFNA(_xlfn.XLOOKUP($A24,INDIRECT("'"&amp;H$4&amp;"'!$E$10:$E$44"),INDIRECT("'"&amp;H$4&amp;"'!$b$10:$b$44"))," ")</f>
        <v xml:space="preserve"> </v>
      </c>
      <c r="I24" s="42" t="str">
        <f t="array" aca="1" ref="I24" ca="1">_xlfn.IFNA(_xlfn.XLOOKUP($A24,INDIRECT("'"&amp;I$4&amp;"'!$E$10:$E$44"),INDIRECT("'"&amp;I$4&amp;"'!$b$10:$b$44"))," ")</f>
        <v xml:space="preserve"> </v>
      </c>
      <c r="J24" s="42" t="str">
        <f t="array" aca="1" ref="J24" ca="1">_xlfn.IFNA(_xlfn.XLOOKUP($A24,INDIRECT("'"&amp;J$4&amp;"'!$E$10:$E$44"),INDIRECT("'"&amp;J$4&amp;"'!$b$10:$b$44"))," ")</f>
        <v xml:space="preserve"> </v>
      </c>
      <c r="K24" s="42" t="str">
        <f t="array" aca="1" ref="K24" ca="1">_xlfn.IFNA(_xlfn.XLOOKUP($A24,INDIRECT("'"&amp;K$4&amp;"'!$E$10:$E$44"),INDIRECT("'"&amp;K$4&amp;"'!$b$10:$b$44"))," ")</f>
        <v xml:space="preserve"> </v>
      </c>
      <c r="L24" s="42" t="str">
        <f t="array" aca="1" ref="L24" ca="1">_xlfn.IFNA(_xlfn.XLOOKUP($A24,INDIRECT("'"&amp;L$4&amp;"'!$E$10:$E$44"),INDIRECT("'"&amp;L$4&amp;"'!$b$10:$b$44"))," ")</f>
        <v xml:space="preserve"> </v>
      </c>
      <c r="M24" s="42" t="str">
        <f t="array" aca="1" ref="M24" ca="1">_xlfn.IFNA(_xlfn.XLOOKUP($A24,INDIRECT("'"&amp;M$4&amp;"'!$E$10:$E$44"),INDIRECT("'"&amp;M$4&amp;"'!$b$10:$b$44"))," ")</f>
        <v xml:space="preserve"> </v>
      </c>
      <c r="N24" s="42" t="str">
        <f t="array" aca="1" ref="N24" ca="1">_xlfn.IFNA(_xlfn.XLOOKUP($A24,INDIRECT("'"&amp;N$4&amp;"'!$E$10:$E$44"),INDIRECT("'"&amp;N$4&amp;"'!$b$10:$b$44"))," ")</f>
        <v xml:space="preserve"> </v>
      </c>
      <c r="O24" s="42" t="str">
        <f t="array" aca="1" ref="O24" ca="1">_xlfn.IFNA(_xlfn.XLOOKUP($A24,INDIRECT("'"&amp;O$4&amp;"'!$E$10:$E$44"),INDIRECT("'"&amp;O$4&amp;"'!$b$10:$b$44"))," ")</f>
        <v xml:space="preserve"> </v>
      </c>
      <c r="P24" s="42" t="str">
        <f t="array" aca="1" ref="P24" ca="1">_xlfn.IFNA(_xlfn.XLOOKUP($A24,INDIRECT("'"&amp;P$4&amp;"'!$E$10:$E$44"),INDIRECT("'"&amp;P$4&amp;"'!$b$10:$b$44"))," ")</f>
        <v xml:space="preserve"> </v>
      </c>
      <c r="Q24" s="42" t="str">
        <f t="array" aca="1" ref="Q24" ca="1">_xlfn.IFNA(_xlfn.XLOOKUP($A24,INDIRECT("'"&amp;Q$4&amp;"'!$E$10:$E$44"),INDIRECT("'"&amp;Q$4&amp;"'!$b$10:$b$44"))," ")</f>
        <v xml:space="preserve"> </v>
      </c>
      <c r="T24" s="42">
        <f t="shared" ca="1" si="0"/>
        <v>36</v>
      </c>
      <c r="U24" s="19">
        <f t="shared" ca="1" si="1"/>
        <v>12</v>
      </c>
      <c r="V24" s="42">
        <f t="shared" ca="1" si="2"/>
        <v>15</v>
      </c>
      <c r="W24" s="42">
        <f t="shared" ca="1" si="3"/>
        <v>10</v>
      </c>
      <c r="X24" s="42">
        <f ca="1">RANK(T24,$T$5:$T$39)+COUNTIF($T$5:T24,T24)-1</f>
        <v>12</v>
      </c>
      <c r="Y24" s="34">
        <f t="array" aca="1" ref="Y24" ca="1">IFERROR(T24/SUMPRODUCT(($B24:$C24&lt;&gt;"")*$B$3:$C$3),0)</f>
        <v>1.125</v>
      </c>
    </row>
    <row r="25" spans="1:25" x14ac:dyDescent="0.3">
      <c r="A25" s="25" t="s">
        <v>19</v>
      </c>
      <c r="B25" s="26">
        <f t="array" aca="1" ref="B25" ca="1">_xlfn.IFNA(_xlfn.XLOOKUP($A25,INDIRECT("'"&amp;B$4&amp;"'!$E$10:$E$44"),INDIRECT("'"&amp;B$4&amp;"'!$b$10:$b$44"))," ")</f>
        <v>12</v>
      </c>
      <c r="C25" s="26">
        <f t="array" aca="1" ref="C25" ca="1">_xlfn.IFNA(_xlfn.XLOOKUP($A25,INDIRECT("'"&amp;C$4&amp;"'!$E$10:$E$44"),INDIRECT("'"&amp;C$4&amp;"'!$b$10:$b$44"))," ")</f>
        <v>11</v>
      </c>
      <c r="D25" s="26">
        <f t="array" aca="1" ref="D25" ca="1">_xlfn.IFNA(_xlfn.XLOOKUP($A25,INDIRECT("'"&amp;D$4&amp;"'!$E$10:$E$44"),INDIRECT("'"&amp;D$4&amp;"'!$b$10:$b$44"))," ")</f>
        <v>15</v>
      </c>
      <c r="E25" s="26" t="str">
        <f t="array" aca="1" ref="E25" ca="1">_xlfn.IFNA(_xlfn.XLOOKUP($A25,INDIRECT("'"&amp;E$4&amp;"'!$E$10:$E$44"),INDIRECT("'"&amp;E$4&amp;"'!$b$10:$b$44"))," ")</f>
        <v xml:space="preserve"> </v>
      </c>
      <c r="F25" s="26" t="str">
        <f t="array" aca="1" ref="F25" ca="1">_xlfn.IFNA(_xlfn.XLOOKUP($A25,INDIRECT("'"&amp;F$4&amp;"'!$E$10:$E$44"),INDIRECT("'"&amp;F$4&amp;"'!$b$10:$b$44"))," ")</f>
        <v xml:space="preserve"> </v>
      </c>
      <c r="G25" s="26" t="str">
        <f t="array" aca="1" ref="G25" ca="1">_xlfn.IFNA(_xlfn.XLOOKUP($A25,INDIRECT("'"&amp;G$4&amp;"'!$E$10:$E$44"),INDIRECT("'"&amp;G$4&amp;"'!$b$10:$b$44"))," ")</f>
        <v xml:space="preserve"> </v>
      </c>
      <c r="H25" s="26" t="str">
        <f t="array" aca="1" ref="H25" ca="1">_xlfn.IFNA(_xlfn.XLOOKUP($A25,INDIRECT("'"&amp;H$4&amp;"'!$E$10:$E$44"),INDIRECT("'"&amp;H$4&amp;"'!$b$10:$b$44"))," ")</f>
        <v xml:space="preserve"> </v>
      </c>
      <c r="I25" s="26" t="str">
        <f t="array" aca="1" ref="I25" ca="1">_xlfn.IFNA(_xlfn.XLOOKUP($A25,INDIRECT("'"&amp;I$4&amp;"'!$E$10:$E$44"),INDIRECT("'"&amp;I$4&amp;"'!$b$10:$b$44"))," ")</f>
        <v xml:space="preserve"> </v>
      </c>
      <c r="J25" s="26" t="str">
        <f t="array" aca="1" ref="J25" ca="1">_xlfn.IFNA(_xlfn.XLOOKUP($A25,INDIRECT("'"&amp;J$4&amp;"'!$E$10:$E$44"),INDIRECT("'"&amp;J$4&amp;"'!$b$10:$b$44"))," ")</f>
        <v xml:space="preserve"> </v>
      </c>
      <c r="K25" s="26" t="str">
        <f t="array" aca="1" ref="K25" ca="1">_xlfn.IFNA(_xlfn.XLOOKUP($A25,INDIRECT("'"&amp;K$4&amp;"'!$E$10:$E$44"),INDIRECT("'"&amp;K$4&amp;"'!$b$10:$b$44"))," ")</f>
        <v xml:space="preserve"> </v>
      </c>
      <c r="L25" s="26" t="str">
        <f t="array" aca="1" ref="L25" ca="1">_xlfn.IFNA(_xlfn.XLOOKUP($A25,INDIRECT("'"&amp;L$4&amp;"'!$E$10:$E$44"),INDIRECT("'"&amp;L$4&amp;"'!$b$10:$b$44"))," ")</f>
        <v xml:space="preserve"> </v>
      </c>
      <c r="M25" s="26" t="str">
        <f t="array" aca="1" ref="M25" ca="1">_xlfn.IFNA(_xlfn.XLOOKUP($A25,INDIRECT("'"&amp;M$4&amp;"'!$E$10:$E$44"),INDIRECT("'"&amp;M$4&amp;"'!$b$10:$b$44"))," ")</f>
        <v xml:space="preserve"> </v>
      </c>
      <c r="N25" s="26" t="str">
        <f t="array" aca="1" ref="N25" ca="1">_xlfn.IFNA(_xlfn.XLOOKUP($A25,INDIRECT("'"&amp;N$4&amp;"'!$E$10:$E$44"),INDIRECT("'"&amp;N$4&amp;"'!$b$10:$b$44"))," ")</f>
        <v xml:space="preserve"> </v>
      </c>
      <c r="O25" s="26" t="str">
        <f t="array" aca="1" ref="O25" ca="1">_xlfn.IFNA(_xlfn.XLOOKUP($A25,INDIRECT("'"&amp;O$4&amp;"'!$E$10:$E$44"),INDIRECT("'"&amp;O$4&amp;"'!$b$10:$b$44"))," ")</f>
        <v xml:space="preserve"> </v>
      </c>
      <c r="P25" s="26" t="str">
        <f t="array" aca="1" ref="P25" ca="1">_xlfn.IFNA(_xlfn.XLOOKUP($A25,INDIRECT("'"&amp;P$4&amp;"'!$E$10:$E$44"),INDIRECT("'"&amp;P$4&amp;"'!$b$10:$b$44"))," ")</f>
        <v xml:space="preserve"> </v>
      </c>
      <c r="Q25" s="26" t="str">
        <f t="array" aca="1" ref="Q25" ca="1">_xlfn.IFNA(_xlfn.XLOOKUP($A25,INDIRECT("'"&amp;Q$4&amp;"'!$E$10:$E$44"),INDIRECT("'"&amp;Q$4&amp;"'!$b$10:$b$44"))," ")</f>
        <v xml:space="preserve"> </v>
      </c>
      <c r="R25" s="26"/>
      <c r="S25" s="26"/>
      <c r="T25" s="42">
        <f t="shared" ca="1" si="0"/>
        <v>38</v>
      </c>
      <c r="U25" s="27">
        <f t="shared" ca="1" si="1"/>
        <v>12.666666666666666</v>
      </c>
      <c r="V25" s="26">
        <f t="shared" ca="1" si="2"/>
        <v>15</v>
      </c>
      <c r="W25" s="26">
        <f t="shared" ca="1" si="3"/>
        <v>11</v>
      </c>
      <c r="X25" s="26">
        <f ca="1">RANK(T25,$T$5:$T$39)+COUNTIF($T$5:T25,T25)-1</f>
        <v>6</v>
      </c>
      <c r="Y25" s="34">
        <f t="array" aca="1" ref="Y25" ca="1">IFERROR(T25/SUMPRODUCT(($B25:$C25&lt;&gt;"")*$B$3:$C$3),0)</f>
        <v>1.1875</v>
      </c>
    </row>
    <row r="26" spans="1:25" x14ac:dyDescent="0.3">
      <c r="A26" s="25" t="s">
        <v>17</v>
      </c>
      <c r="B26" s="26">
        <f t="array" aca="1" ref="B26" ca="1">_xlfn.IFNA(_xlfn.XLOOKUP($A26,INDIRECT("'"&amp;B$4&amp;"'!$E$10:$E$44"),INDIRECT("'"&amp;B$4&amp;"'!$b$10:$b$44"))," ")</f>
        <v>14</v>
      </c>
      <c r="C26" s="26">
        <f t="array" aca="1" ref="C26" ca="1">_xlfn.IFNA(_xlfn.XLOOKUP($A26,INDIRECT("'"&amp;C$4&amp;"'!$E$10:$E$44"),INDIRECT("'"&amp;C$4&amp;"'!$b$10:$b$44"))," ")</f>
        <v>10</v>
      </c>
      <c r="D26" s="26">
        <f t="array" aca="1" ref="D26" ca="1">_xlfn.IFNA(_xlfn.XLOOKUP($A26,INDIRECT("'"&amp;D$4&amp;"'!$E$10:$E$44"),INDIRECT("'"&amp;D$4&amp;"'!$b$10:$b$44"))," ")</f>
        <v>15</v>
      </c>
      <c r="E26" s="26" t="str">
        <f t="array" aca="1" ref="E26" ca="1">_xlfn.IFNA(_xlfn.XLOOKUP($A26,INDIRECT("'"&amp;E$4&amp;"'!$E$10:$E$44"),INDIRECT("'"&amp;E$4&amp;"'!$b$10:$b$44"))," ")</f>
        <v xml:space="preserve"> </v>
      </c>
      <c r="F26" s="26" t="str">
        <f t="array" aca="1" ref="F26" ca="1">_xlfn.IFNA(_xlfn.XLOOKUP($A26,INDIRECT("'"&amp;F$4&amp;"'!$E$10:$E$44"),INDIRECT("'"&amp;F$4&amp;"'!$b$10:$b$44"))," ")</f>
        <v xml:space="preserve"> </v>
      </c>
      <c r="G26" s="26" t="str">
        <f t="array" aca="1" ref="G26" ca="1">_xlfn.IFNA(_xlfn.XLOOKUP($A26,INDIRECT("'"&amp;G$4&amp;"'!$E$10:$E$44"),INDIRECT("'"&amp;G$4&amp;"'!$b$10:$b$44"))," ")</f>
        <v xml:space="preserve"> </v>
      </c>
      <c r="H26" s="26" t="str">
        <f t="array" aca="1" ref="H26" ca="1">_xlfn.IFNA(_xlfn.XLOOKUP($A26,INDIRECT("'"&amp;H$4&amp;"'!$E$10:$E$44"),INDIRECT("'"&amp;H$4&amp;"'!$b$10:$b$44"))," ")</f>
        <v xml:space="preserve"> </v>
      </c>
      <c r="I26" s="26" t="str">
        <f t="array" aca="1" ref="I26" ca="1">_xlfn.IFNA(_xlfn.XLOOKUP($A26,INDIRECT("'"&amp;I$4&amp;"'!$E$10:$E$44"),INDIRECT("'"&amp;I$4&amp;"'!$b$10:$b$44"))," ")</f>
        <v xml:space="preserve"> </v>
      </c>
      <c r="J26" s="26" t="str">
        <f t="array" aca="1" ref="J26" ca="1">_xlfn.IFNA(_xlfn.XLOOKUP($A26,INDIRECT("'"&amp;J$4&amp;"'!$E$10:$E$44"),INDIRECT("'"&amp;J$4&amp;"'!$b$10:$b$44"))," ")</f>
        <v xml:space="preserve"> </v>
      </c>
      <c r="K26" s="26" t="str">
        <f t="array" aca="1" ref="K26" ca="1">_xlfn.IFNA(_xlfn.XLOOKUP($A26,INDIRECT("'"&amp;K$4&amp;"'!$E$10:$E$44"),INDIRECT("'"&amp;K$4&amp;"'!$b$10:$b$44"))," ")</f>
        <v xml:space="preserve"> </v>
      </c>
      <c r="L26" s="26" t="str">
        <f t="array" aca="1" ref="L26" ca="1">_xlfn.IFNA(_xlfn.XLOOKUP($A26,INDIRECT("'"&amp;L$4&amp;"'!$E$10:$E$44"),INDIRECT("'"&amp;L$4&amp;"'!$b$10:$b$44"))," ")</f>
        <v xml:space="preserve"> </v>
      </c>
      <c r="M26" s="26" t="str">
        <f t="array" aca="1" ref="M26" ca="1">_xlfn.IFNA(_xlfn.XLOOKUP($A26,INDIRECT("'"&amp;M$4&amp;"'!$E$10:$E$44"),INDIRECT("'"&amp;M$4&amp;"'!$b$10:$b$44"))," ")</f>
        <v xml:space="preserve"> </v>
      </c>
      <c r="N26" s="26" t="str">
        <f t="array" aca="1" ref="N26" ca="1">_xlfn.IFNA(_xlfn.XLOOKUP($A26,INDIRECT("'"&amp;N$4&amp;"'!$E$10:$E$44"),INDIRECT("'"&amp;N$4&amp;"'!$b$10:$b$44"))," ")</f>
        <v xml:space="preserve"> </v>
      </c>
      <c r="O26" s="26" t="str">
        <f t="array" aca="1" ref="O26" ca="1">_xlfn.IFNA(_xlfn.XLOOKUP($A26,INDIRECT("'"&amp;O$4&amp;"'!$E$10:$E$44"),INDIRECT("'"&amp;O$4&amp;"'!$b$10:$b$44"))," ")</f>
        <v xml:space="preserve"> </v>
      </c>
      <c r="P26" s="26" t="str">
        <f t="array" aca="1" ref="P26" ca="1">_xlfn.IFNA(_xlfn.XLOOKUP($A26,INDIRECT("'"&amp;P$4&amp;"'!$E$10:$E$44"),INDIRECT("'"&amp;P$4&amp;"'!$b$10:$b$44"))," ")</f>
        <v xml:space="preserve"> </v>
      </c>
      <c r="Q26" s="26" t="str">
        <f t="array" aca="1" ref="Q26" ca="1">_xlfn.IFNA(_xlfn.XLOOKUP($A26,INDIRECT("'"&amp;Q$4&amp;"'!$E$10:$E$44"),INDIRECT("'"&amp;Q$4&amp;"'!$b$10:$b$44"))," ")</f>
        <v xml:space="preserve"> </v>
      </c>
      <c r="R26" s="26"/>
      <c r="S26" s="26"/>
      <c r="T26" s="42">
        <f t="shared" ca="1" si="0"/>
        <v>39</v>
      </c>
      <c r="U26" s="27">
        <f t="shared" ca="1" si="1"/>
        <v>13</v>
      </c>
      <c r="V26" s="26">
        <f t="shared" ca="1" si="2"/>
        <v>15</v>
      </c>
      <c r="W26" s="26">
        <f t="shared" ca="1" si="3"/>
        <v>10</v>
      </c>
      <c r="X26" s="26">
        <f ca="1">RANK(T26,$T$5:$T$39)+COUNTIF($T$5:T26,T26)-1</f>
        <v>4</v>
      </c>
      <c r="Y26" s="34">
        <f t="array" aca="1" ref="Y26" ca="1">IFERROR(T26/SUMPRODUCT(($B26:$C26&lt;&gt;"")*$B$3:$C$3),0)</f>
        <v>1.21875</v>
      </c>
    </row>
    <row r="27" spans="1:25" x14ac:dyDescent="0.3">
      <c r="A27" t="s">
        <v>71</v>
      </c>
      <c r="B27" s="42">
        <f t="array" aca="1" ref="B27" ca="1">_xlfn.IFNA(_xlfn.XLOOKUP($A27,INDIRECT("'"&amp;B$4&amp;"'!$E$10:$E$44"),INDIRECT("'"&amp;B$4&amp;"'!$b$10:$b$44"))," ")</f>
        <v>12</v>
      </c>
      <c r="C27" s="42">
        <f t="array" aca="1" ref="C27" ca="1">_xlfn.IFNA(_xlfn.XLOOKUP($A27,INDIRECT("'"&amp;C$4&amp;"'!$E$10:$E$44"),INDIRECT("'"&amp;C$4&amp;"'!$b$10:$b$44"))," ")</f>
        <v>11</v>
      </c>
      <c r="D27" s="42">
        <f t="array" aca="1" ref="D27" ca="1">_xlfn.IFNA(_xlfn.XLOOKUP($A27,INDIRECT("'"&amp;D$4&amp;"'!$E$10:$E$44"),INDIRECT("'"&amp;D$4&amp;"'!$b$10:$b$44"))," ")</f>
        <v>0</v>
      </c>
      <c r="E27" s="42" t="str">
        <f t="array" aca="1" ref="E27" ca="1">_xlfn.IFNA(_xlfn.XLOOKUP($A27,INDIRECT("'"&amp;E$4&amp;"'!$E$10:$E$44"),INDIRECT("'"&amp;E$4&amp;"'!$b$10:$b$44"))," ")</f>
        <v xml:space="preserve"> </v>
      </c>
      <c r="F27" s="42" t="str">
        <f t="array" aca="1" ref="F27" ca="1">_xlfn.IFNA(_xlfn.XLOOKUP($A27,INDIRECT("'"&amp;F$4&amp;"'!$E$10:$E$44"),INDIRECT("'"&amp;F$4&amp;"'!$b$10:$b$44"))," ")</f>
        <v xml:space="preserve"> </v>
      </c>
      <c r="G27" s="42" t="str">
        <f t="array" aca="1" ref="G27" ca="1">_xlfn.IFNA(_xlfn.XLOOKUP($A27,INDIRECT("'"&amp;G$4&amp;"'!$E$10:$E$44"),INDIRECT("'"&amp;G$4&amp;"'!$b$10:$b$44"))," ")</f>
        <v xml:space="preserve"> </v>
      </c>
      <c r="H27" s="42" t="str">
        <f t="array" aca="1" ref="H27" ca="1">_xlfn.IFNA(_xlfn.XLOOKUP($A27,INDIRECT("'"&amp;H$4&amp;"'!$E$10:$E$44"),INDIRECT("'"&amp;H$4&amp;"'!$b$10:$b$44"))," ")</f>
        <v xml:space="preserve"> </v>
      </c>
      <c r="I27" s="42" t="str">
        <f t="array" aca="1" ref="I27" ca="1">_xlfn.IFNA(_xlfn.XLOOKUP($A27,INDIRECT("'"&amp;I$4&amp;"'!$E$10:$E$44"),INDIRECT("'"&amp;I$4&amp;"'!$b$10:$b$44"))," ")</f>
        <v xml:space="preserve"> </v>
      </c>
      <c r="J27" s="42" t="str">
        <f t="array" aca="1" ref="J27" ca="1">_xlfn.IFNA(_xlfn.XLOOKUP($A27,INDIRECT("'"&amp;J$4&amp;"'!$E$10:$E$44"),INDIRECT("'"&amp;J$4&amp;"'!$b$10:$b$44"))," ")</f>
        <v xml:space="preserve"> </v>
      </c>
      <c r="K27" s="42" t="str">
        <f t="array" aca="1" ref="K27" ca="1">_xlfn.IFNA(_xlfn.XLOOKUP($A27,INDIRECT("'"&amp;K$4&amp;"'!$E$10:$E$44"),INDIRECT("'"&amp;K$4&amp;"'!$b$10:$b$44"))," ")</f>
        <v xml:space="preserve"> </v>
      </c>
      <c r="L27" s="42" t="str">
        <f t="array" aca="1" ref="L27" ca="1">_xlfn.IFNA(_xlfn.XLOOKUP($A27,INDIRECT("'"&amp;L$4&amp;"'!$E$10:$E$44"),INDIRECT("'"&amp;L$4&amp;"'!$b$10:$b$44"))," ")</f>
        <v xml:space="preserve"> </v>
      </c>
      <c r="M27" s="42" t="str">
        <f t="array" aca="1" ref="M27" ca="1">_xlfn.IFNA(_xlfn.XLOOKUP($A27,INDIRECT("'"&amp;M$4&amp;"'!$E$10:$E$44"),INDIRECT("'"&amp;M$4&amp;"'!$b$10:$b$44"))," ")</f>
        <v xml:space="preserve"> </v>
      </c>
      <c r="N27" s="42" t="str">
        <f t="array" aca="1" ref="N27" ca="1">_xlfn.IFNA(_xlfn.XLOOKUP($A27,INDIRECT("'"&amp;N$4&amp;"'!$E$10:$E$44"),INDIRECT("'"&amp;N$4&amp;"'!$b$10:$b$44"))," ")</f>
        <v xml:space="preserve"> </v>
      </c>
      <c r="O27" s="42" t="str">
        <f t="array" aca="1" ref="O27" ca="1">_xlfn.IFNA(_xlfn.XLOOKUP($A27,INDIRECT("'"&amp;O$4&amp;"'!$E$10:$E$44"),INDIRECT("'"&amp;O$4&amp;"'!$b$10:$b$44"))," ")</f>
        <v xml:space="preserve"> </v>
      </c>
      <c r="P27" s="42" t="str">
        <f t="array" aca="1" ref="P27" ca="1">_xlfn.IFNA(_xlfn.XLOOKUP($A27,INDIRECT("'"&amp;P$4&amp;"'!$E$10:$E$44"),INDIRECT("'"&amp;P$4&amp;"'!$b$10:$b$44"))," ")</f>
        <v xml:space="preserve"> </v>
      </c>
      <c r="Q27" s="42" t="str">
        <f t="array" aca="1" ref="Q27" ca="1">_xlfn.IFNA(_xlfn.XLOOKUP($A27,INDIRECT("'"&amp;Q$4&amp;"'!$E$10:$E$44"),INDIRECT("'"&amp;Q$4&amp;"'!$b$10:$b$44"))," ")</f>
        <v xml:space="preserve"> </v>
      </c>
      <c r="T27" s="42">
        <f t="shared" ca="1" si="0"/>
        <v>23</v>
      </c>
      <c r="U27" s="19">
        <f t="shared" ca="1" si="1"/>
        <v>7.666666666666667</v>
      </c>
      <c r="V27" s="42">
        <f t="shared" ca="1" si="2"/>
        <v>12</v>
      </c>
      <c r="W27" s="42">
        <f t="shared" ca="1" si="3"/>
        <v>11</v>
      </c>
      <c r="X27" s="42">
        <f ca="1">RANK(T27,$T$5:$T$39)+COUNTIF($T$5:T27,T27)-1</f>
        <v>34</v>
      </c>
      <c r="Y27" s="34">
        <f t="array" aca="1" ref="Y27" ca="1">IFERROR(T27/SUMPRODUCT(($B27:$C27&lt;&gt;"")*$B$3:$C$3),0)</f>
        <v>0.71875</v>
      </c>
    </row>
    <row r="28" spans="1:25" x14ac:dyDescent="0.3">
      <c r="A28" t="s">
        <v>72</v>
      </c>
      <c r="B28" s="42">
        <f t="array" aca="1" ref="B28" ca="1">_xlfn.IFNA(_xlfn.XLOOKUP($A28,INDIRECT("'"&amp;B$4&amp;"'!$E$10:$E$44"),INDIRECT("'"&amp;B$4&amp;"'!$b$10:$b$44"))," ")</f>
        <v>7</v>
      </c>
      <c r="C28" s="42">
        <f t="array" aca="1" ref="C28" ca="1">_xlfn.IFNA(_xlfn.XLOOKUP($A28,INDIRECT("'"&amp;C$4&amp;"'!$E$10:$E$44"),INDIRECT("'"&amp;C$4&amp;"'!$b$10:$b$44"))," ")</f>
        <v>11</v>
      </c>
      <c r="D28" s="42">
        <f t="array" aca="1" ref="D28" ca="1">_xlfn.IFNA(_xlfn.XLOOKUP($A28,INDIRECT("'"&amp;D$4&amp;"'!$E$10:$E$44"),INDIRECT("'"&amp;D$4&amp;"'!$b$10:$b$44"))," ")</f>
        <v>15</v>
      </c>
      <c r="E28" s="42" t="str">
        <f t="array" aca="1" ref="E28" ca="1">_xlfn.IFNA(_xlfn.XLOOKUP($A28,INDIRECT("'"&amp;E$4&amp;"'!$E$10:$E$44"),INDIRECT("'"&amp;E$4&amp;"'!$b$10:$b$44"))," ")</f>
        <v xml:space="preserve"> </v>
      </c>
      <c r="F28" s="42" t="str">
        <f t="array" aca="1" ref="F28" ca="1">_xlfn.IFNA(_xlfn.XLOOKUP($A28,INDIRECT("'"&amp;F$4&amp;"'!$E$10:$E$44"),INDIRECT("'"&amp;F$4&amp;"'!$b$10:$b$44"))," ")</f>
        <v xml:space="preserve"> </v>
      </c>
      <c r="G28" s="42" t="str">
        <f t="array" aca="1" ref="G28" ca="1">_xlfn.IFNA(_xlfn.XLOOKUP($A28,INDIRECT("'"&amp;G$4&amp;"'!$E$10:$E$44"),INDIRECT("'"&amp;G$4&amp;"'!$b$10:$b$44"))," ")</f>
        <v xml:space="preserve"> </v>
      </c>
      <c r="H28" s="42" t="str">
        <f t="array" aca="1" ref="H28" ca="1">_xlfn.IFNA(_xlfn.XLOOKUP($A28,INDIRECT("'"&amp;H$4&amp;"'!$E$10:$E$44"),INDIRECT("'"&amp;H$4&amp;"'!$b$10:$b$44"))," ")</f>
        <v xml:space="preserve"> </v>
      </c>
      <c r="I28" s="42" t="str">
        <f t="array" aca="1" ref="I28" ca="1">_xlfn.IFNA(_xlfn.XLOOKUP($A28,INDIRECT("'"&amp;I$4&amp;"'!$E$10:$E$44"),INDIRECT("'"&amp;I$4&amp;"'!$b$10:$b$44"))," ")</f>
        <v xml:space="preserve"> </v>
      </c>
      <c r="J28" s="42" t="str">
        <f t="array" aca="1" ref="J28" ca="1">_xlfn.IFNA(_xlfn.XLOOKUP($A28,INDIRECT("'"&amp;J$4&amp;"'!$E$10:$E$44"),INDIRECT("'"&amp;J$4&amp;"'!$b$10:$b$44"))," ")</f>
        <v xml:space="preserve"> </v>
      </c>
      <c r="K28" s="42" t="str">
        <f t="array" aca="1" ref="K28" ca="1">_xlfn.IFNA(_xlfn.XLOOKUP($A28,INDIRECT("'"&amp;K$4&amp;"'!$E$10:$E$44"),INDIRECT("'"&amp;K$4&amp;"'!$b$10:$b$44"))," ")</f>
        <v xml:space="preserve"> </v>
      </c>
      <c r="L28" s="42" t="str">
        <f t="array" aca="1" ref="L28" ca="1">_xlfn.IFNA(_xlfn.XLOOKUP($A28,INDIRECT("'"&amp;L$4&amp;"'!$E$10:$E$44"),INDIRECT("'"&amp;L$4&amp;"'!$b$10:$b$44"))," ")</f>
        <v xml:space="preserve"> </v>
      </c>
      <c r="M28" s="42" t="str">
        <f t="array" aca="1" ref="M28" ca="1">_xlfn.IFNA(_xlfn.XLOOKUP($A28,INDIRECT("'"&amp;M$4&amp;"'!$E$10:$E$44"),INDIRECT("'"&amp;M$4&amp;"'!$b$10:$b$44"))," ")</f>
        <v xml:space="preserve"> </v>
      </c>
      <c r="N28" s="42" t="str">
        <f t="array" aca="1" ref="N28" ca="1">_xlfn.IFNA(_xlfn.XLOOKUP($A28,INDIRECT("'"&amp;N$4&amp;"'!$E$10:$E$44"),INDIRECT("'"&amp;N$4&amp;"'!$b$10:$b$44"))," ")</f>
        <v xml:space="preserve"> </v>
      </c>
      <c r="O28" s="42" t="str">
        <f t="array" aca="1" ref="O28" ca="1">_xlfn.IFNA(_xlfn.XLOOKUP($A28,INDIRECT("'"&amp;O$4&amp;"'!$E$10:$E$44"),INDIRECT("'"&amp;O$4&amp;"'!$b$10:$b$44"))," ")</f>
        <v xml:space="preserve"> </v>
      </c>
      <c r="P28" s="42" t="str">
        <f t="array" aca="1" ref="P28" ca="1">_xlfn.IFNA(_xlfn.XLOOKUP($A28,INDIRECT("'"&amp;P$4&amp;"'!$E$10:$E$44"),INDIRECT("'"&amp;P$4&amp;"'!$b$10:$b$44"))," ")</f>
        <v xml:space="preserve"> </v>
      </c>
      <c r="Q28" s="42" t="str">
        <f t="array" aca="1" ref="Q28" ca="1">_xlfn.IFNA(_xlfn.XLOOKUP($A28,INDIRECT("'"&amp;Q$4&amp;"'!$E$10:$E$44"),INDIRECT("'"&amp;Q$4&amp;"'!$b$10:$b$44"))," ")</f>
        <v xml:space="preserve"> </v>
      </c>
      <c r="T28" s="42">
        <f t="shared" ca="1" si="0"/>
        <v>33</v>
      </c>
      <c r="U28" s="19">
        <f t="shared" ca="1" si="1"/>
        <v>11</v>
      </c>
      <c r="V28" s="42">
        <f t="shared" ca="1" si="2"/>
        <v>15</v>
      </c>
      <c r="W28" s="42">
        <f t="shared" ca="1" si="3"/>
        <v>7</v>
      </c>
      <c r="X28" s="42">
        <f ca="1">RANK(T28,$T$5:$T$39)+COUNTIF($T$5:T28,T28)-1</f>
        <v>27</v>
      </c>
      <c r="Y28" s="34">
        <f t="array" aca="1" ref="Y28" ca="1">IFERROR(T28/SUMPRODUCT(($B28:$C28&lt;&gt;"")*$B$3:$C$3),0)</f>
        <v>1.03125</v>
      </c>
    </row>
    <row r="29" spans="1:25" x14ac:dyDescent="0.3">
      <c r="A29" t="s">
        <v>73</v>
      </c>
      <c r="B29" s="42">
        <f t="array" aca="1" ref="B29" ca="1">_xlfn.IFNA(_xlfn.XLOOKUP($A29,INDIRECT("'"&amp;B$4&amp;"'!$E$10:$E$44"),INDIRECT("'"&amp;B$4&amp;"'!$b$10:$b$44"))," ")</f>
        <v>10</v>
      </c>
      <c r="C29" s="42">
        <f t="array" aca="1" ref="C29" ca="1">_xlfn.IFNA(_xlfn.XLOOKUP($A29,INDIRECT("'"&amp;C$4&amp;"'!$E$10:$E$44"),INDIRECT("'"&amp;C$4&amp;"'!$b$10:$b$44"))," ")</f>
        <v>6</v>
      </c>
      <c r="D29" s="42">
        <f t="array" aca="1" ref="D29" ca="1">_xlfn.IFNA(_xlfn.XLOOKUP($A29,INDIRECT("'"&amp;D$4&amp;"'!$E$10:$E$44"),INDIRECT("'"&amp;D$4&amp;"'!$b$10:$b$44"))," ")</f>
        <v>16</v>
      </c>
      <c r="E29" s="42" t="str">
        <f t="array" aca="1" ref="E29" ca="1">_xlfn.IFNA(_xlfn.XLOOKUP($A29,INDIRECT("'"&amp;E$4&amp;"'!$E$10:$E$44"),INDIRECT("'"&amp;E$4&amp;"'!$b$10:$b$44"))," ")</f>
        <v xml:space="preserve"> </v>
      </c>
      <c r="F29" s="42" t="str">
        <f t="array" aca="1" ref="F29" ca="1">_xlfn.IFNA(_xlfn.XLOOKUP($A29,INDIRECT("'"&amp;F$4&amp;"'!$E$10:$E$44"),INDIRECT("'"&amp;F$4&amp;"'!$b$10:$b$44"))," ")</f>
        <v xml:space="preserve"> </v>
      </c>
      <c r="G29" s="42" t="str">
        <f t="array" aca="1" ref="G29" ca="1">_xlfn.IFNA(_xlfn.XLOOKUP($A29,INDIRECT("'"&amp;G$4&amp;"'!$E$10:$E$44"),INDIRECT("'"&amp;G$4&amp;"'!$b$10:$b$44"))," ")</f>
        <v xml:space="preserve"> </v>
      </c>
      <c r="H29" s="42" t="str">
        <f t="array" aca="1" ref="H29" ca="1">_xlfn.IFNA(_xlfn.XLOOKUP($A29,INDIRECT("'"&amp;H$4&amp;"'!$E$10:$E$44"),INDIRECT("'"&amp;H$4&amp;"'!$b$10:$b$44"))," ")</f>
        <v xml:space="preserve"> </v>
      </c>
      <c r="I29" s="42" t="str">
        <f t="array" aca="1" ref="I29" ca="1">_xlfn.IFNA(_xlfn.XLOOKUP($A29,INDIRECT("'"&amp;I$4&amp;"'!$E$10:$E$44"),INDIRECT("'"&amp;I$4&amp;"'!$b$10:$b$44"))," ")</f>
        <v xml:space="preserve"> </v>
      </c>
      <c r="J29" s="42" t="str">
        <f t="array" aca="1" ref="J29" ca="1">_xlfn.IFNA(_xlfn.XLOOKUP($A29,INDIRECT("'"&amp;J$4&amp;"'!$E$10:$E$44"),INDIRECT("'"&amp;J$4&amp;"'!$b$10:$b$44"))," ")</f>
        <v xml:space="preserve"> </v>
      </c>
      <c r="K29" s="42" t="str">
        <f t="array" aca="1" ref="K29" ca="1">_xlfn.IFNA(_xlfn.XLOOKUP($A29,INDIRECT("'"&amp;K$4&amp;"'!$E$10:$E$44"),INDIRECT("'"&amp;K$4&amp;"'!$b$10:$b$44"))," ")</f>
        <v xml:space="preserve"> </v>
      </c>
      <c r="L29" s="42" t="str">
        <f t="array" aca="1" ref="L29" ca="1">_xlfn.IFNA(_xlfn.XLOOKUP($A29,INDIRECT("'"&amp;L$4&amp;"'!$E$10:$E$44"),INDIRECT("'"&amp;L$4&amp;"'!$b$10:$b$44"))," ")</f>
        <v xml:space="preserve"> </v>
      </c>
      <c r="M29" s="42" t="str">
        <f t="array" aca="1" ref="M29" ca="1">_xlfn.IFNA(_xlfn.XLOOKUP($A29,INDIRECT("'"&amp;M$4&amp;"'!$E$10:$E$44"),INDIRECT("'"&amp;M$4&amp;"'!$b$10:$b$44"))," ")</f>
        <v xml:space="preserve"> </v>
      </c>
      <c r="N29" s="42" t="str">
        <f t="array" aca="1" ref="N29" ca="1">_xlfn.IFNA(_xlfn.XLOOKUP($A29,INDIRECT("'"&amp;N$4&amp;"'!$E$10:$E$44"),INDIRECT("'"&amp;N$4&amp;"'!$b$10:$b$44"))," ")</f>
        <v xml:space="preserve"> </v>
      </c>
      <c r="O29" s="42" t="str">
        <f t="array" aca="1" ref="O29" ca="1">_xlfn.IFNA(_xlfn.XLOOKUP($A29,INDIRECT("'"&amp;O$4&amp;"'!$E$10:$E$44"),INDIRECT("'"&amp;O$4&amp;"'!$b$10:$b$44"))," ")</f>
        <v xml:space="preserve"> </v>
      </c>
      <c r="P29" s="42" t="str">
        <f t="array" aca="1" ref="P29" ca="1">_xlfn.IFNA(_xlfn.XLOOKUP($A29,INDIRECT("'"&amp;P$4&amp;"'!$E$10:$E$44"),INDIRECT("'"&amp;P$4&amp;"'!$b$10:$b$44"))," ")</f>
        <v xml:space="preserve"> </v>
      </c>
      <c r="Q29" s="42" t="str">
        <f t="array" aca="1" ref="Q29" ca="1">_xlfn.IFNA(_xlfn.XLOOKUP($A29,INDIRECT("'"&amp;Q$4&amp;"'!$E$10:$E$44"),INDIRECT("'"&amp;Q$4&amp;"'!$b$10:$b$44"))," ")</f>
        <v xml:space="preserve"> </v>
      </c>
      <c r="T29" s="42">
        <f t="shared" ca="1" si="0"/>
        <v>32</v>
      </c>
      <c r="U29" s="19">
        <f t="shared" ca="1" si="1"/>
        <v>10.666666666666666</v>
      </c>
      <c r="V29" s="42">
        <f t="shared" ca="1" si="2"/>
        <v>16</v>
      </c>
      <c r="W29" s="42">
        <f t="shared" ca="1" si="3"/>
        <v>6</v>
      </c>
      <c r="X29" s="42">
        <f ca="1">RANK(T29,$T$5:$T$39)+COUNTIF($T$5:T29,T29)-1</f>
        <v>30</v>
      </c>
      <c r="Y29" s="34">
        <f t="array" aca="1" ref="Y29" ca="1">IFERROR(T29/SUMPRODUCT(($B29:$C29&lt;&gt;"")*$B$3:$C$3),0)</f>
        <v>1</v>
      </c>
    </row>
    <row r="30" spans="1:25" x14ac:dyDescent="0.3">
      <c r="A30" t="s">
        <v>74</v>
      </c>
      <c r="B30" s="42">
        <f t="array" aca="1" ref="B30" ca="1">_xlfn.IFNA(_xlfn.XLOOKUP($A30,INDIRECT("'"&amp;B$4&amp;"'!$E$10:$E$44"),INDIRECT("'"&amp;B$4&amp;"'!$b$10:$b$44"))," ")</f>
        <v>12</v>
      </c>
      <c r="C30" s="42">
        <f t="array" aca="1" ref="C30" ca="1">_xlfn.IFNA(_xlfn.XLOOKUP($A30,INDIRECT("'"&amp;C$4&amp;"'!$E$10:$E$44"),INDIRECT("'"&amp;C$4&amp;"'!$b$10:$b$44"))," ")</f>
        <v>13</v>
      </c>
      <c r="D30" s="42" t="str">
        <f t="array" aca="1" ref="D30" ca="1">_xlfn.IFNA(_xlfn.XLOOKUP($A30,INDIRECT("'"&amp;D$4&amp;"'!$E$10:$E$44"),INDIRECT("'"&amp;D$4&amp;"'!$b$10:$b$44"))," ")</f>
        <v xml:space="preserve"> </v>
      </c>
      <c r="E30" s="42" t="str">
        <f t="array" aca="1" ref="E30" ca="1">_xlfn.IFNA(_xlfn.XLOOKUP($A30,INDIRECT("'"&amp;E$4&amp;"'!$E$10:$E$44"),INDIRECT("'"&amp;E$4&amp;"'!$b$10:$b$44"))," ")</f>
        <v xml:space="preserve"> </v>
      </c>
      <c r="F30" s="42" t="str">
        <f t="array" aca="1" ref="F30" ca="1">_xlfn.IFNA(_xlfn.XLOOKUP($A30,INDIRECT("'"&amp;F$4&amp;"'!$E$10:$E$44"),INDIRECT("'"&amp;F$4&amp;"'!$b$10:$b$44"))," ")</f>
        <v xml:space="preserve"> </v>
      </c>
      <c r="G30" s="42" t="str">
        <f t="array" aca="1" ref="G30" ca="1">_xlfn.IFNA(_xlfn.XLOOKUP($A30,INDIRECT("'"&amp;G$4&amp;"'!$E$10:$E$44"),INDIRECT("'"&amp;G$4&amp;"'!$b$10:$b$44"))," ")</f>
        <v xml:space="preserve"> </v>
      </c>
      <c r="H30" s="42" t="str">
        <f t="array" aca="1" ref="H30" ca="1">_xlfn.IFNA(_xlfn.XLOOKUP($A30,INDIRECT("'"&amp;H$4&amp;"'!$E$10:$E$44"),INDIRECT("'"&amp;H$4&amp;"'!$b$10:$b$44"))," ")</f>
        <v xml:space="preserve"> </v>
      </c>
      <c r="I30" s="42" t="str">
        <f t="array" aca="1" ref="I30" ca="1">_xlfn.IFNA(_xlfn.XLOOKUP($A30,INDIRECT("'"&amp;I$4&amp;"'!$E$10:$E$44"),INDIRECT("'"&amp;I$4&amp;"'!$b$10:$b$44"))," ")</f>
        <v xml:space="preserve"> </v>
      </c>
      <c r="J30" s="42" t="str">
        <f t="array" aca="1" ref="J30" ca="1">_xlfn.IFNA(_xlfn.XLOOKUP($A30,INDIRECT("'"&amp;J$4&amp;"'!$E$10:$E$44"),INDIRECT("'"&amp;J$4&amp;"'!$b$10:$b$44"))," ")</f>
        <v xml:space="preserve"> </v>
      </c>
      <c r="K30" s="42" t="str">
        <f t="array" aca="1" ref="K30" ca="1">_xlfn.IFNA(_xlfn.XLOOKUP($A30,INDIRECT("'"&amp;K$4&amp;"'!$E$10:$E$44"),INDIRECT("'"&amp;K$4&amp;"'!$b$10:$b$44"))," ")</f>
        <v xml:space="preserve"> </v>
      </c>
      <c r="L30" s="42" t="str">
        <f t="array" aca="1" ref="L30" ca="1">_xlfn.IFNA(_xlfn.XLOOKUP($A30,INDIRECT("'"&amp;L$4&amp;"'!$E$10:$E$44"),INDIRECT("'"&amp;L$4&amp;"'!$b$10:$b$44"))," ")</f>
        <v xml:space="preserve"> </v>
      </c>
      <c r="M30" s="42" t="str">
        <f t="array" aca="1" ref="M30" ca="1">_xlfn.IFNA(_xlfn.XLOOKUP($A30,INDIRECT("'"&amp;M$4&amp;"'!$E$10:$E$44"),INDIRECT("'"&amp;M$4&amp;"'!$b$10:$b$44"))," ")</f>
        <v xml:space="preserve"> </v>
      </c>
      <c r="N30" s="42" t="str">
        <f t="array" aca="1" ref="N30" ca="1">_xlfn.IFNA(_xlfn.XLOOKUP($A30,INDIRECT("'"&amp;N$4&amp;"'!$E$10:$E$44"),INDIRECT("'"&amp;N$4&amp;"'!$b$10:$b$44"))," ")</f>
        <v xml:space="preserve"> </v>
      </c>
      <c r="O30" s="42" t="str">
        <f t="array" aca="1" ref="O30" ca="1">_xlfn.IFNA(_xlfn.XLOOKUP($A30,INDIRECT("'"&amp;O$4&amp;"'!$E$10:$E$44"),INDIRECT("'"&amp;O$4&amp;"'!$b$10:$b$44"))," ")</f>
        <v xml:space="preserve"> </v>
      </c>
      <c r="P30" s="42" t="str">
        <f t="array" aca="1" ref="P30" ca="1">_xlfn.IFNA(_xlfn.XLOOKUP($A30,INDIRECT("'"&amp;P$4&amp;"'!$E$10:$E$44"),INDIRECT("'"&amp;P$4&amp;"'!$b$10:$b$44"))," ")</f>
        <v xml:space="preserve"> </v>
      </c>
      <c r="Q30" s="42" t="str">
        <f t="array" aca="1" ref="Q30" ca="1">_xlfn.IFNA(_xlfn.XLOOKUP($A30,INDIRECT("'"&amp;Q$4&amp;"'!$E$10:$E$44"),INDIRECT("'"&amp;Q$4&amp;"'!$b$10:$b$44"))," ")</f>
        <v xml:space="preserve"> </v>
      </c>
      <c r="T30" s="42">
        <f t="shared" ca="1" si="0"/>
        <v>25</v>
      </c>
      <c r="U30" s="19">
        <f t="shared" ca="1" si="1"/>
        <v>12.5</v>
      </c>
      <c r="V30" s="42">
        <f t="shared" ca="1" si="2"/>
        <v>13</v>
      </c>
      <c r="W30" s="42">
        <f t="shared" ca="1" si="3"/>
        <v>12</v>
      </c>
      <c r="X30" s="42">
        <f ca="1">RANK(T30,$T$5:$T$39)+COUNTIF($T$5:T30,T30)-1</f>
        <v>33</v>
      </c>
      <c r="Y30" s="34">
        <f t="array" aca="1" ref="Y30" ca="1">IFERROR(T30/SUMPRODUCT(($B30:$C30&lt;&gt;"")*$B$3:$C$3),0)</f>
        <v>0.78125</v>
      </c>
    </row>
    <row r="31" spans="1:25" x14ac:dyDescent="0.3">
      <c r="A31" s="25" t="s">
        <v>21</v>
      </c>
      <c r="B31" s="26">
        <f t="array" aca="1" ref="B31" ca="1">_xlfn.IFNA(_xlfn.XLOOKUP($A31,INDIRECT("'"&amp;B$4&amp;"'!$E$10:$E$44"),INDIRECT("'"&amp;B$4&amp;"'!$b$10:$b$44"))," ")</f>
        <v>10</v>
      </c>
      <c r="C31" s="26">
        <f t="array" aca="1" ref="C31" ca="1">_xlfn.IFNA(_xlfn.XLOOKUP($A31,INDIRECT("'"&amp;C$4&amp;"'!$E$10:$E$44"),INDIRECT("'"&amp;C$4&amp;"'!$b$10:$b$44"))," ")</f>
        <v>10</v>
      </c>
      <c r="D31" s="26">
        <f t="array" aca="1" ref="D31" ca="1">_xlfn.IFNA(_xlfn.XLOOKUP($A31,INDIRECT("'"&amp;D$4&amp;"'!$E$10:$E$44"),INDIRECT("'"&amp;D$4&amp;"'!$b$10:$b$44"))," ")</f>
        <v>15</v>
      </c>
      <c r="E31" s="26" t="str">
        <f t="array" aca="1" ref="E31" ca="1">_xlfn.IFNA(_xlfn.XLOOKUP($A31,INDIRECT("'"&amp;E$4&amp;"'!$E$10:$E$44"),INDIRECT("'"&amp;E$4&amp;"'!$b$10:$b$44"))," ")</f>
        <v xml:space="preserve"> </v>
      </c>
      <c r="F31" s="26" t="str">
        <f t="array" aca="1" ref="F31" ca="1">_xlfn.IFNA(_xlfn.XLOOKUP($A31,INDIRECT("'"&amp;F$4&amp;"'!$E$10:$E$44"),INDIRECT("'"&amp;F$4&amp;"'!$b$10:$b$44"))," ")</f>
        <v xml:space="preserve"> </v>
      </c>
      <c r="G31" s="26" t="str">
        <f t="array" aca="1" ref="G31" ca="1">_xlfn.IFNA(_xlfn.XLOOKUP($A31,INDIRECT("'"&amp;G$4&amp;"'!$E$10:$E$44"),INDIRECT("'"&amp;G$4&amp;"'!$b$10:$b$44"))," ")</f>
        <v xml:space="preserve"> </v>
      </c>
      <c r="H31" s="26" t="str">
        <f t="array" aca="1" ref="H31" ca="1">_xlfn.IFNA(_xlfn.XLOOKUP($A31,INDIRECT("'"&amp;H$4&amp;"'!$E$10:$E$44"),INDIRECT("'"&amp;H$4&amp;"'!$b$10:$b$44"))," ")</f>
        <v xml:space="preserve"> </v>
      </c>
      <c r="I31" s="26" t="str">
        <f t="array" aca="1" ref="I31" ca="1">_xlfn.IFNA(_xlfn.XLOOKUP($A31,INDIRECT("'"&amp;I$4&amp;"'!$E$10:$E$44"),INDIRECT("'"&amp;I$4&amp;"'!$b$10:$b$44"))," ")</f>
        <v xml:space="preserve"> </v>
      </c>
      <c r="J31" s="26" t="str">
        <f t="array" aca="1" ref="J31" ca="1">_xlfn.IFNA(_xlfn.XLOOKUP($A31,INDIRECT("'"&amp;J$4&amp;"'!$E$10:$E$44"),INDIRECT("'"&amp;J$4&amp;"'!$b$10:$b$44"))," ")</f>
        <v xml:space="preserve"> </v>
      </c>
      <c r="K31" s="26" t="str">
        <f t="array" aca="1" ref="K31" ca="1">_xlfn.IFNA(_xlfn.XLOOKUP($A31,INDIRECT("'"&amp;K$4&amp;"'!$E$10:$E$44"),INDIRECT("'"&amp;K$4&amp;"'!$b$10:$b$44"))," ")</f>
        <v xml:space="preserve"> </v>
      </c>
      <c r="L31" s="26" t="str">
        <f t="array" aca="1" ref="L31" ca="1">_xlfn.IFNA(_xlfn.XLOOKUP($A31,INDIRECT("'"&amp;L$4&amp;"'!$E$10:$E$44"),INDIRECT("'"&amp;L$4&amp;"'!$b$10:$b$44"))," ")</f>
        <v xml:space="preserve"> </v>
      </c>
      <c r="M31" s="26" t="str">
        <f t="array" aca="1" ref="M31" ca="1">_xlfn.IFNA(_xlfn.XLOOKUP($A31,INDIRECT("'"&amp;M$4&amp;"'!$E$10:$E$44"),INDIRECT("'"&amp;M$4&amp;"'!$b$10:$b$44"))," ")</f>
        <v xml:space="preserve"> </v>
      </c>
      <c r="N31" s="26" t="str">
        <f t="array" aca="1" ref="N31" ca="1">_xlfn.IFNA(_xlfn.XLOOKUP($A31,INDIRECT("'"&amp;N$4&amp;"'!$E$10:$E$44"),INDIRECT("'"&amp;N$4&amp;"'!$b$10:$b$44"))," ")</f>
        <v xml:space="preserve"> </v>
      </c>
      <c r="O31" s="26" t="str">
        <f t="array" aca="1" ref="O31" ca="1">_xlfn.IFNA(_xlfn.XLOOKUP($A31,INDIRECT("'"&amp;O$4&amp;"'!$E$10:$E$44"),INDIRECT("'"&amp;O$4&amp;"'!$b$10:$b$44"))," ")</f>
        <v xml:space="preserve"> </v>
      </c>
      <c r="P31" s="26" t="str">
        <f t="array" aca="1" ref="P31" ca="1">_xlfn.IFNA(_xlfn.XLOOKUP($A31,INDIRECT("'"&amp;P$4&amp;"'!$E$10:$E$44"),INDIRECT("'"&amp;P$4&amp;"'!$b$10:$b$44"))," ")</f>
        <v xml:space="preserve"> </v>
      </c>
      <c r="Q31" s="26" t="str">
        <f t="array" aca="1" ref="Q31" ca="1">_xlfn.IFNA(_xlfn.XLOOKUP($A31,INDIRECT("'"&amp;Q$4&amp;"'!$E$10:$E$44"),INDIRECT("'"&amp;Q$4&amp;"'!$b$10:$b$44"))," ")</f>
        <v xml:space="preserve"> </v>
      </c>
      <c r="R31" s="26"/>
      <c r="S31" s="26"/>
      <c r="T31" s="42">
        <f t="shared" ca="1" si="0"/>
        <v>35</v>
      </c>
      <c r="U31" s="27">
        <f t="shared" ca="1" si="1"/>
        <v>11.666666666666666</v>
      </c>
      <c r="V31" s="26">
        <f t="shared" ca="1" si="2"/>
        <v>15</v>
      </c>
      <c r="W31" s="26">
        <f t="shared" ca="1" si="3"/>
        <v>10</v>
      </c>
      <c r="X31" s="26">
        <f ca="1">RANK(T31,$T$5:$T$39)+COUNTIF($T$5:T31,T31)-1</f>
        <v>19</v>
      </c>
      <c r="Y31" s="34">
        <f t="array" aca="1" ref="Y31" ca="1">IFERROR(T31/SUMPRODUCT(($B31:$C31&lt;&gt;"")*$B$3:$C$3),0)</f>
        <v>1.09375</v>
      </c>
    </row>
    <row r="32" spans="1:25" x14ac:dyDescent="0.3">
      <c r="A32" t="s">
        <v>75</v>
      </c>
      <c r="B32" s="42">
        <f t="array" aca="1" ref="B32" ca="1">_xlfn.IFNA(_xlfn.XLOOKUP($A32,INDIRECT("'"&amp;B$4&amp;"'!$E$10:$E$44"),INDIRECT("'"&amp;B$4&amp;"'!$b$10:$b$44"))," ")</f>
        <v>10</v>
      </c>
      <c r="C32" s="42">
        <f t="array" aca="1" ref="C32" ca="1">_xlfn.IFNA(_xlfn.XLOOKUP($A32,INDIRECT("'"&amp;C$4&amp;"'!$E$10:$E$44"),INDIRECT("'"&amp;C$4&amp;"'!$b$10:$b$44"))," ")</f>
        <v>11</v>
      </c>
      <c r="D32" s="42">
        <f t="array" aca="1" ref="D32" ca="1">_xlfn.IFNA(_xlfn.XLOOKUP($A32,INDIRECT("'"&amp;D$4&amp;"'!$E$10:$E$44"),INDIRECT("'"&amp;D$4&amp;"'!$b$10:$b$44"))," ")</f>
        <v>15</v>
      </c>
      <c r="E32" s="42" t="str">
        <f t="array" aca="1" ref="E32" ca="1">_xlfn.IFNA(_xlfn.XLOOKUP($A32,INDIRECT("'"&amp;E$4&amp;"'!$E$10:$E$44"),INDIRECT("'"&amp;E$4&amp;"'!$b$10:$b$44"))," ")</f>
        <v xml:space="preserve"> </v>
      </c>
      <c r="F32" s="42" t="str">
        <f t="array" aca="1" ref="F32" ca="1">_xlfn.IFNA(_xlfn.XLOOKUP($A32,INDIRECT("'"&amp;F$4&amp;"'!$E$10:$E$44"),INDIRECT("'"&amp;F$4&amp;"'!$b$10:$b$44"))," ")</f>
        <v xml:space="preserve"> </v>
      </c>
      <c r="G32" s="42" t="str">
        <f t="array" aca="1" ref="G32" ca="1">_xlfn.IFNA(_xlfn.XLOOKUP($A32,INDIRECT("'"&amp;G$4&amp;"'!$E$10:$E$44"),INDIRECT("'"&amp;G$4&amp;"'!$b$10:$b$44"))," ")</f>
        <v xml:space="preserve"> </v>
      </c>
      <c r="H32" s="42" t="str">
        <f t="array" aca="1" ref="H32" ca="1">_xlfn.IFNA(_xlfn.XLOOKUP($A32,INDIRECT("'"&amp;H$4&amp;"'!$E$10:$E$44"),INDIRECT("'"&amp;H$4&amp;"'!$b$10:$b$44"))," ")</f>
        <v xml:space="preserve"> </v>
      </c>
      <c r="I32" s="42" t="str">
        <f t="array" aca="1" ref="I32" ca="1">_xlfn.IFNA(_xlfn.XLOOKUP($A32,INDIRECT("'"&amp;I$4&amp;"'!$E$10:$E$44"),INDIRECT("'"&amp;I$4&amp;"'!$b$10:$b$44"))," ")</f>
        <v xml:space="preserve"> </v>
      </c>
      <c r="J32" s="42" t="str">
        <f t="array" aca="1" ref="J32" ca="1">_xlfn.IFNA(_xlfn.XLOOKUP($A32,INDIRECT("'"&amp;J$4&amp;"'!$E$10:$E$44"),INDIRECT("'"&amp;J$4&amp;"'!$b$10:$b$44"))," ")</f>
        <v xml:space="preserve"> </v>
      </c>
      <c r="K32" s="42" t="str">
        <f t="array" aca="1" ref="K32" ca="1">_xlfn.IFNA(_xlfn.XLOOKUP($A32,INDIRECT("'"&amp;K$4&amp;"'!$E$10:$E$44"),INDIRECT("'"&amp;K$4&amp;"'!$b$10:$b$44"))," ")</f>
        <v xml:space="preserve"> </v>
      </c>
      <c r="L32" s="42" t="str">
        <f t="array" aca="1" ref="L32" ca="1">_xlfn.IFNA(_xlfn.XLOOKUP($A32,INDIRECT("'"&amp;L$4&amp;"'!$E$10:$E$44"),INDIRECT("'"&amp;L$4&amp;"'!$b$10:$b$44"))," ")</f>
        <v xml:space="preserve"> </v>
      </c>
      <c r="M32" s="42" t="str">
        <f t="array" aca="1" ref="M32" ca="1">_xlfn.IFNA(_xlfn.XLOOKUP($A32,INDIRECT("'"&amp;M$4&amp;"'!$E$10:$E$44"),INDIRECT("'"&amp;M$4&amp;"'!$b$10:$b$44"))," ")</f>
        <v xml:space="preserve"> </v>
      </c>
      <c r="N32" s="42" t="str">
        <f t="array" aca="1" ref="N32" ca="1">_xlfn.IFNA(_xlfn.XLOOKUP($A32,INDIRECT("'"&amp;N$4&amp;"'!$E$10:$E$44"),INDIRECT("'"&amp;N$4&amp;"'!$b$10:$b$44"))," ")</f>
        <v xml:space="preserve"> </v>
      </c>
      <c r="O32" s="42" t="str">
        <f t="array" aca="1" ref="O32" ca="1">_xlfn.IFNA(_xlfn.XLOOKUP($A32,INDIRECT("'"&amp;O$4&amp;"'!$E$10:$E$44"),INDIRECT("'"&amp;O$4&amp;"'!$b$10:$b$44"))," ")</f>
        <v xml:space="preserve"> </v>
      </c>
      <c r="P32" s="42" t="str">
        <f t="array" aca="1" ref="P32" ca="1">_xlfn.IFNA(_xlfn.XLOOKUP($A32,INDIRECT("'"&amp;P$4&amp;"'!$E$10:$E$44"),INDIRECT("'"&amp;P$4&amp;"'!$b$10:$b$44"))," ")</f>
        <v xml:space="preserve"> </v>
      </c>
      <c r="Q32" s="42" t="str">
        <f t="array" aca="1" ref="Q32" ca="1">_xlfn.IFNA(_xlfn.XLOOKUP($A32,INDIRECT("'"&amp;Q$4&amp;"'!$E$10:$E$44"),INDIRECT("'"&amp;Q$4&amp;"'!$b$10:$b$44"))," ")</f>
        <v xml:space="preserve"> </v>
      </c>
      <c r="T32" s="42">
        <f t="shared" ca="1" si="0"/>
        <v>36</v>
      </c>
      <c r="U32" s="19">
        <f t="shared" ca="1" si="1"/>
        <v>12</v>
      </c>
      <c r="V32" s="42">
        <f t="shared" ca="1" si="2"/>
        <v>15</v>
      </c>
      <c r="W32" s="42">
        <f t="shared" ca="1" si="3"/>
        <v>10</v>
      </c>
      <c r="X32" s="42">
        <f ca="1">RANK(T32,$T$5:$T$39)+COUNTIF($T$5:T32,T32)-1</f>
        <v>13</v>
      </c>
      <c r="Y32" s="34">
        <f t="array" aca="1" ref="Y32" ca="1">IFERROR(T32/SUMPRODUCT(($B32:$C32&lt;&gt;"")*$B$3:$C$3),0)</f>
        <v>1.125</v>
      </c>
    </row>
    <row r="33" spans="1:25" x14ac:dyDescent="0.3">
      <c r="A33" t="s">
        <v>76</v>
      </c>
      <c r="B33" s="42">
        <f t="array" aca="1" ref="B33" ca="1">_xlfn.IFNA(_xlfn.XLOOKUP($A33,INDIRECT("'"&amp;B$4&amp;"'!$E$10:$E$44"),INDIRECT("'"&amp;B$4&amp;"'!$b$10:$b$44"))," ")</f>
        <v>11</v>
      </c>
      <c r="C33" s="42">
        <f t="array" aca="1" ref="C33" ca="1">_xlfn.IFNA(_xlfn.XLOOKUP($A33,INDIRECT("'"&amp;C$4&amp;"'!$E$10:$E$44"),INDIRECT("'"&amp;C$4&amp;"'!$b$10:$b$44"))," ")</f>
        <v>10</v>
      </c>
      <c r="D33" s="42">
        <f t="array" aca="1" ref="D33" ca="1">_xlfn.IFNA(_xlfn.XLOOKUP($A33,INDIRECT("'"&amp;D$4&amp;"'!$E$10:$E$44"),INDIRECT("'"&amp;D$4&amp;"'!$b$10:$b$44"))," ")</f>
        <v>16</v>
      </c>
      <c r="E33" s="42" t="str">
        <f t="array" aca="1" ref="E33" ca="1">_xlfn.IFNA(_xlfn.XLOOKUP($A33,INDIRECT("'"&amp;E$4&amp;"'!$E$10:$E$44"),INDIRECT("'"&amp;E$4&amp;"'!$b$10:$b$44"))," ")</f>
        <v xml:space="preserve"> </v>
      </c>
      <c r="F33" s="42" t="str">
        <f t="array" aca="1" ref="F33" ca="1">_xlfn.IFNA(_xlfn.XLOOKUP($A33,INDIRECT("'"&amp;F$4&amp;"'!$E$10:$E$44"),INDIRECT("'"&amp;F$4&amp;"'!$b$10:$b$44"))," ")</f>
        <v xml:space="preserve"> </v>
      </c>
      <c r="G33" s="42" t="str">
        <f t="array" aca="1" ref="G33" ca="1">_xlfn.IFNA(_xlfn.XLOOKUP($A33,INDIRECT("'"&amp;G$4&amp;"'!$E$10:$E$44"),INDIRECT("'"&amp;G$4&amp;"'!$b$10:$b$44"))," ")</f>
        <v xml:space="preserve"> </v>
      </c>
      <c r="H33" s="42" t="str">
        <f t="array" aca="1" ref="H33" ca="1">_xlfn.IFNA(_xlfn.XLOOKUP($A33,INDIRECT("'"&amp;H$4&amp;"'!$E$10:$E$44"),INDIRECT("'"&amp;H$4&amp;"'!$b$10:$b$44"))," ")</f>
        <v xml:space="preserve"> </v>
      </c>
      <c r="I33" s="42" t="str">
        <f t="array" aca="1" ref="I33" ca="1">_xlfn.IFNA(_xlfn.XLOOKUP($A33,INDIRECT("'"&amp;I$4&amp;"'!$E$10:$E$44"),INDIRECT("'"&amp;I$4&amp;"'!$b$10:$b$44"))," ")</f>
        <v xml:space="preserve"> </v>
      </c>
      <c r="J33" s="42" t="str">
        <f t="array" aca="1" ref="J33" ca="1">_xlfn.IFNA(_xlfn.XLOOKUP($A33,INDIRECT("'"&amp;J$4&amp;"'!$E$10:$E$44"),INDIRECT("'"&amp;J$4&amp;"'!$b$10:$b$44"))," ")</f>
        <v xml:space="preserve"> </v>
      </c>
      <c r="K33" s="42" t="str">
        <f t="array" aca="1" ref="K33" ca="1">_xlfn.IFNA(_xlfn.XLOOKUP($A33,INDIRECT("'"&amp;K$4&amp;"'!$E$10:$E$44"),INDIRECT("'"&amp;K$4&amp;"'!$b$10:$b$44"))," ")</f>
        <v xml:space="preserve"> </v>
      </c>
      <c r="L33" s="42" t="str">
        <f t="array" aca="1" ref="L33" ca="1">_xlfn.IFNA(_xlfn.XLOOKUP($A33,INDIRECT("'"&amp;L$4&amp;"'!$E$10:$E$44"),INDIRECT("'"&amp;L$4&amp;"'!$b$10:$b$44"))," ")</f>
        <v xml:space="preserve"> </v>
      </c>
      <c r="M33" s="42" t="str">
        <f t="array" aca="1" ref="M33" ca="1">_xlfn.IFNA(_xlfn.XLOOKUP($A33,INDIRECT("'"&amp;M$4&amp;"'!$E$10:$E$44"),INDIRECT("'"&amp;M$4&amp;"'!$b$10:$b$44"))," ")</f>
        <v xml:space="preserve"> </v>
      </c>
      <c r="N33" s="42" t="str">
        <f t="array" aca="1" ref="N33" ca="1">_xlfn.IFNA(_xlfn.XLOOKUP($A33,INDIRECT("'"&amp;N$4&amp;"'!$E$10:$E$44"),INDIRECT("'"&amp;N$4&amp;"'!$b$10:$b$44"))," ")</f>
        <v xml:space="preserve"> </v>
      </c>
      <c r="O33" s="42" t="str">
        <f t="array" aca="1" ref="O33" ca="1">_xlfn.IFNA(_xlfn.XLOOKUP($A33,INDIRECT("'"&amp;O$4&amp;"'!$E$10:$E$44"),INDIRECT("'"&amp;O$4&amp;"'!$b$10:$b$44"))," ")</f>
        <v xml:space="preserve"> </v>
      </c>
      <c r="P33" s="42" t="str">
        <f t="array" aca="1" ref="P33" ca="1">_xlfn.IFNA(_xlfn.XLOOKUP($A33,INDIRECT("'"&amp;P$4&amp;"'!$E$10:$E$44"),INDIRECT("'"&amp;P$4&amp;"'!$b$10:$b$44"))," ")</f>
        <v xml:space="preserve"> </v>
      </c>
      <c r="Q33" s="42" t="str">
        <f t="array" aca="1" ref="Q33" ca="1">_xlfn.IFNA(_xlfn.XLOOKUP($A33,INDIRECT("'"&amp;Q$4&amp;"'!$E$10:$E$44"),INDIRECT("'"&amp;Q$4&amp;"'!$b$10:$b$44"))," ")</f>
        <v xml:space="preserve"> </v>
      </c>
      <c r="T33" s="42">
        <f t="shared" ca="1" si="0"/>
        <v>37</v>
      </c>
      <c r="U33" s="19">
        <f t="shared" ca="1" si="1"/>
        <v>12.333333333333334</v>
      </c>
      <c r="V33" s="42">
        <f t="shared" ca="1" si="2"/>
        <v>16</v>
      </c>
      <c r="W33" s="42">
        <f t="shared" ca="1" si="3"/>
        <v>10</v>
      </c>
      <c r="X33" s="42">
        <f ca="1">RANK(T33,$T$5:$T$39)+COUNTIF($T$5:T33,T33)-1</f>
        <v>9</v>
      </c>
      <c r="Y33" s="34">
        <f t="array" aca="1" ref="Y33" ca="1">IFERROR(T33/SUMPRODUCT(($B33:$C33&lt;&gt;"")*$B$3:$C$3),0)</f>
        <v>1.15625</v>
      </c>
    </row>
    <row r="34" spans="1:25" x14ac:dyDescent="0.3">
      <c r="A34" t="s">
        <v>77</v>
      </c>
      <c r="B34" s="42">
        <f t="array" aca="1" ref="B34" ca="1">_xlfn.IFNA(_xlfn.XLOOKUP($A34,INDIRECT("'"&amp;B$4&amp;"'!$E$10:$E$44"),INDIRECT("'"&amp;B$4&amp;"'!$b$10:$b$44"))," ")</f>
        <v>12</v>
      </c>
      <c r="C34" s="42">
        <f t="array" aca="1" ref="C34" ca="1">_xlfn.IFNA(_xlfn.XLOOKUP($A34,INDIRECT("'"&amp;C$4&amp;"'!$E$10:$E$44"),INDIRECT("'"&amp;C$4&amp;"'!$b$10:$b$44"))," ")</f>
        <v>9</v>
      </c>
      <c r="D34" s="42">
        <f t="array" aca="1" ref="D34" ca="1">_xlfn.IFNA(_xlfn.XLOOKUP($A34,INDIRECT("'"&amp;D$4&amp;"'!$E$10:$E$44"),INDIRECT("'"&amp;D$4&amp;"'!$b$10:$b$44"))," ")</f>
        <v>15</v>
      </c>
      <c r="E34" s="42" t="str">
        <f t="array" aca="1" ref="E34" ca="1">_xlfn.IFNA(_xlfn.XLOOKUP($A34,INDIRECT("'"&amp;E$4&amp;"'!$E$10:$E$44"),INDIRECT("'"&amp;E$4&amp;"'!$b$10:$b$44"))," ")</f>
        <v xml:space="preserve"> </v>
      </c>
      <c r="F34" s="42" t="str">
        <f t="array" aca="1" ref="F34" ca="1">_xlfn.IFNA(_xlfn.XLOOKUP($A34,INDIRECT("'"&amp;F$4&amp;"'!$E$10:$E$44"),INDIRECT("'"&amp;F$4&amp;"'!$b$10:$b$44"))," ")</f>
        <v xml:space="preserve"> </v>
      </c>
      <c r="G34" s="42" t="str">
        <f t="array" aca="1" ref="G34" ca="1">_xlfn.IFNA(_xlfn.XLOOKUP($A34,INDIRECT("'"&amp;G$4&amp;"'!$E$10:$E$44"),INDIRECT("'"&amp;G$4&amp;"'!$b$10:$b$44"))," ")</f>
        <v xml:space="preserve"> </v>
      </c>
      <c r="H34" s="42" t="str">
        <f t="array" aca="1" ref="H34" ca="1">_xlfn.IFNA(_xlfn.XLOOKUP($A34,INDIRECT("'"&amp;H$4&amp;"'!$E$10:$E$44"),INDIRECT("'"&amp;H$4&amp;"'!$b$10:$b$44"))," ")</f>
        <v xml:space="preserve"> </v>
      </c>
      <c r="I34" s="42" t="str">
        <f t="array" aca="1" ref="I34" ca="1">_xlfn.IFNA(_xlfn.XLOOKUP($A34,INDIRECT("'"&amp;I$4&amp;"'!$E$10:$E$44"),INDIRECT("'"&amp;I$4&amp;"'!$b$10:$b$44"))," ")</f>
        <v xml:space="preserve"> </v>
      </c>
      <c r="J34" s="42" t="str">
        <f t="array" aca="1" ref="J34" ca="1">_xlfn.IFNA(_xlfn.XLOOKUP($A34,INDIRECT("'"&amp;J$4&amp;"'!$E$10:$E$44"),INDIRECT("'"&amp;J$4&amp;"'!$b$10:$b$44"))," ")</f>
        <v xml:space="preserve"> </v>
      </c>
      <c r="K34" s="42" t="str">
        <f t="array" aca="1" ref="K34" ca="1">_xlfn.IFNA(_xlfn.XLOOKUP($A34,INDIRECT("'"&amp;K$4&amp;"'!$E$10:$E$44"),INDIRECT("'"&amp;K$4&amp;"'!$b$10:$b$44"))," ")</f>
        <v xml:space="preserve"> </v>
      </c>
      <c r="L34" s="42" t="str">
        <f t="array" aca="1" ref="L34" ca="1">_xlfn.IFNA(_xlfn.XLOOKUP($A34,INDIRECT("'"&amp;L$4&amp;"'!$E$10:$E$44"),INDIRECT("'"&amp;L$4&amp;"'!$b$10:$b$44"))," ")</f>
        <v xml:space="preserve"> </v>
      </c>
      <c r="M34" s="42" t="str">
        <f t="array" aca="1" ref="M34" ca="1">_xlfn.IFNA(_xlfn.XLOOKUP($A34,INDIRECT("'"&amp;M$4&amp;"'!$E$10:$E$44"),INDIRECT("'"&amp;M$4&amp;"'!$b$10:$b$44"))," ")</f>
        <v xml:space="preserve"> </v>
      </c>
      <c r="N34" s="42" t="str">
        <f t="array" aca="1" ref="N34" ca="1">_xlfn.IFNA(_xlfn.XLOOKUP($A34,INDIRECT("'"&amp;N$4&amp;"'!$E$10:$E$44"),INDIRECT("'"&amp;N$4&amp;"'!$b$10:$b$44"))," ")</f>
        <v xml:space="preserve"> </v>
      </c>
      <c r="O34" s="42" t="str">
        <f t="array" aca="1" ref="O34" ca="1">_xlfn.IFNA(_xlfn.XLOOKUP($A34,INDIRECT("'"&amp;O$4&amp;"'!$E$10:$E$44"),INDIRECT("'"&amp;O$4&amp;"'!$b$10:$b$44"))," ")</f>
        <v xml:space="preserve"> </v>
      </c>
      <c r="P34" s="42" t="str">
        <f t="array" aca="1" ref="P34" ca="1">_xlfn.IFNA(_xlfn.XLOOKUP($A34,INDIRECT("'"&amp;P$4&amp;"'!$E$10:$E$44"),INDIRECT("'"&amp;P$4&amp;"'!$b$10:$b$44"))," ")</f>
        <v xml:space="preserve"> </v>
      </c>
      <c r="Q34" s="42" t="str">
        <f t="array" aca="1" ref="Q34" ca="1">_xlfn.IFNA(_xlfn.XLOOKUP($A34,INDIRECT("'"&amp;Q$4&amp;"'!$E$10:$E$44"),INDIRECT("'"&amp;Q$4&amp;"'!$b$10:$b$44"))," ")</f>
        <v xml:space="preserve"> </v>
      </c>
      <c r="T34" s="42">
        <f t="shared" ca="1" si="0"/>
        <v>36</v>
      </c>
      <c r="U34" s="19">
        <f t="shared" ca="1" si="1"/>
        <v>12</v>
      </c>
      <c r="V34" s="42">
        <f t="shared" ca="1" si="2"/>
        <v>15</v>
      </c>
      <c r="W34" s="42">
        <f t="shared" ca="1" si="3"/>
        <v>9</v>
      </c>
      <c r="X34" s="42">
        <f ca="1">RANK(T34,$T$5:$T$39)+COUNTIF($T$5:T34,T34)-1</f>
        <v>14</v>
      </c>
      <c r="Y34" s="34">
        <f t="array" aca="1" ref="Y34" ca="1">IFERROR(T34/SUMPRODUCT(($B34:$C34&lt;&gt;"")*$B$3:$C$3),0)</f>
        <v>1.125</v>
      </c>
    </row>
    <row r="35" spans="1:25" x14ac:dyDescent="0.3">
      <c r="A35" t="s">
        <v>78</v>
      </c>
      <c r="B35" s="42">
        <f t="array" aca="1" ref="B35" ca="1">_xlfn.IFNA(_xlfn.XLOOKUP($A35,INDIRECT("'"&amp;B$4&amp;"'!$E$10:$E$44"),INDIRECT("'"&amp;B$4&amp;"'!$b$10:$b$44"))," ")</f>
        <v>9</v>
      </c>
      <c r="C35" s="42">
        <f t="array" aca="1" ref="C35" ca="1">_xlfn.IFNA(_xlfn.XLOOKUP($A35,INDIRECT("'"&amp;C$4&amp;"'!$E$10:$E$44"),INDIRECT("'"&amp;C$4&amp;"'!$b$10:$b$44"))," ")</f>
        <v>9</v>
      </c>
      <c r="D35" s="42">
        <f t="array" aca="1" ref="D35" ca="1">_xlfn.IFNA(_xlfn.XLOOKUP($A35,INDIRECT("'"&amp;D$4&amp;"'!$E$10:$E$44"),INDIRECT("'"&amp;D$4&amp;"'!$b$10:$b$44"))," ")</f>
        <v>16</v>
      </c>
      <c r="E35" s="42" t="str">
        <f t="array" aca="1" ref="E35" ca="1">_xlfn.IFNA(_xlfn.XLOOKUP($A35,INDIRECT("'"&amp;E$4&amp;"'!$E$10:$E$44"),INDIRECT("'"&amp;E$4&amp;"'!$b$10:$b$44"))," ")</f>
        <v xml:space="preserve"> </v>
      </c>
      <c r="F35" s="42" t="str">
        <f t="array" aca="1" ref="F35" ca="1">_xlfn.IFNA(_xlfn.XLOOKUP($A35,INDIRECT("'"&amp;F$4&amp;"'!$E$10:$E$44"),INDIRECT("'"&amp;F$4&amp;"'!$b$10:$b$44"))," ")</f>
        <v xml:space="preserve"> </v>
      </c>
      <c r="G35" s="42" t="str">
        <f t="array" aca="1" ref="G35" ca="1">_xlfn.IFNA(_xlfn.XLOOKUP($A35,INDIRECT("'"&amp;G$4&amp;"'!$E$10:$E$44"),INDIRECT("'"&amp;G$4&amp;"'!$b$10:$b$44"))," ")</f>
        <v xml:space="preserve"> </v>
      </c>
      <c r="H35" s="42" t="str">
        <f t="array" aca="1" ref="H35" ca="1">_xlfn.IFNA(_xlfn.XLOOKUP($A35,INDIRECT("'"&amp;H$4&amp;"'!$E$10:$E$44"),INDIRECT("'"&amp;H$4&amp;"'!$b$10:$b$44"))," ")</f>
        <v xml:space="preserve"> </v>
      </c>
      <c r="I35" s="42" t="str">
        <f t="array" aca="1" ref="I35" ca="1">_xlfn.IFNA(_xlfn.XLOOKUP($A35,INDIRECT("'"&amp;I$4&amp;"'!$E$10:$E$44"),INDIRECT("'"&amp;I$4&amp;"'!$b$10:$b$44"))," ")</f>
        <v xml:space="preserve"> </v>
      </c>
      <c r="J35" s="42" t="str">
        <f t="array" aca="1" ref="J35" ca="1">_xlfn.IFNA(_xlfn.XLOOKUP($A35,INDIRECT("'"&amp;J$4&amp;"'!$E$10:$E$44"),INDIRECT("'"&amp;J$4&amp;"'!$b$10:$b$44"))," ")</f>
        <v xml:space="preserve"> </v>
      </c>
      <c r="K35" s="42" t="str">
        <f t="array" aca="1" ref="K35" ca="1">_xlfn.IFNA(_xlfn.XLOOKUP($A35,INDIRECT("'"&amp;K$4&amp;"'!$E$10:$E$44"),INDIRECT("'"&amp;K$4&amp;"'!$b$10:$b$44"))," ")</f>
        <v xml:space="preserve"> </v>
      </c>
      <c r="L35" s="42" t="str">
        <f t="array" aca="1" ref="L35" ca="1">_xlfn.IFNA(_xlfn.XLOOKUP($A35,INDIRECT("'"&amp;L$4&amp;"'!$E$10:$E$44"),INDIRECT("'"&amp;L$4&amp;"'!$b$10:$b$44"))," ")</f>
        <v xml:space="preserve"> </v>
      </c>
      <c r="M35" s="42" t="str">
        <f t="array" aca="1" ref="M35" ca="1">_xlfn.IFNA(_xlfn.XLOOKUP($A35,INDIRECT("'"&amp;M$4&amp;"'!$E$10:$E$44"),INDIRECT("'"&amp;M$4&amp;"'!$b$10:$b$44"))," ")</f>
        <v xml:space="preserve"> </v>
      </c>
      <c r="N35" s="42" t="str">
        <f t="array" aca="1" ref="N35" ca="1">_xlfn.IFNA(_xlfn.XLOOKUP($A35,INDIRECT("'"&amp;N$4&amp;"'!$E$10:$E$44"),INDIRECT("'"&amp;N$4&amp;"'!$b$10:$b$44"))," ")</f>
        <v xml:space="preserve"> </v>
      </c>
      <c r="O35" s="42" t="str">
        <f t="array" aca="1" ref="O35" ca="1">_xlfn.IFNA(_xlfn.XLOOKUP($A35,INDIRECT("'"&amp;O$4&amp;"'!$E$10:$E$44"),INDIRECT("'"&amp;O$4&amp;"'!$b$10:$b$44"))," ")</f>
        <v xml:space="preserve"> </v>
      </c>
      <c r="P35" s="42" t="str">
        <f t="array" aca="1" ref="P35" ca="1">_xlfn.IFNA(_xlfn.XLOOKUP($A35,INDIRECT("'"&amp;P$4&amp;"'!$E$10:$E$44"),INDIRECT("'"&amp;P$4&amp;"'!$b$10:$b$44"))," ")</f>
        <v xml:space="preserve"> </v>
      </c>
      <c r="Q35" s="42" t="str">
        <f t="array" aca="1" ref="Q35" ca="1">_xlfn.IFNA(_xlfn.XLOOKUP($A35,INDIRECT("'"&amp;Q$4&amp;"'!$E$10:$E$44"),INDIRECT("'"&amp;Q$4&amp;"'!$b$10:$b$44"))," ")</f>
        <v xml:space="preserve"> </v>
      </c>
      <c r="T35" s="42">
        <f t="shared" ca="1" si="0"/>
        <v>34</v>
      </c>
      <c r="U35" s="19">
        <f t="shared" ca="1" si="1"/>
        <v>11.333333333333334</v>
      </c>
      <c r="V35" s="42">
        <f t="shared" ca="1" si="2"/>
        <v>16</v>
      </c>
      <c r="W35" s="42">
        <f t="shared" ca="1" si="3"/>
        <v>9</v>
      </c>
      <c r="X35" s="42">
        <f ca="1">RANK(T35,$T$5:$T$39)+COUNTIF($T$5:T35,T35)-1</f>
        <v>24</v>
      </c>
      <c r="Y35" s="34">
        <f t="array" aca="1" ref="Y35" ca="1">IFERROR(T35/SUMPRODUCT(($B35:$C35&lt;&gt;"")*$B$3:$C$3),0)</f>
        <v>1.0625</v>
      </c>
    </row>
    <row r="36" spans="1:25" x14ac:dyDescent="0.3">
      <c r="A36" t="s">
        <v>79</v>
      </c>
      <c r="B36" s="42">
        <f t="array" aca="1" ref="B36" ca="1">_xlfn.IFNA(_xlfn.XLOOKUP($A36,INDIRECT("'"&amp;B$4&amp;"'!$E$10:$E$44"),INDIRECT("'"&amp;B$4&amp;"'!$b$10:$b$44"))," ")</f>
        <v>12</v>
      </c>
      <c r="C36" s="42">
        <f t="array" aca="1" ref="C36" ca="1">_xlfn.IFNA(_xlfn.XLOOKUP($A36,INDIRECT("'"&amp;C$4&amp;"'!$E$10:$E$44"),INDIRECT("'"&amp;C$4&amp;"'!$b$10:$b$44"))," ")</f>
        <v>5</v>
      </c>
      <c r="D36" s="42">
        <f t="array" aca="1" ref="D36" ca="1">_xlfn.IFNA(_xlfn.XLOOKUP($A36,INDIRECT("'"&amp;D$4&amp;"'!$E$10:$E$44"),INDIRECT("'"&amp;D$4&amp;"'!$b$10:$b$44"))," ")</f>
        <v>15</v>
      </c>
      <c r="E36" s="42" t="str">
        <f t="array" aca="1" ref="E36" ca="1">_xlfn.IFNA(_xlfn.XLOOKUP($A36,INDIRECT("'"&amp;E$4&amp;"'!$E$10:$E$44"),INDIRECT("'"&amp;E$4&amp;"'!$b$10:$b$44"))," ")</f>
        <v xml:space="preserve"> </v>
      </c>
      <c r="F36" s="42" t="str">
        <f t="array" aca="1" ref="F36" ca="1">_xlfn.IFNA(_xlfn.XLOOKUP($A36,INDIRECT("'"&amp;F$4&amp;"'!$E$10:$E$44"),INDIRECT("'"&amp;F$4&amp;"'!$b$10:$b$44"))," ")</f>
        <v xml:space="preserve"> </v>
      </c>
      <c r="G36" s="42" t="str">
        <f t="array" aca="1" ref="G36" ca="1">_xlfn.IFNA(_xlfn.XLOOKUP($A36,INDIRECT("'"&amp;G$4&amp;"'!$E$10:$E$44"),INDIRECT("'"&amp;G$4&amp;"'!$b$10:$b$44"))," ")</f>
        <v xml:space="preserve"> </v>
      </c>
      <c r="H36" s="42" t="str">
        <f t="array" aca="1" ref="H36" ca="1">_xlfn.IFNA(_xlfn.XLOOKUP($A36,INDIRECT("'"&amp;H$4&amp;"'!$E$10:$E$44"),INDIRECT("'"&amp;H$4&amp;"'!$b$10:$b$44"))," ")</f>
        <v xml:space="preserve"> </v>
      </c>
      <c r="I36" s="42" t="str">
        <f t="array" aca="1" ref="I36" ca="1">_xlfn.IFNA(_xlfn.XLOOKUP($A36,INDIRECT("'"&amp;I$4&amp;"'!$E$10:$E$44"),INDIRECT("'"&amp;I$4&amp;"'!$b$10:$b$44"))," ")</f>
        <v xml:space="preserve"> </v>
      </c>
      <c r="J36" s="42" t="str">
        <f t="array" aca="1" ref="J36" ca="1">_xlfn.IFNA(_xlfn.XLOOKUP($A36,INDIRECT("'"&amp;J$4&amp;"'!$E$10:$E$44"),INDIRECT("'"&amp;J$4&amp;"'!$b$10:$b$44"))," ")</f>
        <v xml:space="preserve"> </v>
      </c>
      <c r="K36" s="42" t="str">
        <f t="array" aca="1" ref="K36" ca="1">_xlfn.IFNA(_xlfn.XLOOKUP($A36,INDIRECT("'"&amp;K$4&amp;"'!$E$10:$E$44"),INDIRECT("'"&amp;K$4&amp;"'!$b$10:$b$44"))," ")</f>
        <v xml:space="preserve"> </v>
      </c>
      <c r="L36" s="42" t="str">
        <f t="array" aca="1" ref="L36" ca="1">_xlfn.IFNA(_xlfn.XLOOKUP($A36,INDIRECT("'"&amp;L$4&amp;"'!$E$10:$E$44"),INDIRECT("'"&amp;L$4&amp;"'!$b$10:$b$44"))," ")</f>
        <v xml:space="preserve"> </v>
      </c>
      <c r="M36" s="42" t="str">
        <f t="array" aca="1" ref="M36" ca="1">_xlfn.IFNA(_xlfn.XLOOKUP($A36,INDIRECT("'"&amp;M$4&amp;"'!$E$10:$E$44"),INDIRECT("'"&amp;M$4&amp;"'!$b$10:$b$44"))," ")</f>
        <v xml:space="preserve"> </v>
      </c>
      <c r="N36" s="42" t="str">
        <f t="array" aca="1" ref="N36" ca="1">_xlfn.IFNA(_xlfn.XLOOKUP($A36,INDIRECT("'"&amp;N$4&amp;"'!$E$10:$E$44"),INDIRECT("'"&amp;N$4&amp;"'!$b$10:$b$44"))," ")</f>
        <v xml:space="preserve"> </v>
      </c>
      <c r="O36" s="42" t="str">
        <f t="array" aca="1" ref="O36" ca="1">_xlfn.IFNA(_xlfn.XLOOKUP($A36,INDIRECT("'"&amp;O$4&amp;"'!$E$10:$E$44"),INDIRECT("'"&amp;O$4&amp;"'!$b$10:$b$44"))," ")</f>
        <v xml:space="preserve"> </v>
      </c>
      <c r="P36" s="42" t="str">
        <f t="array" aca="1" ref="P36" ca="1">_xlfn.IFNA(_xlfn.XLOOKUP($A36,INDIRECT("'"&amp;P$4&amp;"'!$E$10:$E$44"),INDIRECT("'"&amp;P$4&amp;"'!$b$10:$b$44"))," ")</f>
        <v xml:space="preserve"> </v>
      </c>
      <c r="Q36" s="42" t="str">
        <f t="array" aca="1" ref="Q36" ca="1">_xlfn.IFNA(_xlfn.XLOOKUP($A36,INDIRECT("'"&amp;Q$4&amp;"'!$E$10:$E$44"),INDIRECT("'"&amp;Q$4&amp;"'!$b$10:$b$44"))," ")</f>
        <v xml:space="preserve"> </v>
      </c>
      <c r="T36" s="42">
        <f t="shared" ca="1" si="0"/>
        <v>32</v>
      </c>
      <c r="U36" s="19">
        <f t="shared" ca="1" si="1"/>
        <v>10.666666666666666</v>
      </c>
      <c r="V36" s="42">
        <f t="shared" ca="1" si="2"/>
        <v>15</v>
      </c>
      <c r="W36" s="42">
        <f t="shared" ca="1" si="3"/>
        <v>5</v>
      </c>
      <c r="X36" s="42">
        <f ca="1">RANK(T36,$T$5:$T$39)+COUNTIF($T$5:T36,T36)-1</f>
        <v>31</v>
      </c>
      <c r="Y36" s="34">
        <f t="array" aca="1" ref="Y36" ca="1">IFERROR(T36/SUMPRODUCT(($B36:$C36&lt;&gt;"")*$B$3:$C$3),0)</f>
        <v>1</v>
      </c>
    </row>
    <row r="37" spans="1:25" x14ac:dyDescent="0.3">
      <c r="A37" s="25" t="s">
        <v>20</v>
      </c>
      <c r="B37" s="26">
        <f t="array" aca="1" ref="B37" ca="1">_xlfn.IFNA(_xlfn.XLOOKUP($A37,INDIRECT("'"&amp;B$4&amp;"'!$E$10:$E$44"),INDIRECT("'"&amp;B$4&amp;"'!$b$10:$b$44"))," ")</f>
        <v>11</v>
      </c>
      <c r="C37" s="26">
        <f t="array" aca="1" ref="C37" ca="1">_xlfn.IFNA(_xlfn.XLOOKUP($A37,INDIRECT("'"&amp;C$4&amp;"'!$E$10:$E$44"),INDIRECT("'"&amp;C$4&amp;"'!$b$10:$b$44"))," ")</f>
        <v>9</v>
      </c>
      <c r="D37" s="26">
        <f t="array" aca="1" ref="D37" ca="1">_xlfn.IFNA(_xlfn.XLOOKUP($A37,INDIRECT("'"&amp;D$4&amp;"'!$E$10:$E$44"),INDIRECT("'"&amp;D$4&amp;"'!$b$10:$b$44"))," ")</f>
        <v>15</v>
      </c>
      <c r="E37" s="26" t="str">
        <f t="array" aca="1" ref="E37" ca="1">_xlfn.IFNA(_xlfn.XLOOKUP($A37,INDIRECT("'"&amp;E$4&amp;"'!$E$10:$E$44"),INDIRECT("'"&amp;E$4&amp;"'!$b$10:$b$44"))," ")</f>
        <v xml:space="preserve"> </v>
      </c>
      <c r="F37" s="26" t="str">
        <f t="array" aca="1" ref="F37" ca="1">_xlfn.IFNA(_xlfn.XLOOKUP($A37,INDIRECT("'"&amp;F$4&amp;"'!$E$10:$E$44"),INDIRECT("'"&amp;F$4&amp;"'!$b$10:$b$44"))," ")</f>
        <v xml:space="preserve"> </v>
      </c>
      <c r="G37" s="26" t="str">
        <f t="array" aca="1" ref="G37" ca="1">_xlfn.IFNA(_xlfn.XLOOKUP($A37,INDIRECT("'"&amp;G$4&amp;"'!$E$10:$E$44"),INDIRECT("'"&amp;G$4&amp;"'!$b$10:$b$44"))," ")</f>
        <v xml:space="preserve"> </v>
      </c>
      <c r="H37" s="26" t="str">
        <f t="array" aca="1" ref="H37" ca="1">_xlfn.IFNA(_xlfn.XLOOKUP($A37,INDIRECT("'"&amp;H$4&amp;"'!$E$10:$E$44"),INDIRECT("'"&amp;H$4&amp;"'!$b$10:$b$44"))," ")</f>
        <v xml:space="preserve"> </v>
      </c>
      <c r="I37" s="26" t="str">
        <f t="array" aca="1" ref="I37" ca="1">_xlfn.IFNA(_xlfn.XLOOKUP($A37,INDIRECT("'"&amp;I$4&amp;"'!$E$10:$E$44"),INDIRECT("'"&amp;I$4&amp;"'!$b$10:$b$44"))," ")</f>
        <v xml:space="preserve"> </v>
      </c>
      <c r="J37" s="26" t="str">
        <f t="array" aca="1" ref="J37" ca="1">_xlfn.IFNA(_xlfn.XLOOKUP($A37,INDIRECT("'"&amp;J$4&amp;"'!$E$10:$E$44"),INDIRECT("'"&amp;J$4&amp;"'!$b$10:$b$44"))," ")</f>
        <v xml:space="preserve"> </v>
      </c>
      <c r="K37" s="26" t="str">
        <f t="array" aca="1" ref="K37" ca="1">_xlfn.IFNA(_xlfn.XLOOKUP($A37,INDIRECT("'"&amp;K$4&amp;"'!$E$10:$E$44"),INDIRECT("'"&amp;K$4&amp;"'!$b$10:$b$44"))," ")</f>
        <v xml:space="preserve"> </v>
      </c>
      <c r="L37" s="26" t="str">
        <f t="array" aca="1" ref="L37" ca="1">_xlfn.IFNA(_xlfn.XLOOKUP($A37,INDIRECT("'"&amp;L$4&amp;"'!$E$10:$E$44"),INDIRECT("'"&amp;L$4&amp;"'!$b$10:$b$44"))," ")</f>
        <v xml:space="preserve"> </v>
      </c>
      <c r="M37" s="26" t="str">
        <f t="array" aca="1" ref="M37" ca="1">_xlfn.IFNA(_xlfn.XLOOKUP($A37,INDIRECT("'"&amp;M$4&amp;"'!$E$10:$E$44"),INDIRECT("'"&amp;M$4&amp;"'!$b$10:$b$44"))," ")</f>
        <v xml:space="preserve"> </v>
      </c>
      <c r="N37" s="26" t="str">
        <f t="array" aca="1" ref="N37" ca="1">_xlfn.IFNA(_xlfn.XLOOKUP($A37,INDIRECT("'"&amp;N$4&amp;"'!$E$10:$E$44"),INDIRECT("'"&amp;N$4&amp;"'!$b$10:$b$44"))," ")</f>
        <v xml:space="preserve"> </v>
      </c>
      <c r="O37" s="26" t="str">
        <f t="array" aca="1" ref="O37" ca="1">_xlfn.IFNA(_xlfn.XLOOKUP($A37,INDIRECT("'"&amp;O$4&amp;"'!$E$10:$E$44"),INDIRECT("'"&amp;O$4&amp;"'!$b$10:$b$44"))," ")</f>
        <v xml:space="preserve"> </v>
      </c>
      <c r="P37" s="26" t="str">
        <f t="array" aca="1" ref="P37" ca="1">_xlfn.IFNA(_xlfn.XLOOKUP($A37,INDIRECT("'"&amp;P$4&amp;"'!$E$10:$E$44"),INDIRECT("'"&amp;P$4&amp;"'!$b$10:$b$44"))," ")</f>
        <v xml:space="preserve"> </v>
      </c>
      <c r="Q37" s="26" t="str">
        <f t="array" aca="1" ref="Q37" ca="1">_xlfn.IFNA(_xlfn.XLOOKUP($A37,INDIRECT("'"&amp;Q$4&amp;"'!$E$10:$E$44"),INDIRECT("'"&amp;Q$4&amp;"'!$b$10:$b$44"))," ")</f>
        <v xml:space="preserve"> </v>
      </c>
      <c r="R37" s="26"/>
      <c r="S37" s="26"/>
      <c r="T37" s="42">
        <f t="shared" ca="1" si="0"/>
        <v>35</v>
      </c>
      <c r="U37" s="27">
        <f t="shared" ca="1" si="1"/>
        <v>11.666666666666666</v>
      </c>
      <c r="V37" s="26">
        <f t="shared" ca="1" si="2"/>
        <v>15</v>
      </c>
      <c r="W37" s="26">
        <f t="shared" ca="1" si="3"/>
        <v>9</v>
      </c>
      <c r="X37" s="26">
        <f ca="1">RANK(T37,$T$5:$T$39)+COUNTIF($T$5:T37,T37)-1</f>
        <v>20</v>
      </c>
      <c r="Y37" s="34">
        <f t="array" aca="1" ref="Y37" ca="1">IFERROR(T37/SUMPRODUCT(($B37:$C37&lt;&gt;"")*$B$3:$C$3),0)</f>
        <v>1.09375</v>
      </c>
    </row>
    <row r="38" spans="1:25" x14ac:dyDescent="0.3">
      <c r="A38" t="s">
        <v>80</v>
      </c>
      <c r="B38" s="42">
        <f t="array" aca="1" ref="B38" ca="1">_xlfn.IFNA(_xlfn.XLOOKUP($A38,INDIRECT("'"&amp;B$4&amp;"'!$E$10:$E$44"),INDIRECT("'"&amp;B$4&amp;"'!$b$10:$b$44"))," ")</f>
        <v>9</v>
      </c>
      <c r="C38" s="42">
        <f t="array" aca="1" ref="C38" ca="1">_xlfn.IFNA(_xlfn.XLOOKUP($A38,INDIRECT("'"&amp;C$4&amp;"'!$E$10:$E$44"),INDIRECT("'"&amp;C$4&amp;"'!$b$10:$b$44"))," ")</f>
        <v>14</v>
      </c>
      <c r="D38" s="42">
        <f t="array" aca="1" ref="D38" ca="1">_xlfn.IFNA(_xlfn.XLOOKUP($A38,INDIRECT("'"&amp;D$4&amp;"'!$E$10:$E$44"),INDIRECT("'"&amp;D$4&amp;"'!$b$10:$b$44"))," ")</f>
        <v>0</v>
      </c>
      <c r="E38" s="42" t="str">
        <f t="array" aca="1" ref="E38" ca="1">_xlfn.IFNA(_xlfn.XLOOKUP($A38,INDIRECT("'"&amp;E$4&amp;"'!$E$10:$E$44"),INDIRECT("'"&amp;E$4&amp;"'!$b$10:$b$44"))," ")</f>
        <v xml:space="preserve"> </v>
      </c>
      <c r="F38" s="42" t="str">
        <f t="array" aca="1" ref="F38" ca="1">_xlfn.IFNA(_xlfn.XLOOKUP($A38,INDIRECT("'"&amp;F$4&amp;"'!$E$10:$E$44"),INDIRECT("'"&amp;F$4&amp;"'!$b$10:$b$44"))," ")</f>
        <v xml:space="preserve"> </v>
      </c>
      <c r="G38" s="42" t="str">
        <f t="array" aca="1" ref="G38" ca="1">_xlfn.IFNA(_xlfn.XLOOKUP($A38,INDIRECT("'"&amp;G$4&amp;"'!$E$10:$E$44"),INDIRECT("'"&amp;G$4&amp;"'!$b$10:$b$44"))," ")</f>
        <v xml:space="preserve"> </v>
      </c>
      <c r="H38" s="42" t="str">
        <f t="array" aca="1" ref="H38" ca="1">_xlfn.IFNA(_xlfn.XLOOKUP($A38,INDIRECT("'"&amp;H$4&amp;"'!$E$10:$E$44"),INDIRECT("'"&amp;H$4&amp;"'!$b$10:$b$44"))," ")</f>
        <v xml:space="preserve"> </v>
      </c>
      <c r="I38" s="42" t="str">
        <f t="array" aca="1" ref="I38" ca="1">_xlfn.IFNA(_xlfn.XLOOKUP($A38,INDIRECT("'"&amp;I$4&amp;"'!$E$10:$E$44"),INDIRECT("'"&amp;I$4&amp;"'!$b$10:$b$44"))," ")</f>
        <v xml:space="preserve"> </v>
      </c>
      <c r="J38" s="42" t="str">
        <f t="array" aca="1" ref="J38" ca="1">_xlfn.IFNA(_xlfn.XLOOKUP($A38,INDIRECT("'"&amp;J$4&amp;"'!$E$10:$E$44"),INDIRECT("'"&amp;J$4&amp;"'!$b$10:$b$44"))," ")</f>
        <v xml:space="preserve"> </v>
      </c>
      <c r="K38" s="42" t="str">
        <f t="array" aca="1" ref="K38" ca="1">_xlfn.IFNA(_xlfn.XLOOKUP($A38,INDIRECT("'"&amp;K$4&amp;"'!$E$10:$E$44"),INDIRECT("'"&amp;K$4&amp;"'!$b$10:$b$44"))," ")</f>
        <v xml:space="preserve"> </v>
      </c>
      <c r="L38" s="42" t="str">
        <f t="array" aca="1" ref="L38" ca="1">_xlfn.IFNA(_xlfn.XLOOKUP($A38,INDIRECT("'"&amp;L$4&amp;"'!$E$10:$E$44"),INDIRECT("'"&amp;L$4&amp;"'!$b$10:$b$44"))," ")</f>
        <v xml:space="preserve"> </v>
      </c>
      <c r="M38" s="42" t="str">
        <f t="array" aca="1" ref="M38" ca="1">_xlfn.IFNA(_xlfn.XLOOKUP($A38,INDIRECT("'"&amp;M$4&amp;"'!$E$10:$E$44"),INDIRECT("'"&amp;M$4&amp;"'!$b$10:$b$44"))," ")</f>
        <v xml:space="preserve"> </v>
      </c>
      <c r="N38" s="42" t="str">
        <f t="array" aca="1" ref="N38" ca="1">_xlfn.IFNA(_xlfn.XLOOKUP($A38,INDIRECT("'"&amp;N$4&amp;"'!$E$10:$E$44"),INDIRECT("'"&amp;N$4&amp;"'!$b$10:$b$44"))," ")</f>
        <v xml:space="preserve"> </v>
      </c>
      <c r="O38" s="42" t="str">
        <f t="array" aca="1" ref="O38" ca="1">_xlfn.IFNA(_xlfn.XLOOKUP($A38,INDIRECT("'"&amp;O$4&amp;"'!$E$10:$E$44"),INDIRECT("'"&amp;O$4&amp;"'!$b$10:$b$44"))," ")</f>
        <v xml:space="preserve"> </v>
      </c>
      <c r="P38" s="42" t="str">
        <f t="array" aca="1" ref="P38" ca="1">_xlfn.IFNA(_xlfn.XLOOKUP($A38,INDIRECT("'"&amp;P$4&amp;"'!$E$10:$E$44"),INDIRECT("'"&amp;P$4&amp;"'!$b$10:$b$44"))," ")</f>
        <v xml:space="preserve"> </v>
      </c>
      <c r="Q38" s="42" t="str">
        <f t="array" aca="1" ref="Q38" ca="1">_xlfn.IFNA(_xlfn.XLOOKUP($A38,INDIRECT("'"&amp;Q$4&amp;"'!$E$10:$E$44"),INDIRECT("'"&amp;Q$4&amp;"'!$b$10:$b$44"))," ")</f>
        <v xml:space="preserve"> </v>
      </c>
      <c r="T38" s="42">
        <f t="shared" ca="1" si="0"/>
        <v>23</v>
      </c>
      <c r="U38" s="19">
        <f t="shared" ca="1" si="1"/>
        <v>7.666666666666667</v>
      </c>
      <c r="V38" s="42">
        <f t="shared" ca="1" si="2"/>
        <v>14</v>
      </c>
      <c r="W38" s="42">
        <f t="shared" ca="1" si="3"/>
        <v>9</v>
      </c>
      <c r="X38" s="42">
        <f ca="1">RANK(T38,$T$5:$T$39)+COUNTIF($T$5:T38,T38)-1</f>
        <v>35</v>
      </c>
      <c r="Y38" s="34">
        <f t="array" aca="1" ref="Y38" ca="1">IFERROR(T38/SUMPRODUCT(($B38:$C38&lt;&gt;"")*$B$3:$C$3),0)</f>
        <v>0.71875</v>
      </c>
    </row>
    <row r="39" spans="1:25" x14ac:dyDescent="0.3">
      <c r="A39" t="s">
        <v>81</v>
      </c>
      <c r="B39" s="42">
        <f t="array" aca="1" ref="B39" ca="1">_xlfn.IFNA(_xlfn.XLOOKUP($A39,INDIRECT("'"&amp;B$4&amp;"'!$E$10:$E$44"),INDIRECT("'"&amp;B$4&amp;"'!$b$10:$b$44"))," ")</f>
        <v>13</v>
      </c>
      <c r="C39" s="42">
        <f t="array" aca="1" ref="C39" ca="1">_xlfn.IFNA(_xlfn.XLOOKUP($A39,INDIRECT("'"&amp;C$4&amp;"'!$E$10:$E$44"),INDIRECT("'"&amp;C$4&amp;"'!$b$10:$b$44"))," ")</f>
        <v>7</v>
      </c>
      <c r="D39" s="42">
        <f t="array" aca="1" ref="D39" ca="1">_xlfn.IFNA(_xlfn.XLOOKUP($A39,INDIRECT("'"&amp;D$4&amp;"'!$E$10:$E$44"),INDIRECT("'"&amp;D$4&amp;"'!$b$10:$b$44"))," ")</f>
        <v>16</v>
      </c>
      <c r="E39" s="42" t="str">
        <f t="array" aca="1" ref="E39" ca="1">_xlfn.IFNA(_xlfn.XLOOKUP($A39,INDIRECT("'"&amp;E$4&amp;"'!$E$10:$E$44"),INDIRECT("'"&amp;E$4&amp;"'!$b$10:$b$44"))," ")</f>
        <v xml:space="preserve"> </v>
      </c>
      <c r="F39" s="42" t="str">
        <f t="array" aca="1" ref="F39" ca="1">_xlfn.IFNA(_xlfn.XLOOKUP($A39,INDIRECT("'"&amp;F$4&amp;"'!$E$10:$E$44"),INDIRECT("'"&amp;F$4&amp;"'!$b$10:$b$44"))," ")</f>
        <v xml:space="preserve"> </v>
      </c>
      <c r="G39" s="42" t="str">
        <f t="array" aca="1" ref="G39" ca="1">_xlfn.IFNA(_xlfn.XLOOKUP($A39,INDIRECT("'"&amp;G$4&amp;"'!$E$10:$E$44"),INDIRECT("'"&amp;G$4&amp;"'!$b$10:$b$44"))," ")</f>
        <v xml:space="preserve"> </v>
      </c>
      <c r="H39" s="42" t="str">
        <f t="array" aca="1" ref="H39" ca="1">_xlfn.IFNA(_xlfn.XLOOKUP($A39,INDIRECT("'"&amp;H$4&amp;"'!$E$10:$E$44"),INDIRECT("'"&amp;H$4&amp;"'!$b$10:$b$44"))," ")</f>
        <v xml:space="preserve"> </v>
      </c>
      <c r="I39" s="42" t="str">
        <f t="array" aca="1" ref="I39" ca="1">_xlfn.IFNA(_xlfn.XLOOKUP($A39,INDIRECT("'"&amp;I$4&amp;"'!$E$10:$E$44"),INDIRECT("'"&amp;I$4&amp;"'!$b$10:$b$44"))," ")</f>
        <v xml:space="preserve"> </v>
      </c>
      <c r="J39" s="42" t="str">
        <f t="array" aca="1" ref="J39" ca="1">_xlfn.IFNA(_xlfn.XLOOKUP($A39,INDIRECT("'"&amp;J$4&amp;"'!$E$10:$E$44"),INDIRECT("'"&amp;J$4&amp;"'!$b$10:$b$44"))," ")</f>
        <v xml:space="preserve"> </v>
      </c>
      <c r="K39" s="42" t="str">
        <f t="array" aca="1" ref="K39" ca="1">_xlfn.IFNA(_xlfn.XLOOKUP($A39,INDIRECT("'"&amp;K$4&amp;"'!$E$10:$E$44"),INDIRECT("'"&amp;K$4&amp;"'!$b$10:$b$44"))," ")</f>
        <v xml:space="preserve"> </v>
      </c>
      <c r="L39" s="42" t="str">
        <f t="array" aca="1" ref="L39" ca="1">_xlfn.IFNA(_xlfn.XLOOKUP($A39,INDIRECT("'"&amp;L$4&amp;"'!$E$10:$E$44"),INDIRECT("'"&amp;L$4&amp;"'!$b$10:$b$44"))," ")</f>
        <v xml:space="preserve"> </v>
      </c>
      <c r="M39" s="42" t="str">
        <f t="array" aca="1" ref="M39" ca="1">_xlfn.IFNA(_xlfn.XLOOKUP($A39,INDIRECT("'"&amp;M$4&amp;"'!$E$10:$E$44"),INDIRECT("'"&amp;M$4&amp;"'!$b$10:$b$44"))," ")</f>
        <v xml:space="preserve"> </v>
      </c>
      <c r="N39" s="42" t="str">
        <f t="array" aca="1" ref="N39" ca="1">_xlfn.IFNA(_xlfn.XLOOKUP($A39,INDIRECT("'"&amp;N$4&amp;"'!$E$10:$E$44"),INDIRECT("'"&amp;N$4&amp;"'!$b$10:$b$44"))," ")</f>
        <v xml:space="preserve"> </v>
      </c>
      <c r="O39" s="42" t="str">
        <f t="array" aca="1" ref="O39" ca="1">_xlfn.IFNA(_xlfn.XLOOKUP($A39,INDIRECT("'"&amp;O$4&amp;"'!$E$10:$E$44"),INDIRECT("'"&amp;O$4&amp;"'!$b$10:$b$44"))," ")</f>
        <v xml:space="preserve"> </v>
      </c>
      <c r="P39" s="42" t="str">
        <f t="array" aca="1" ref="P39" ca="1">_xlfn.IFNA(_xlfn.XLOOKUP($A39,INDIRECT("'"&amp;P$4&amp;"'!$E$10:$E$44"),INDIRECT("'"&amp;P$4&amp;"'!$b$10:$b$44"))," ")</f>
        <v xml:space="preserve"> </v>
      </c>
      <c r="Q39" s="42" t="str">
        <f t="array" aca="1" ref="Q39" ca="1">_xlfn.IFNA(_xlfn.XLOOKUP($A39,INDIRECT("'"&amp;Q$4&amp;"'!$E$10:$E$44"),INDIRECT("'"&amp;Q$4&amp;"'!$b$10:$b$44"))," ")</f>
        <v xml:space="preserve"> </v>
      </c>
      <c r="T39" s="42">
        <f t="shared" ca="1" si="0"/>
        <v>36</v>
      </c>
      <c r="U39" s="19">
        <f t="shared" ca="1" si="1"/>
        <v>12</v>
      </c>
      <c r="V39" s="42">
        <f t="shared" ca="1" si="2"/>
        <v>16</v>
      </c>
      <c r="W39" s="42">
        <f t="shared" ca="1" si="3"/>
        <v>7</v>
      </c>
      <c r="X39" s="42">
        <f ca="1">RANK(T39,$T$5:$T$39)+COUNTIF($T$5:T39,T39)-1</f>
        <v>15</v>
      </c>
      <c r="Y39" s="34">
        <f t="array" aca="1" ref="Y39" ca="1">IFERROR(T39/SUMPRODUCT(($B39:$C39&lt;&gt;"")*$B$3:$C$3),0)</f>
        <v>1.125</v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"/>
  <sheetViews>
    <sheetView zoomScale="70" zoomScaleNormal="70" workbookViewId="0">
      <selection activeCell="C7" sqref="C7"/>
    </sheetView>
  </sheetViews>
  <sheetFormatPr defaultColWidth="9.109375" defaultRowHeight="14.4" x14ac:dyDescent="0.3"/>
  <cols>
    <col min="1" max="1" width="19.44140625" style="40" bestFit="1" customWidth="1"/>
    <col min="2" max="2" width="9.88671875" style="40" bestFit="1" customWidth="1"/>
    <col min="3" max="10" width="9.88671875" style="40" customWidth="1"/>
    <col min="11" max="20" width="10.88671875" style="40" customWidth="1"/>
    <col min="21" max="21" width="7.5546875" style="40" customWidth="1"/>
    <col min="22" max="23" width="7.5546875" style="40" bestFit="1" customWidth="1"/>
    <col min="24" max="28" width="9.109375" style="40" customWidth="1"/>
    <col min="29" max="16384" width="9.109375" style="40"/>
  </cols>
  <sheetData>
    <row r="1" spans="1:23" ht="15" customHeight="1" x14ac:dyDescent="0.3">
      <c r="A1" s="54" t="s">
        <v>82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</row>
    <row r="2" spans="1:23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</row>
    <row r="3" spans="1:23" x14ac:dyDescent="0.3">
      <c r="B3" t="s">
        <v>83</v>
      </c>
    </row>
    <row r="4" spans="1:23" x14ac:dyDescent="0.3">
      <c r="A4" s="5" t="s">
        <v>9</v>
      </c>
      <c r="B4" s="5" t="s">
        <v>28</v>
      </c>
      <c r="C4" s="5" t="s">
        <v>0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39</v>
      </c>
      <c r="O4" s="5" t="s">
        <v>40</v>
      </c>
      <c r="P4" s="5" t="s">
        <v>41</v>
      </c>
      <c r="Q4" s="5" t="s">
        <v>42</v>
      </c>
      <c r="R4" s="5" t="s">
        <v>43</v>
      </c>
      <c r="S4" s="5" t="s">
        <v>44</v>
      </c>
      <c r="T4" s="5" t="s">
        <v>84</v>
      </c>
      <c r="U4" s="5" t="s">
        <v>10</v>
      </c>
      <c r="V4" s="5" t="s">
        <v>85</v>
      </c>
      <c r="W4" s="5" t="s">
        <v>49</v>
      </c>
    </row>
    <row r="5" spans="1:23" x14ac:dyDescent="0.3">
      <c r="A5" s="21" t="s">
        <v>52</v>
      </c>
      <c r="B5" s="30" t="str">
        <f t="array" aca="1" ref="B5" ca="1">_xlfn.IFNA(_xlfn.XLOOKUP($A5,INDIRECT("'"&amp;B$4&amp;"'!$E$10:$E$44"),INDIRECT("'"&amp;B$4&amp;"'!$A$10:$A$44"))," ")</f>
        <v xml:space="preserve"> </v>
      </c>
      <c r="C5" s="30" t="str">
        <f t="array" aca="1" ref="C5" ca="1">_xlfn.IFNA(_xlfn.XLOOKUP($A5,INDIRECT("'"&amp;C$4&amp;"'!$E$10:$E$44"),INDIRECT("'"&amp;C$4&amp;"'!$A$10:$A$44"))," ")</f>
        <v/>
      </c>
      <c r="D5" s="30" t="str">
        <f t="array" aca="1" ref="D5" ca="1">_xlfn.IFNA(_xlfn.XLOOKUP($A5,INDIRECT("'"&amp;D$4&amp;"'!$E$10:$E$44"),INDIRECT("'"&amp;D$4&amp;"'!$A$10:$A$44"))," ")</f>
        <v/>
      </c>
      <c r="E5" s="30" t="str">
        <f t="array" aca="1" ref="E5" ca="1">_xlfn.IFNA(_xlfn.XLOOKUP($A5,INDIRECT("'"&amp;E$4&amp;"'!$E$10:$E$44"),INDIRECT("'"&amp;E$4&amp;"'!$A$10:$A$44"))," ")</f>
        <v xml:space="preserve"> </v>
      </c>
      <c r="F5" s="30" t="str">
        <f t="array" aca="1" ref="F5" ca="1">_xlfn.IFNA(_xlfn.XLOOKUP($A5,INDIRECT("'"&amp;F$4&amp;"'!$E$10:$E$44"),INDIRECT("'"&amp;F$4&amp;"'!$A$10:$A$44"))," ")</f>
        <v xml:space="preserve"> </v>
      </c>
      <c r="G5" s="30" t="str">
        <f t="array" aca="1" ref="G5" ca="1">_xlfn.IFNA(_xlfn.XLOOKUP($A5,INDIRECT("'"&amp;G$4&amp;"'!$E$10:$E$44"),INDIRECT("'"&amp;G$4&amp;"'!$A$10:$A$44"))," ")</f>
        <v xml:space="preserve"> </v>
      </c>
      <c r="H5" s="30" t="str">
        <f t="array" aca="1" ref="H5" ca="1">_xlfn.IFNA(_xlfn.XLOOKUP($A5,INDIRECT("'"&amp;H$4&amp;"'!$E$10:$E$44"),INDIRECT("'"&amp;H$4&amp;"'!$A$10:$A$44"))," ")</f>
        <v xml:space="preserve"> </v>
      </c>
      <c r="I5" s="30" t="str">
        <f t="array" aca="1" ref="I5" ca="1">_xlfn.IFNA(_xlfn.XLOOKUP($A5,INDIRECT("'"&amp;I$4&amp;"'!$E$10:$E$44"),INDIRECT("'"&amp;I$4&amp;"'!$A$10:$A$44"))," ")</f>
        <v xml:space="preserve"> </v>
      </c>
      <c r="J5" s="30" t="str">
        <f t="array" aca="1" ref="J5" ca="1">_xlfn.IFNA(_xlfn.XLOOKUP($A5,INDIRECT("'"&amp;J$4&amp;"'!$E$10:$E$44"),INDIRECT("'"&amp;J$4&amp;"'!$A$10:$A$44"))," ")</f>
        <v xml:space="preserve"> </v>
      </c>
      <c r="K5" s="30" t="str">
        <f t="array" aca="1" ref="K5" ca="1">_xlfn.IFNA(_xlfn.XLOOKUP($A5,INDIRECT("'"&amp;K$4&amp;"'!$E$10:$E$44"),INDIRECT("'"&amp;K$4&amp;"'!$A$10:$A$44"))," ")</f>
        <v xml:space="preserve"> </v>
      </c>
      <c r="L5" s="30" t="str">
        <f t="array" aca="1" ref="L5" ca="1">_xlfn.IFNA(_xlfn.XLOOKUP($A5,INDIRECT("'"&amp;L$4&amp;"'!$E$10:$E$44"),INDIRECT("'"&amp;L$4&amp;"'!$A$10:$A$44"))," ")</f>
        <v xml:space="preserve"> </v>
      </c>
      <c r="M5" s="30" t="str">
        <f t="array" aca="1" ref="M5" ca="1">_xlfn.IFNA(_xlfn.XLOOKUP($A5,INDIRECT("'"&amp;M$4&amp;"'!$E$10:$E$44"),INDIRECT("'"&amp;M$4&amp;"'!$A$10:$A$44"))," ")</f>
        <v xml:space="preserve"> </v>
      </c>
      <c r="N5" s="30" t="str">
        <f t="array" aca="1" ref="N5" ca="1">_xlfn.IFNA(_xlfn.XLOOKUP($A5,INDIRECT("'"&amp;N$4&amp;"'!$E$10:$E$44"),INDIRECT("'"&amp;N$4&amp;"'!$A$10:$A$44"))," ")</f>
        <v xml:space="preserve"> </v>
      </c>
      <c r="O5" s="30" t="str">
        <f t="array" aca="1" ref="O5" ca="1">_xlfn.IFNA(_xlfn.XLOOKUP($A5,INDIRECT("'"&amp;O$4&amp;"'!$E$10:$E$44"),INDIRECT("'"&amp;O$4&amp;"'!$A$10:$A$44"))," ")</f>
        <v xml:space="preserve"> </v>
      </c>
      <c r="P5" s="30" t="str">
        <f t="array" aca="1" ref="P5" ca="1">_xlfn.IFNA(_xlfn.XLOOKUP($A5,INDIRECT("'"&amp;P$4&amp;"'!$E$10:$E$44"),INDIRECT("'"&amp;P$4&amp;"'!$A$10:$A$44"))," ")</f>
        <v xml:space="preserve"> </v>
      </c>
      <c r="Q5" s="30" t="str">
        <f t="array" aca="1" ref="Q5" ca="1">_xlfn.IFNA(_xlfn.XLOOKUP($A5,INDIRECT("'"&amp;Q$4&amp;"'!$E$10:$E$44"),INDIRECT("'"&amp;Q$4&amp;"'!$A$10:$A$44"))," ")</f>
        <v xml:space="preserve"> </v>
      </c>
      <c r="R5" s="30" t="str">
        <f t="array" aca="1" ref="R5" ca="1">_xlfn.IFNA(_xlfn.XLOOKUP($A5,INDIRECT("'"&amp;R$4&amp;"'!$E$10:$E$44"),INDIRECT("'"&amp;R$4&amp;"'!$A$10:$A$44"))," ")</f>
        <v xml:space="preserve"> </v>
      </c>
      <c r="S5" s="30" t="str">
        <f t="array" aca="1" ref="S5" ca="1">_xlfn.IFNA(_xlfn.XLOOKUP($A5,INDIRECT("'"&amp;S$4&amp;"'!$E$10:$E$44"),INDIRECT("'"&amp;S$4&amp;"'!$A$10:$A$44"))," ")</f>
        <v xml:space="preserve"> </v>
      </c>
      <c r="T5" s="30">
        <f ca="1">SUM(Table5[[#This Row],[Week 1]:[Week 18]])</f>
        <v>0</v>
      </c>
      <c r="U5" s="30">
        <f t="shared" ref="U5:U39" ca="1" si="0">SUM(B5:S5)-40</f>
        <v>-40</v>
      </c>
      <c r="V5" s="30">
        <f t="shared" ref="V5:V39" ca="1" si="1">IFERROR(SUM(B5:S5)/COUNT(B5:S5),0)</f>
        <v>0</v>
      </c>
      <c r="W5" s="30">
        <f t="shared" ref="W5:W39" ca="1" si="2">IFERROR(MAX(B5:S5),0)</f>
        <v>0</v>
      </c>
    </row>
    <row r="6" spans="1:23" x14ac:dyDescent="0.3">
      <c r="A6" s="21" t="s">
        <v>53</v>
      </c>
      <c r="B6" s="30" t="str">
        <f t="array" aca="1" ref="B6" ca="1">_xlfn.IFNA(_xlfn.XLOOKUP($A6,INDIRECT("'"&amp;B$4&amp;"'!$E$10:$E$44"),INDIRECT("'"&amp;B$4&amp;"'!$A$10:$A$44"))," ")</f>
        <v xml:space="preserve"> </v>
      </c>
      <c r="C6" s="30" t="str">
        <f t="array" aca="1" ref="C6" ca="1">_xlfn.IFNA(_xlfn.XLOOKUP($A6,INDIRECT("'"&amp;C$4&amp;"'!$E$10:$E$44"),INDIRECT("'"&amp;C$4&amp;"'!$A$10:$A$44"))," ")</f>
        <v/>
      </c>
      <c r="D6" s="30">
        <f t="array" aca="1" ref="D6" ca="1">_xlfn.IFNA(_xlfn.XLOOKUP($A6,INDIRECT("'"&amp;D$4&amp;"'!$E$10:$E$44"),INDIRECT("'"&amp;D$4&amp;"'!$A$10:$A$44"))," ")</f>
        <v>4.416666666666667</v>
      </c>
      <c r="E6" s="30" t="str">
        <f t="array" aca="1" ref="E6" ca="1">_xlfn.IFNA(_xlfn.XLOOKUP($A6,INDIRECT("'"&amp;E$4&amp;"'!$E$10:$E$44"),INDIRECT("'"&amp;E$4&amp;"'!$A$10:$A$44"))," ")</f>
        <v xml:space="preserve"> </v>
      </c>
      <c r="F6" s="30" t="str">
        <f t="array" aca="1" ref="F6" ca="1">_xlfn.IFNA(_xlfn.XLOOKUP($A6,INDIRECT("'"&amp;F$4&amp;"'!$E$10:$E$44"),INDIRECT("'"&amp;F$4&amp;"'!$A$10:$A$44"))," ")</f>
        <v xml:space="preserve"> </v>
      </c>
      <c r="G6" s="30" t="str">
        <f t="array" aca="1" ref="G6" ca="1">_xlfn.IFNA(_xlfn.XLOOKUP($A6,INDIRECT("'"&amp;G$4&amp;"'!$E$10:$E$44"),INDIRECT("'"&amp;G$4&amp;"'!$A$10:$A$44"))," ")</f>
        <v xml:space="preserve"> </v>
      </c>
      <c r="H6" s="30" t="str">
        <f t="array" aca="1" ref="H6" ca="1">_xlfn.IFNA(_xlfn.XLOOKUP($A6,INDIRECT("'"&amp;H$4&amp;"'!$E$10:$E$44"),INDIRECT("'"&amp;H$4&amp;"'!$A$10:$A$44"))," ")</f>
        <v xml:space="preserve"> </v>
      </c>
      <c r="I6" s="30" t="str">
        <f t="array" aca="1" ref="I6" ca="1">_xlfn.IFNA(_xlfn.XLOOKUP($A6,INDIRECT("'"&amp;I$4&amp;"'!$E$10:$E$44"),INDIRECT("'"&amp;I$4&amp;"'!$A$10:$A$44"))," ")</f>
        <v xml:space="preserve"> </v>
      </c>
      <c r="J6" s="30" t="str">
        <f t="array" aca="1" ref="J6" ca="1">_xlfn.IFNA(_xlfn.XLOOKUP($A6,INDIRECT("'"&amp;J$4&amp;"'!$E$10:$E$44"),INDIRECT("'"&amp;J$4&amp;"'!$A$10:$A$44"))," ")</f>
        <v xml:space="preserve"> </v>
      </c>
      <c r="K6" s="30" t="str">
        <f t="array" aca="1" ref="K6" ca="1">_xlfn.IFNA(_xlfn.XLOOKUP($A6,INDIRECT("'"&amp;K$4&amp;"'!$E$10:$E$44"),INDIRECT("'"&amp;K$4&amp;"'!$A$10:$A$44"))," ")</f>
        <v xml:space="preserve"> </v>
      </c>
      <c r="L6" s="30" t="str">
        <f t="array" aca="1" ref="L6" ca="1">_xlfn.IFNA(_xlfn.XLOOKUP($A6,INDIRECT("'"&amp;L$4&amp;"'!$E$10:$E$44"),INDIRECT("'"&amp;L$4&amp;"'!$A$10:$A$44"))," ")</f>
        <v xml:space="preserve"> </v>
      </c>
      <c r="M6" s="30" t="str">
        <f t="array" aca="1" ref="M6" ca="1">_xlfn.IFNA(_xlfn.XLOOKUP($A6,INDIRECT("'"&amp;M$4&amp;"'!$E$10:$E$44"),INDIRECT("'"&amp;M$4&amp;"'!$A$10:$A$44"))," ")</f>
        <v xml:space="preserve"> </v>
      </c>
      <c r="N6" s="30" t="str">
        <f t="array" aca="1" ref="N6" ca="1">_xlfn.IFNA(_xlfn.XLOOKUP($A6,INDIRECT("'"&amp;N$4&amp;"'!$E$10:$E$44"),INDIRECT("'"&amp;N$4&amp;"'!$A$10:$A$44"))," ")</f>
        <v xml:space="preserve"> </v>
      </c>
      <c r="O6" s="30" t="str">
        <f t="array" aca="1" ref="O6" ca="1">_xlfn.IFNA(_xlfn.XLOOKUP($A6,INDIRECT("'"&amp;O$4&amp;"'!$E$10:$E$44"),INDIRECT("'"&amp;O$4&amp;"'!$A$10:$A$44"))," ")</f>
        <v xml:space="preserve"> </v>
      </c>
      <c r="P6" s="30" t="str">
        <f t="array" aca="1" ref="P6" ca="1">_xlfn.IFNA(_xlfn.XLOOKUP($A6,INDIRECT("'"&amp;P$4&amp;"'!$E$10:$E$44"),INDIRECT("'"&amp;P$4&amp;"'!$A$10:$A$44"))," ")</f>
        <v xml:space="preserve"> </v>
      </c>
      <c r="Q6" s="30" t="str">
        <f t="array" aca="1" ref="Q6" ca="1">_xlfn.IFNA(_xlfn.XLOOKUP($A6,INDIRECT("'"&amp;Q$4&amp;"'!$E$10:$E$44"),INDIRECT("'"&amp;Q$4&amp;"'!$A$10:$A$44"))," ")</f>
        <v xml:space="preserve"> </v>
      </c>
      <c r="R6" s="30" t="str">
        <f t="array" aca="1" ref="R6" ca="1">_xlfn.IFNA(_xlfn.XLOOKUP($A6,INDIRECT("'"&amp;R$4&amp;"'!$E$10:$E$44"),INDIRECT("'"&amp;R$4&amp;"'!$A$10:$A$44"))," ")</f>
        <v xml:space="preserve"> </v>
      </c>
      <c r="S6" s="30" t="str">
        <f t="array" aca="1" ref="S6" ca="1">_xlfn.IFNA(_xlfn.XLOOKUP($A6,INDIRECT("'"&amp;S$4&amp;"'!$E$10:$E$44"),INDIRECT("'"&amp;S$4&amp;"'!$A$10:$A$44"))," ")</f>
        <v xml:space="preserve"> </v>
      </c>
      <c r="T6" s="30">
        <f ca="1">SUM(Table5[[#This Row],[Week 1]:[Week 18]])</f>
        <v>4.416666666666667</v>
      </c>
      <c r="U6" s="30">
        <f t="shared" ca="1" si="0"/>
        <v>-35.583333333333336</v>
      </c>
      <c r="V6" s="30">
        <f t="shared" ca="1" si="1"/>
        <v>4.416666666666667</v>
      </c>
      <c r="W6" s="30">
        <f t="shared" ca="1" si="2"/>
        <v>4.416666666666667</v>
      </c>
    </row>
    <row r="7" spans="1:23" x14ac:dyDescent="0.3">
      <c r="A7" s="21" t="s">
        <v>54</v>
      </c>
      <c r="B7" s="30" t="str" cm="1">
        <f t="array" aca="1" ref="B7" ca="1">_xlfn.IFNA(_xlfn.XLOOKUP($A7,INDIRECT("'"&amp;B$4&amp;"'!$E$10:$E$44"),INDIRECT("'"&amp;B$4&amp;"'!$A$10:$A$44"))," ")</f>
        <v xml:space="preserve"> </v>
      </c>
      <c r="C7" s="30" t="str">
        <f t="array" aca="1" ref="C7" ca="1">_xlfn.IFNA(_xlfn.XLOOKUP($A7,INDIRECT("'"&amp;C$4&amp;"'!$E$10:$E$44"),INDIRECT("'"&amp;C$4&amp;"'!$A$10:$A$44"))," ")</f>
        <v/>
      </c>
      <c r="D7" s="30" t="str">
        <f t="array" aca="1" ref="D7" ca="1">_xlfn.IFNA(_xlfn.XLOOKUP($A7,INDIRECT("'"&amp;D$4&amp;"'!$E$10:$E$44"),INDIRECT("'"&amp;D$4&amp;"'!$A$10:$A$44"))," ")</f>
        <v/>
      </c>
      <c r="E7" s="30" t="str">
        <f t="array" aca="1" ref="E7" ca="1">_xlfn.IFNA(_xlfn.XLOOKUP($A7,INDIRECT("'"&amp;E$4&amp;"'!$E$10:$E$44"),INDIRECT("'"&amp;E$4&amp;"'!$A$10:$A$44"))," ")</f>
        <v xml:space="preserve"> </v>
      </c>
      <c r="F7" s="30" t="str">
        <f t="array" aca="1" ref="F7" ca="1">_xlfn.IFNA(_xlfn.XLOOKUP($A7,INDIRECT("'"&amp;F$4&amp;"'!$E$10:$E$44"),INDIRECT("'"&amp;F$4&amp;"'!$A$10:$A$44"))," ")</f>
        <v xml:space="preserve"> </v>
      </c>
      <c r="G7" s="30" t="str">
        <f t="array" aca="1" ref="G7" ca="1">_xlfn.IFNA(_xlfn.XLOOKUP($A7,INDIRECT("'"&amp;G$4&amp;"'!$E$10:$E$44"),INDIRECT("'"&amp;G$4&amp;"'!$A$10:$A$44"))," ")</f>
        <v xml:space="preserve"> </v>
      </c>
      <c r="H7" s="30" t="str">
        <f t="array" aca="1" ref="H7" ca="1">_xlfn.IFNA(_xlfn.XLOOKUP($A7,INDIRECT("'"&amp;H$4&amp;"'!$E$10:$E$44"),INDIRECT("'"&amp;H$4&amp;"'!$A$10:$A$44"))," ")</f>
        <v xml:space="preserve"> </v>
      </c>
      <c r="I7" s="30" t="str">
        <f t="array" aca="1" ref="I7" ca="1">_xlfn.IFNA(_xlfn.XLOOKUP($A7,INDIRECT("'"&amp;I$4&amp;"'!$E$10:$E$44"),INDIRECT("'"&amp;I$4&amp;"'!$A$10:$A$44"))," ")</f>
        <v xml:space="preserve"> </v>
      </c>
      <c r="J7" s="30" t="str">
        <f t="array" aca="1" ref="J7" ca="1">_xlfn.IFNA(_xlfn.XLOOKUP($A7,INDIRECT("'"&amp;J$4&amp;"'!$E$10:$E$44"),INDIRECT("'"&amp;J$4&amp;"'!$A$10:$A$44"))," ")</f>
        <v xml:space="preserve"> </v>
      </c>
      <c r="K7" s="30" t="str">
        <f t="array" aca="1" ref="K7" ca="1">_xlfn.IFNA(_xlfn.XLOOKUP($A7,INDIRECT("'"&amp;K$4&amp;"'!$E$10:$E$44"),INDIRECT("'"&amp;K$4&amp;"'!$A$10:$A$44"))," ")</f>
        <v xml:space="preserve"> </v>
      </c>
      <c r="L7" s="30" t="str">
        <f t="array" aca="1" ref="L7" ca="1">_xlfn.IFNA(_xlfn.XLOOKUP($A7,INDIRECT("'"&amp;L$4&amp;"'!$E$10:$E$44"),INDIRECT("'"&amp;L$4&amp;"'!$A$10:$A$44"))," ")</f>
        <v xml:space="preserve"> </v>
      </c>
      <c r="M7" s="30" t="str">
        <f t="array" aca="1" ref="M7" ca="1">_xlfn.IFNA(_xlfn.XLOOKUP($A7,INDIRECT("'"&amp;M$4&amp;"'!$E$10:$E$44"),INDIRECT("'"&amp;M$4&amp;"'!$A$10:$A$44"))," ")</f>
        <v xml:space="preserve"> </v>
      </c>
      <c r="N7" s="30" t="str">
        <f t="array" aca="1" ref="N7" ca="1">_xlfn.IFNA(_xlfn.XLOOKUP($A7,INDIRECT("'"&amp;N$4&amp;"'!$E$10:$E$44"),INDIRECT("'"&amp;N$4&amp;"'!$A$10:$A$44"))," ")</f>
        <v xml:space="preserve"> </v>
      </c>
      <c r="O7" s="30" t="str">
        <f t="array" aca="1" ref="O7" ca="1">_xlfn.IFNA(_xlfn.XLOOKUP($A7,INDIRECT("'"&amp;O$4&amp;"'!$E$10:$E$44"),INDIRECT("'"&amp;O$4&amp;"'!$A$10:$A$44"))," ")</f>
        <v xml:space="preserve"> </v>
      </c>
      <c r="P7" s="30" t="str">
        <f t="array" aca="1" ref="P7" ca="1">_xlfn.IFNA(_xlfn.XLOOKUP($A7,INDIRECT("'"&amp;P$4&amp;"'!$E$10:$E$44"),INDIRECT("'"&amp;P$4&amp;"'!$A$10:$A$44"))," ")</f>
        <v xml:space="preserve"> </v>
      </c>
      <c r="Q7" s="30" t="str">
        <f t="array" aca="1" ref="Q7" ca="1">_xlfn.IFNA(_xlfn.XLOOKUP($A7,INDIRECT("'"&amp;Q$4&amp;"'!$E$10:$E$44"),INDIRECT("'"&amp;Q$4&amp;"'!$A$10:$A$44"))," ")</f>
        <v xml:space="preserve"> </v>
      </c>
      <c r="R7" s="30" t="str">
        <f t="array" aca="1" ref="R7" ca="1">_xlfn.IFNA(_xlfn.XLOOKUP($A7,INDIRECT("'"&amp;R$4&amp;"'!$E$10:$E$44"),INDIRECT("'"&amp;R$4&amp;"'!$A$10:$A$44"))," ")</f>
        <v xml:space="preserve"> </v>
      </c>
      <c r="S7" s="30" t="str">
        <f t="array" aca="1" ref="S7" ca="1">_xlfn.IFNA(_xlfn.XLOOKUP($A7,INDIRECT("'"&amp;S$4&amp;"'!$E$10:$E$44"),INDIRECT("'"&amp;S$4&amp;"'!$A$10:$A$44"))," ")</f>
        <v xml:space="preserve"> </v>
      </c>
      <c r="T7" s="30">
        <f ca="1">SUM(Table5[[#This Row],[Week 1]:[Week 18]])</f>
        <v>0</v>
      </c>
      <c r="U7" s="30">
        <f t="shared" ca="1" si="0"/>
        <v>-40</v>
      </c>
      <c r="V7" s="30">
        <f t="shared" ca="1" si="1"/>
        <v>0</v>
      </c>
      <c r="W7" s="30">
        <f t="shared" ca="1" si="2"/>
        <v>0</v>
      </c>
    </row>
    <row r="8" spans="1:23" x14ac:dyDescent="0.3">
      <c r="A8" s="21" t="s">
        <v>55</v>
      </c>
      <c r="B8" s="30" t="str">
        <f t="array" aca="1" ref="B8" ca="1">_xlfn.IFNA(_xlfn.XLOOKUP($A8,INDIRECT("'"&amp;B$4&amp;"'!$E$10:$E$44"),INDIRECT("'"&amp;B$4&amp;"'!$A$10:$A$44"))," ")</f>
        <v xml:space="preserve"> </v>
      </c>
      <c r="C8" s="30" t="str">
        <f t="array" aca="1" ref="C8" ca="1">_xlfn.IFNA(_xlfn.XLOOKUP($A8,INDIRECT("'"&amp;C$4&amp;"'!$E$10:$E$44"),INDIRECT("'"&amp;C$4&amp;"'!$A$10:$A$44"))," ")</f>
        <v/>
      </c>
      <c r="D8" s="30" t="str">
        <f t="array" aca="1" ref="D8" ca="1">_xlfn.IFNA(_xlfn.XLOOKUP($A8,INDIRECT("'"&amp;D$4&amp;"'!$E$10:$E$44"),INDIRECT("'"&amp;D$4&amp;"'!$A$10:$A$44"))," ")</f>
        <v/>
      </c>
      <c r="E8" s="30" t="str">
        <f t="array" aca="1" ref="E8" ca="1">_xlfn.IFNA(_xlfn.XLOOKUP($A8,INDIRECT("'"&amp;E$4&amp;"'!$E$10:$E$44"),INDIRECT("'"&amp;E$4&amp;"'!$A$10:$A$44"))," ")</f>
        <v xml:space="preserve"> </v>
      </c>
      <c r="F8" s="30" t="str">
        <f t="array" aca="1" ref="F8" ca="1">_xlfn.IFNA(_xlfn.XLOOKUP($A8,INDIRECT("'"&amp;F$4&amp;"'!$E$10:$E$44"),INDIRECT("'"&amp;F$4&amp;"'!$A$10:$A$44"))," ")</f>
        <v xml:space="preserve"> </v>
      </c>
      <c r="G8" s="30" t="str">
        <f t="array" aca="1" ref="G8" ca="1">_xlfn.IFNA(_xlfn.XLOOKUP($A8,INDIRECT("'"&amp;G$4&amp;"'!$E$10:$E$44"),INDIRECT("'"&amp;G$4&amp;"'!$A$10:$A$44"))," ")</f>
        <v xml:space="preserve"> </v>
      </c>
      <c r="H8" s="30" t="str">
        <f t="array" aca="1" ref="H8" ca="1">_xlfn.IFNA(_xlfn.XLOOKUP($A8,INDIRECT("'"&amp;H$4&amp;"'!$E$10:$E$44"),INDIRECT("'"&amp;H$4&amp;"'!$A$10:$A$44"))," ")</f>
        <v xml:space="preserve"> </v>
      </c>
      <c r="I8" s="30" t="str">
        <f t="array" aca="1" ref="I8" ca="1">_xlfn.IFNA(_xlfn.XLOOKUP($A8,INDIRECT("'"&amp;I$4&amp;"'!$E$10:$E$44"),INDIRECT("'"&amp;I$4&amp;"'!$A$10:$A$44"))," ")</f>
        <v xml:space="preserve"> </v>
      </c>
      <c r="J8" s="30" t="str">
        <f t="array" aca="1" ref="J8" ca="1">_xlfn.IFNA(_xlfn.XLOOKUP($A8,INDIRECT("'"&amp;J$4&amp;"'!$E$10:$E$44"),INDIRECT("'"&amp;J$4&amp;"'!$A$10:$A$44"))," ")</f>
        <v xml:space="preserve"> </v>
      </c>
      <c r="K8" s="30" t="str">
        <f t="array" aca="1" ref="K8" ca="1">_xlfn.IFNA(_xlfn.XLOOKUP($A8,INDIRECT("'"&amp;K$4&amp;"'!$E$10:$E$44"),INDIRECT("'"&amp;K$4&amp;"'!$A$10:$A$44"))," ")</f>
        <v xml:space="preserve"> </v>
      </c>
      <c r="L8" s="30" t="str">
        <f t="array" aca="1" ref="L8" ca="1">_xlfn.IFNA(_xlfn.XLOOKUP($A8,INDIRECT("'"&amp;L$4&amp;"'!$E$10:$E$44"),INDIRECT("'"&amp;L$4&amp;"'!$A$10:$A$44"))," ")</f>
        <v xml:space="preserve"> </v>
      </c>
      <c r="M8" s="30" t="str">
        <f t="array" aca="1" ref="M8" ca="1">_xlfn.IFNA(_xlfn.XLOOKUP($A8,INDIRECT("'"&amp;M$4&amp;"'!$E$10:$E$44"),INDIRECT("'"&amp;M$4&amp;"'!$A$10:$A$44"))," ")</f>
        <v xml:space="preserve"> </v>
      </c>
      <c r="N8" s="30" t="str">
        <f t="array" aca="1" ref="N8" ca="1">_xlfn.IFNA(_xlfn.XLOOKUP($A8,INDIRECT("'"&amp;N$4&amp;"'!$E$10:$E$44"),INDIRECT("'"&amp;N$4&amp;"'!$A$10:$A$44"))," ")</f>
        <v xml:space="preserve"> </v>
      </c>
      <c r="O8" s="30" t="str">
        <f t="array" aca="1" ref="O8" ca="1">_xlfn.IFNA(_xlfn.XLOOKUP($A8,INDIRECT("'"&amp;O$4&amp;"'!$E$10:$E$44"),INDIRECT("'"&amp;O$4&amp;"'!$A$10:$A$44"))," ")</f>
        <v xml:space="preserve"> </v>
      </c>
      <c r="P8" s="30" t="str">
        <f t="array" aca="1" ref="P8" ca="1">_xlfn.IFNA(_xlfn.XLOOKUP($A8,INDIRECT("'"&amp;P$4&amp;"'!$E$10:$E$44"),INDIRECT("'"&amp;P$4&amp;"'!$A$10:$A$44"))," ")</f>
        <v xml:space="preserve"> </v>
      </c>
      <c r="Q8" s="30" t="str">
        <f t="array" aca="1" ref="Q8" ca="1">_xlfn.IFNA(_xlfn.XLOOKUP($A8,INDIRECT("'"&amp;Q$4&amp;"'!$E$10:$E$44"),INDIRECT("'"&amp;Q$4&amp;"'!$A$10:$A$44"))," ")</f>
        <v xml:space="preserve"> </v>
      </c>
      <c r="R8" s="30" t="str">
        <f t="array" aca="1" ref="R8" ca="1">_xlfn.IFNA(_xlfn.XLOOKUP($A8,INDIRECT("'"&amp;R$4&amp;"'!$E$10:$E$44"),INDIRECT("'"&amp;R$4&amp;"'!$A$10:$A$44"))," ")</f>
        <v xml:space="preserve"> </v>
      </c>
      <c r="S8" s="30" t="str">
        <f t="array" aca="1" ref="S8" ca="1">_xlfn.IFNA(_xlfn.XLOOKUP($A8,INDIRECT("'"&amp;S$4&amp;"'!$E$10:$E$44"),INDIRECT("'"&amp;S$4&amp;"'!$A$10:$A$44"))," ")</f>
        <v xml:space="preserve"> </v>
      </c>
      <c r="T8" s="30">
        <f ca="1">SUM(Table5[[#This Row],[Week 1]:[Week 18]])</f>
        <v>0</v>
      </c>
      <c r="U8" s="30">
        <f t="shared" ca="1" si="0"/>
        <v>-40</v>
      </c>
      <c r="V8" s="30">
        <f t="shared" ca="1" si="1"/>
        <v>0</v>
      </c>
      <c r="W8" s="30">
        <f t="shared" ca="1" si="2"/>
        <v>0</v>
      </c>
    </row>
    <row r="9" spans="1:23" x14ac:dyDescent="0.3">
      <c r="A9" s="21" t="s">
        <v>56</v>
      </c>
      <c r="B9" s="30" t="str">
        <f t="array" aca="1" ref="B9" ca="1">_xlfn.IFNA(_xlfn.XLOOKUP($A9,INDIRECT("'"&amp;B$4&amp;"'!$E$10:$E$44"),INDIRECT("'"&amp;B$4&amp;"'!$A$10:$A$44"))," ")</f>
        <v xml:space="preserve"> </v>
      </c>
      <c r="C9" s="30" t="str">
        <f t="array" aca="1" ref="C9" ca="1">_xlfn.IFNA(_xlfn.XLOOKUP($A9,INDIRECT("'"&amp;C$4&amp;"'!$E$10:$E$44"),INDIRECT("'"&amp;C$4&amp;"'!$A$10:$A$44"))," ")</f>
        <v/>
      </c>
      <c r="D9" s="30" t="str">
        <f t="array" aca="1" ref="D9" ca="1">_xlfn.IFNA(_xlfn.XLOOKUP($A9,INDIRECT("'"&amp;D$4&amp;"'!$E$10:$E$44"),INDIRECT("'"&amp;D$4&amp;"'!$A$10:$A$44"))," ")</f>
        <v/>
      </c>
      <c r="E9" s="30" t="str">
        <f t="array" aca="1" ref="E9" ca="1">_xlfn.IFNA(_xlfn.XLOOKUP($A9,INDIRECT("'"&amp;E$4&amp;"'!$E$10:$E$44"),INDIRECT("'"&amp;E$4&amp;"'!$A$10:$A$44"))," ")</f>
        <v xml:space="preserve"> </v>
      </c>
      <c r="F9" s="30" t="str">
        <f t="array" aca="1" ref="F9" ca="1">_xlfn.IFNA(_xlfn.XLOOKUP($A9,INDIRECT("'"&amp;F$4&amp;"'!$E$10:$E$44"),INDIRECT("'"&amp;F$4&amp;"'!$A$10:$A$44"))," ")</f>
        <v xml:space="preserve"> </v>
      </c>
      <c r="G9" s="30" t="str">
        <f t="array" aca="1" ref="G9" ca="1">_xlfn.IFNA(_xlfn.XLOOKUP($A9,INDIRECT("'"&amp;G$4&amp;"'!$E$10:$E$44"),INDIRECT("'"&amp;G$4&amp;"'!$A$10:$A$44"))," ")</f>
        <v xml:space="preserve"> </v>
      </c>
      <c r="H9" s="30" t="str">
        <f t="array" aca="1" ref="H9" ca="1">_xlfn.IFNA(_xlfn.XLOOKUP($A9,INDIRECT("'"&amp;H$4&amp;"'!$E$10:$E$44"),INDIRECT("'"&amp;H$4&amp;"'!$A$10:$A$44"))," ")</f>
        <v xml:space="preserve"> </v>
      </c>
      <c r="I9" s="30" t="str">
        <f t="array" aca="1" ref="I9" ca="1">_xlfn.IFNA(_xlfn.XLOOKUP($A9,INDIRECT("'"&amp;I$4&amp;"'!$E$10:$E$44"),INDIRECT("'"&amp;I$4&amp;"'!$A$10:$A$44"))," ")</f>
        <v xml:space="preserve"> </v>
      </c>
      <c r="J9" s="30" t="str">
        <f t="array" aca="1" ref="J9" ca="1">_xlfn.IFNA(_xlfn.XLOOKUP($A9,INDIRECT("'"&amp;J$4&amp;"'!$E$10:$E$44"),INDIRECT("'"&amp;J$4&amp;"'!$A$10:$A$44"))," ")</f>
        <v xml:space="preserve"> </v>
      </c>
      <c r="K9" s="30" t="str">
        <f t="array" aca="1" ref="K9" ca="1">_xlfn.IFNA(_xlfn.XLOOKUP($A9,INDIRECT("'"&amp;K$4&amp;"'!$E$10:$E$44"),INDIRECT("'"&amp;K$4&amp;"'!$A$10:$A$44"))," ")</f>
        <v xml:space="preserve"> </v>
      </c>
      <c r="L9" s="30" t="str">
        <f t="array" aca="1" ref="L9" ca="1">_xlfn.IFNA(_xlfn.XLOOKUP($A9,INDIRECT("'"&amp;L$4&amp;"'!$E$10:$E$44"),INDIRECT("'"&amp;L$4&amp;"'!$A$10:$A$44"))," ")</f>
        <v xml:space="preserve"> </v>
      </c>
      <c r="M9" s="30" t="str">
        <f t="array" aca="1" ref="M9" ca="1">_xlfn.IFNA(_xlfn.XLOOKUP($A9,INDIRECT("'"&amp;M$4&amp;"'!$E$10:$E$44"),INDIRECT("'"&amp;M$4&amp;"'!$A$10:$A$44"))," ")</f>
        <v xml:space="preserve"> </v>
      </c>
      <c r="N9" s="30" t="str">
        <f t="array" aca="1" ref="N9" ca="1">_xlfn.IFNA(_xlfn.XLOOKUP($A9,INDIRECT("'"&amp;N$4&amp;"'!$E$10:$E$44"),INDIRECT("'"&amp;N$4&amp;"'!$A$10:$A$44"))," ")</f>
        <v xml:space="preserve"> </v>
      </c>
      <c r="O9" s="30" t="str">
        <f t="array" aca="1" ref="O9" ca="1">_xlfn.IFNA(_xlfn.XLOOKUP($A9,INDIRECT("'"&amp;O$4&amp;"'!$E$10:$E$44"),INDIRECT("'"&amp;O$4&amp;"'!$A$10:$A$44"))," ")</f>
        <v xml:space="preserve"> </v>
      </c>
      <c r="P9" s="30" t="str">
        <f t="array" aca="1" ref="P9" ca="1">_xlfn.IFNA(_xlfn.XLOOKUP($A9,INDIRECT("'"&amp;P$4&amp;"'!$E$10:$E$44"),INDIRECT("'"&amp;P$4&amp;"'!$A$10:$A$44"))," ")</f>
        <v xml:space="preserve"> </v>
      </c>
      <c r="Q9" s="30" t="str">
        <f t="array" aca="1" ref="Q9" ca="1">_xlfn.IFNA(_xlfn.XLOOKUP($A9,INDIRECT("'"&amp;Q$4&amp;"'!$E$10:$E$44"),INDIRECT("'"&amp;Q$4&amp;"'!$A$10:$A$44"))," ")</f>
        <v xml:space="preserve"> </v>
      </c>
      <c r="R9" s="30" t="str">
        <f t="array" aca="1" ref="R9" ca="1">_xlfn.IFNA(_xlfn.XLOOKUP($A9,INDIRECT("'"&amp;R$4&amp;"'!$E$10:$E$44"),INDIRECT("'"&amp;R$4&amp;"'!$A$10:$A$44"))," ")</f>
        <v xml:space="preserve"> </v>
      </c>
      <c r="S9" s="30" t="str">
        <f t="array" aca="1" ref="S9" ca="1">_xlfn.IFNA(_xlfn.XLOOKUP($A9,INDIRECT("'"&amp;S$4&amp;"'!$E$10:$E$44"),INDIRECT("'"&amp;S$4&amp;"'!$A$10:$A$44"))," ")</f>
        <v xml:space="preserve"> </v>
      </c>
      <c r="T9" s="30">
        <f ca="1">SUM(Table5[[#This Row],[Week 1]:[Week 18]])</f>
        <v>0</v>
      </c>
      <c r="U9" s="30">
        <f t="shared" ca="1" si="0"/>
        <v>-40</v>
      </c>
      <c r="V9" s="30">
        <f t="shared" ca="1" si="1"/>
        <v>0</v>
      </c>
      <c r="W9" s="30">
        <f t="shared" ca="1" si="2"/>
        <v>0</v>
      </c>
    </row>
    <row r="10" spans="1:23" x14ac:dyDescent="0.3">
      <c r="A10" s="21" t="s">
        <v>57</v>
      </c>
      <c r="B10" s="30" t="str">
        <f t="array" aca="1" ref="B10" ca="1">_xlfn.IFNA(_xlfn.XLOOKUP($A10,INDIRECT("'"&amp;B$4&amp;"'!$E$10:$E$44"),INDIRECT("'"&amp;B$4&amp;"'!$A$10:$A$44"))," ")</f>
        <v xml:space="preserve"> </v>
      </c>
      <c r="C10" s="30" t="str">
        <f t="array" aca="1" ref="C10" ca="1">_xlfn.IFNA(_xlfn.XLOOKUP($A10,INDIRECT("'"&amp;C$4&amp;"'!$E$10:$E$44"),INDIRECT("'"&amp;C$4&amp;"'!$A$10:$A$44"))," ")</f>
        <v/>
      </c>
      <c r="D10" s="30" t="str">
        <f t="array" aca="1" ref="D10" ca="1">_xlfn.IFNA(_xlfn.XLOOKUP($A10,INDIRECT("'"&amp;D$4&amp;"'!$E$10:$E$44"),INDIRECT("'"&amp;D$4&amp;"'!$A$10:$A$44"))," ")</f>
        <v/>
      </c>
      <c r="E10" s="30" t="str">
        <f t="array" aca="1" ref="E10" ca="1">_xlfn.IFNA(_xlfn.XLOOKUP($A10,INDIRECT("'"&amp;E$4&amp;"'!$E$10:$E$44"),INDIRECT("'"&amp;E$4&amp;"'!$A$10:$A$44"))," ")</f>
        <v xml:space="preserve"> </v>
      </c>
      <c r="F10" s="30" t="str">
        <f t="array" aca="1" ref="F10" ca="1">_xlfn.IFNA(_xlfn.XLOOKUP($A10,INDIRECT("'"&amp;F$4&amp;"'!$E$10:$E$44"),INDIRECT("'"&amp;F$4&amp;"'!$A$10:$A$44"))," ")</f>
        <v xml:space="preserve"> </v>
      </c>
      <c r="G10" s="30" t="str">
        <f t="array" aca="1" ref="G10" ca="1">_xlfn.IFNA(_xlfn.XLOOKUP($A10,INDIRECT("'"&amp;G$4&amp;"'!$E$10:$E$44"),INDIRECT("'"&amp;G$4&amp;"'!$A$10:$A$44"))," ")</f>
        <v xml:space="preserve"> </v>
      </c>
      <c r="H10" s="30" t="str">
        <f t="array" aca="1" ref="H10" ca="1">_xlfn.IFNA(_xlfn.XLOOKUP($A10,INDIRECT("'"&amp;H$4&amp;"'!$E$10:$E$44"),INDIRECT("'"&amp;H$4&amp;"'!$A$10:$A$44"))," ")</f>
        <v xml:space="preserve"> </v>
      </c>
      <c r="I10" s="30" t="str">
        <f t="array" aca="1" ref="I10" ca="1">_xlfn.IFNA(_xlfn.XLOOKUP($A10,INDIRECT("'"&amp;I$4&amp;"'!$E$10:$E$44"),INDIRECT("'"&amp;I$4&amp;"'!$A$10:$A$44"))," ")</f>
        <v xml:space="preserve"> </v>
      </c>
      <c r="J10" s="30" t="str">
        <f t="array" aca="1" ref="J10" ca="1">_xlfn.IFNA(_xlfn.XLOOKUP($A10,INDIRECT("'"&amp;J$4&amp;"'!$E$10:$E$44"),INDIRECT("'"&amp;J$4&amp;"'!$A$10:$A$44"))," ")</f>
        <v xml:space="preserve"> </v>
      </c>
      <c r="K10" s="30" t="str">
        <f t="array" aca="1" ref="K10" ca="1">_xlfn.IFNA(_xlfn.XLOOKUP($A10,INDIRECT("'"&amp;K$4&amp;"'!$E$10:$E$44"),INDIRECT("'"&amp;K$4&amp;"'!$A$10:$A$44"))," ")</f>
        <v xml:space="preserve"> </v>
      </c>
      <c r="L10" s="30" t="str">
        <f t="array" aca="1" ref="L10" ca="1">_xlfn.IFNA(_xlfn.XLOOKUP($A10,INDIRECT("'"&amp;L$4&amp;"'!$E$10:$E$44"),INDIRECT("'"&amp;L$4&amp;"'!$A$10:$A$44"))," ")</f>
        <v xml:space="preserve"> </v>
      </c>
      <c r="M10" s="30" t="str">
        <f t="array" aca="1" ref="M10" ca="1">_xlfn.IFNA(_xlfn.XLOOKUP($A10,INDIRECT("'"&amp;M$4&amp;"'!$E$10:$E$44"),INDIRECT("'"&amp;M$4&amp;"'!$A$10:$A$44"))," ")</f>
        <v xml:space="preserve"> </v>
      </c>
      <c r="N10" s="30" t="str">
        <f t="array" aca="1" ref="N10" ca="1">_xlfn.IFNA(_xlfn.XLOOKUP($A10,INDIRECT("'"&amp;N$4&amp;"'!$E$10:$E$44"),INDIRECT("'"&amp;N$4&amp;"'!$A$10:$A$44"))," ")</f>
        <v xml:space="preserve"> </v>
      </c>
      <c r="O10" s="30" t="str">
        <f t="array" aca="1" ref="O10" ca="1">_xlfn.IFNA(_xlfn.XLOOKUP($A10,INDIRECT("'"&amp;O$4&amp;"'!$E$10:$E$44"),INDIRECT("'"&amp;O$4&amp;"'!$A$10:$A$44"))," ")</f>
        <v xml:space="preserve"> </v>
      </c>
      <c r="P10" s="30" t="str">
        <f t="array" aca="1" ref="P10" ca="1">_xlfn.IFNA(_xlfn.XLOOKUP($A10,INDIRECT("'"&amp;P$4&amp;"'!$E$10:$E$44"),INDIRECT("'"&amp;P$4&amp;"'!$A$10:$A$44"))," ")</f>
        <v xml:space="preserve"> </v>
      </c>
      <c r="Q10" s="30" t="str">
        <f t="array" aca="1" ref="Q10" ca="1">_xlfn.IFNA(_xlfn.XLOOKUP($A10,INDIRECT("'"&amp;Q$4&amp;"'!$E$10:$E$44"),INDIRECT("'"&amp;Q$4&amp;"'!$A$10:$A$44"))," ")</f>
        <v xml:space="preserve"> </v>
      </c>
      <c r="R10" s="30" t="str">
        <f t="array" aca="1" ref="R10" ca="1">_xlfn.IFNA(_xlfn.XLOOKUP($A10,INDIRECT("'"&amp;R$4&amp;"'!$E$10:$E$44"),INDIRECT("'"&amp;R$4&amp;"'!$A$10:$A$44"))," ")</f>
        <v xml:space="preserve"> </v>
      </c>
      <c r="S10" s="30" t="str">
        <f t="array" aca="1" ref="S10" ca="1">_xlfn.IFNA(_xlfn.XLOOKUP($A10,INDIRECT("'"&amp;S$4&amp;"'!$E$10:$E$44"),INDIRECT("'"&amp;S$4&amp;"'!$A$10:$A$44"))," ")</f>
        <v xml:space="preserve"> </v>
      </c>
      <c r="T10" s="30">
        <f ca="1">SUM(Table5[[#This Row],[Week 1]:[Week 18]])</f>
        <v>0</v>
      </c>
      <c r="U10" s="30">
        <f t="shared" ca="1" si="0"/>
        <v>-40</v>
      </c>
      <c r="V10" s="30">
        <f t="shared" ca="1" si="1"/>
        <v>0</v>
      </c>
      <c r="W10" s="30">
        <f t="shared" ca="1" si="2"/>
        <v>0</v>
      </c>
    </row>
    <row r="11" spans="1:23" x14ac:dyDescent="0.3">
      <c r="A11" s="21" t="s">
        <v>58</v>
      </c>
      <c r="B11" s="30" t="str">
        <f t="array" aca="1" ref="B11" ca="1">_xlfn.IFNA(_xlfn.XLOOKUP($A11,INDIRECT("'"&amp;B$4&amp;"'!$E$10:$E$44"),INDIRECT("'"&amp;B$4&amp;"'!$A$10:$A$44"))," ")</f>
        <v xml:space="preserve"> </v>
      </c>
      <c r="C11" s="30" t="str">
        <f t="array" aca="1" ref="C11" ca="1">_xlfn.IFNA(_xlfn.XLOOKUP($A11,INDIRECT("'"&amp;C$4&amp;"'!$E$10:$E$44"),INDIRECT("'"&amp;C$4&amp;"'!$A$10:$A$44"))," ")</f>
        <v/>
      </c>
      <c r="D11" s="30">
        <f t="array" aca="1" ref="D11" ca="1">_xlfn.IFNA(_xlfn.XLOOKUP($A11,INDIRECT("'"&amp;D$4&amp;"'!$E$10:$E$44"),INDIRECT("'"&amp;D$4&amp;"'!$A$10:$A$44"))," ")</f>
        <v>4.416666666666667</v>
      </c>
      <c r="E11" s="30" t="str">
        <f t="array" aca="1" ref="E11" ca="1">_xlfn.IFNA(_xlfn.XLOOKUP($A11,INDIRECT("'"&amp;E$4&amp;"'!$E$10:$E$44"),INDIRECT("'"&amp;E$4&amp;"'!$A$10:$A$44"))," ")</f>
        <v xml:space="preserve"> </v>
      </c>
      <c r="F11" s="30" t="str">
        <f t="array" aca="1" ref="F11" ca="1">_xlfn.IFNA(_xlfn.XLOOKUP($A11,INDIRECT("'"&amp;F$4&amp;"'!$E$10:$E$44"),INDIRECT("'"&amp;F$4&amp;"'!$A$10:$A$44"))," ")</f>
        <v xml:space="preserve"> </v>
      </c>
      <c r="G11" s="30" t="str">
        <f t="array" aca="1" ref="G11" ca="1">_xlfn.IFNA(_xlfn.XLOOKUP($A11,INDIRECT("'"&amp;G$4&amp;"'!$E$10:$E$44"),INDIRECT("'"&amp;G$4&amp;"'!$A$10:$A$44"))," ")</f>
        <v xml:space="preserve"> </v>
      </c>
      <c r="H11" s="30" t="str">
        <f t="array" aca="1" ref="H11" ca="1">_xlfn.IFNA(_xlfn.XLOOKUP($A11,INDIRECT("'"&amp;H$4&amp;"'!$E$10:$E$44"),INDIRECT("'"&amp;H$4&amp;"'!$A$10:$A$44"))," ")</f>
        <v xml:space="preserve"> </v>
      </c>
      <c r="I11" s="30" t="str">
        <f t="array" aca="1" ref="I11" ca="1">_xlfn.IFNA(_xlfn.XLOOKUP($A11,INDIRECT("'"&amp;I$4&amp;"'!$E$10:$E$44"),INDIRECT("'"&amp;I$4&amp;"'!$A$10:$A$44"))," ")</f>
        <v xml:space="preserve"> </v>
      </c>
      <c r="J11" s="30" t="str">
        <f t="array" aca="1" ref="J11" ca="1">_xlfn.IFNA(_xlfn.XLOOKUP($A11,INDIRECT("'"&amp;J$4&amp;"'!$E$10:$E$44"),INDIRECT("'"&amp;J$4&amp;"'!$A$10:$A$44"))," ")</f>
        <v xml:space="preserve"> </v>
      </c>
      <c r="K11" s="30" t="str">
        <f t="array" aca="1" ref="K11" ca="1">_xlfn.IFNA(_xlfn.XLOOKUP($A11,INDIRECT("'"&amp;K$4&amp;"'!$E$10:$E$44"),INDIRECT("'"&amp;K$4&amp;"'!$A$10:$A$44"))," ")</f>
        <v xml:space="preserve"> </v>
      </c>
      <c r="L11" s="30" t="str">
        <f t="array" aca="1" ref="L11" ca="1">_xlfn.IFNA(_xlfn.XLOOKUP($A11,INDIRECT("'"&amp;L$4&amp;"'!$E$10:$E$44"),INDIRECT("'"&amp;L$4&amp;"'!$A$10:$A$44"))," ")</f>
        <v xml:space="preserve"> </v>
      </c>
      <c r="M11" s="30" t="str">
        <f t="array" aca="1" ref="M11" ca="1">_xlfn.IFNA(_xlfn.XLOOKUP($A11,INDIRECT("'"&amp;M$4&amp;"'!$E$10:$E$44"),INDIRECT("'"&amp;M$4&amp;"'!$A$10:$A$44"))," ")</f>
        <v xml:space="preserve"> </v>
      </c>
      <c r="N11" s="30" t="str">
        <f t="array" aca="1" ref="N11" ca="1">_xlfn.IFNA(_xlfn.XLOOKUP($A11,INDIRECT("'"&amp;N$4&amp;"'!$E$10:$E$44"),INDIRECT("'"&amp;N$4&amp;"'!$A$10:$A$44"))," ")</f>
        <v xml:space="preserve"> </v>
      </c>
      <c r="O11" s="30" t="str">
        <f t="array" aca="1" ref="O11" ca="1">_xlfn.IFNA(_xlfn.XLOOKUP($A11,INDIRECT("'"&amp;O$4&amp;"'!$E$10:$E$44"),INDIRECT("'"&amp;O$4&amp;"'!$A$10:$A$44"))," ")</f>
        <v xml:space="preserve"> </v>
      </c>
      <c r="P11" s="30" t="str">
        <f t="array" aca="1" ref="P11" ca="1">_xlfn.IFNA(_xlfn.XLOOKUP($A11,INDIRECT("'"&amp;P$4&amp;"'!$E$10:$E$44"),INDIRECT("'"&amp;P$4&amp;"'!$A$10:$A$44"))," ")</f>
        <v xml:space="preserve"> </v>
      </c>
      <c r="Q11" s="30" t="str">
        <f t="array" aca="1" ref="Q11" ca="1">_xlfn.IFNA(_xlfn.XLOOKUP($A11,INDIRECT("'"&amp;Q$4&amp;"'!$E$10:$E$44"),INDIRECT("'"&amp;Q$4&amp;"'!$A$10:$A$44"))," ")</f>
        <v xml:space="preserve"> </v>
      </c>
      <c r="R11" s="30" t="str">
        <f t="array" aca="1" ref="R11" ca="1">_xlfn.IFNA(_xlfn.XLOOKUP($A11,INDIRECT("'"&amp;R$4&amp;"'!$E$10:$E$44"),INDIRECT("'"&amp;R$4&amp;"'!$A$10:$A$44"))," ")</f>
        <v xml:space="preserve"> </v>
      </c>
      <c r="S11" s="30" t="str">
        <f t="array" aca="1" ref="S11" ca="1">_xlfn.IFNA(_xlfn.XLOOKUP($A11,INDIRECT("'"&amp;S$4&amp;"'!$E$10:$E$44"),INDIRECT("'"&amp;S$4&amp;"'!$A$10:$A$44"))," ")</f>
        <v xml:space="preserve"> </v>
      </c>
      <c r="T11" s="30">
        <f ca="1">SUM(Table5[[#This Row],[Week 1]:[Week 18]])</f>
        <v>4.416666666666667</v>
      </c>
      <c r="U11" s="30">
        <f t="shared" ca="1" si="0"/>
        <v>-35.583333333333336</v>
      </c>
      <c r="V11" s="30">
        <f t="shared" ca="1" si="1"/>
        <v>4.416666666666667</v>
      </c>
      <c r="W11" s="30">
        <f t="shared" ca="1" si="2"/>
        <v>4.416666666666667</v>
      </c>
    </row>
    <row r="12" spans="1:23" x14ac:dyDescent="0.3">
      <c r="A12" s="21" t="s">
        <v>59</v>
      </c>
      <c r="B12" s="30" t="str">
        <f t="array" aca="1" ref="B12" ca="1">_xlfn.IFNA(_xlfn.XLOOKUP($A12,INDIRECT("'"&amp;B$4&amp;"'!$E$10:$E$44"),INDIRECT("'"&amp;B$4&amp;"'!$A$10:$A$44"))," ")</f>
        <v xml:space="preserve"> </v>
      </c>
      <c r="C12" s="30" t="str">
        <f t="array" aca="1" ref="C12" ca="1">_xlfn.IFNA(_xlfn.XLOOKUP($A12,INDIRECT("'"&amp;C$4&amp;"'!$E$10:$E$44"),INDIRECT("'"&amp;C$4&amp;"'!$A$10:$A$44"))," ")</f>
        <v/>
      </c>
      <c r="D12" s="30" t="str">
        <f t="array" aca="1" ref="D12" ca="1">_xlfn.IFNA(_xlfn.XLOOKUP($A12,INDIRECT("'"&amp;D$4&amp;"'!$E$10:$E$44"),INDIRECT("'"&amp;D$4&amp;"'!$A$10:$A$44"))," ")</f>
        <v/>
      </c>
      <c r="E12" s="30" t="str">
        <f t="array" aca="1" ref="E12" ca="1">_xlfn.IFNA(_xlfn.XLOOKUP($A12,INDIRECT("'"&amp;E$4&amp;"'!$E$10:$E$44"),INDIRECT("'"&amp;E$4&amp;"'!$A$10:$A$44"))," ")</f>
        <v xml:space="preserve"> </v>
      </c>
      <c r="F12" s="30" t="str">
        <f t="array" aca="1" ref="F12" ca="1">_xlfn.IFNA(_xlfn.XLOOKUP($A12,INDIRECT("'"&amp;F$4&amp;"'!$E$10:$E$44"),INDIRECT("'"&amp;F$4&amp;"'!$A$10:$A$44"))," ")</f>
        <v xml:space="preserve"> </v>
      </c>
      <c r="G12" s="30" t="str">
        <f t="array" aca="1" ref="G12" ca="1">_xlfn.IFNA(_xlfn.XLOOKUP($A12,INDIRECT("'"&amp;G$4&amp;"'!$E$10:$E$44"),INDIRECT("'"&amp;G$4&amp;"'!$A$10:$A$44"))," ")</f>
        <v xml:space="preserve"> </v>
      </c>
      <c r="H12" s="30" t="str">
        <f t="array" aca="1" ref="H12" ca="1">_xlfn.IFNA(_xlfn.XLOOKUP($A12,INDIRECT("'"&amp;H$4&amp;"'!$E$10:$E$44"),INDIRECT("'"&amp;H$4&amp;"'!$A$10:$A$44"))," ")</f>
        <v xml:space="preserve"> </v>
      </c>
      <c r="I12" s="30" t="str">
        <f t="array" aca="1" ref="I12" ca="1">_xlfn.IFNA(_xlfn.XLOOKUP($A12,INDIRECT("'"&amp;I$4&amp;"'!$E$10:$E$44"),INDIRECT("'"&amp;I$4&amp;"'!$A$10:$A$44"))," ")</f>
        <v xml:space="preserve"> </v>
      </c>
      <c r="J12" s="30" t="str">
        <f t="array" aca="1" ref="J12" ca="1">_xlfn.IFNA(_xlfn.XLOOKUP($A12,INDIRECT("'"&amp;J$4&amp;"'!$E$10:$E$44"),INDIRECT("'"&amp;J$4&amp;"'!$A$10:$A$44"))," ")</f>
        <v xml:space="preserve"> </v>
      </c>
      <c r="K12" s="30" t="str">
        <f t="array" aca="1" ref="K12" ca="1">_xlfn.IFNA(_xlfn.XLOOKUP($A12,INDIRECT("'"&amp;K$4&amp;"'!$E$10:$E$44"),INDIRECT("'"&amp;K$4&amp;"'!$A$10:$A$44"))," ")</f>
        <v xml:space="preserve"> </v>
      </c>
      <c r="L12" s="30" t="str">
        <f t="array" aca="1" ref="L12" ca="1">_xlfn.IFNA(_xlfn.XLOOKUP($A12,INDIRECT("'"&amp;L$4&amp;"'!$E$10:$E$44"),INDIRECT("'"&amp;L$4&amp;"'!$A$10:$A$44"))," ")</f>
        <v xml:space="preserve"> </v>
      </c>
      <c r="M12" s="30" t="str">
        <f t="array" aca="1" ref="M12" ca="1">_xlfn.IFNA(_xlfn.XLOOKUP($A12,INDIRECT("'"&amp;M$4&amp;"'!$E$10:$E$44"),INDIRECT("'"&amp;M$4&amp;"'!$A$10:$A$44"))," ")</f>
        <v xml:space="preserve"> </v>
      </c>
      <c r="N12" s="30" t="str">
        <f t="array" aca="1" ref="N12" ca="1">_xlfn.IFNA(_xlfn.XLOOKUP($A12,INDIRECT("'"&amp;N$4&amp;"'!$E$10:$E$44"),INDIRECT("'"&amp;N$4&amp;"'!$A$10:$A$44"))," ")</f>
        <v xml:space="preserve"> </v>
      </c>
      <c r="O12" s="30" t="str">
        <f t="array" aca="1" ref="O12" ca="1">_xlfn.IFNA(_xlfn.XLOOKUP($A12,INDIRECT("'"&amp;O$4&amp;"'!$E$10:$E$44"),INDIRECT("'"&amp;O$4&amp;"'!$A$10:$A$44"))," ")</f>
        <v xml:space="preserve"> </v>
      </c>
      <c r="P12" s="30" t="str">
        <f t="array" aca="1" ref="P12" ca="1">_xlfn.IFNA(_xlfn.XLOOKUP($A12,INDIRECT("'"&amp;P$4&amp;"'!$E$10:$E$44"),INDIRECT("'"&amp;P$4&amp;"'!$A$10:$A$44"))," ")</f>
        <v xml:space="preserve"> </v>
      </c>
      <c r="Q12" s="30" t="str">
        <f t="array" aca="1" ref="Q12" ca="1">_xlfn.IFNA(_xlfn.XLOOKUP($A12,INDIRECT("'"&amp;Q$4&amp;"'!$E$10:$E$44"),INDIRECT("'"&amp;Q$4&amp;"'!$A$10:$A$44"))," ")</f>
        <v xml:space="preserve"> </v>
      </c>
      <c r="R12" s="30" t="str">
        <f t="array" aca="1" ref="R12" ca="1">_xlfn.IFNA(_xlfn.XLOOKUP($A12,INDIRECT("'"&amp;R$4&amp;"'!$E$10:$E$44"),INDIRECT("'"&amp;R$4&amp;"'!$A$10:$A$44"))," ")</f>
        <v xml:space="preserve"> </v>
      </c>
      <c r="S12" s="30" t="str">
        <f t="array" aca="1" ref="S12" ca="1">_xlfn.IFNA(_xlfn.XLOOKUP($A12,INDIRECT("'"&amp;S$4&amp;"'!$E$10:$E$44"),INDIRECT("'"&amp;S$4&amp;"'!$A$10:$A$44"))," ")</f>
        <v xml:space="preserve"> </v>
      </c>
      <c r="T12" s="30">
        <f ca="1">SUM(Table5[[#This Row],[Week 1]:[Week 18]])</f>
        <v>0</v>
      </c>
      <c r="U12" s="30">
        <f t="shared" ca="1" si="0"/>
        <v>-40</v>
      </c>
      <c r="V12" s="30">
        <f t="shared" ca="1" si="1"/>
        <v>0</v>
      </c>
      <c r="W12" s="30">
        <f t="shared" ca="1" si="2"/>
        <v>0</v>
      </c>
    </row>
    <row r="13" spans="1:23" x14ac:dyDescent="0.3">
      <c r="A13" s="21" t="s">
        <v>60</v>
      </c>
      <c r="B13" s="30" t="str">
        <f t="array" aca="1" ref="B13" ca="1">_xlfn.IFNA(_xlfn.XLOOKUP($A13,INDIRECT("'"&amp;B$4&amp;"'!$E$10:$E$44"),INDIRECT("'"&amp;B$4&amp;"'!$A$10:$A$44"))," ")</f>
        <v xml:space="preserve"> </v>
      </c>
      <c r="C13" s="30" t="str">
        <f t="array" aca="1" ref="C13" ca="1">_xlfn.IFNA(_xlfn.XLOOKUP($A13,INDIRECT("'"&amp;C$4&amp;"'!$E$10:$E$44"),INDIRECT("'"&amp;C$4&amp;"'!$A$10:$A$44"))," ")</f>
        <v/>
      </c>
      <c r="D13" s="30">
        <f t="array" aca="1" ref="D13" ca="1">_xlfn.IFNA(_xlfn.XLOOKUP($A13,INDIRECT("'"&amp;D$4&amp;"'!$E$10:$E$44"),INDIRECT("'"&amp;D$4&amp;"'!$A$10:$A$44"))," ")</f>
        <v>4.416666666666667</v>
      </c>
      <c r="E13" s="30" t="str">
        <f t="array" aca="1" ref="E13" ca="1">_xlfn.IFNA(_xlfn.XLOOKUP($A13,INDIRECT("'"&amp;E$4&amp;"'!$E$10:$E$44"),INDIRECT("'"&amp;E$4&amp;"'!$A$10:$A$44"))," ")</f>
        <v xml:space="preserve"> </v>
      </c>
      <c r="F13" s="30" t="str">
        <f t="array" aca="1" ref="F13" ca="1">_xlfn.IFNA(_xlfn.XLOOKUP($A13,INDIRECT("'"&amp;F$4&amp;"'!$E$10:$E$44"),INDIRECT("'"&amp;F$4&amp;"'!$A$10:$A$44"))," ")</f>
        <v xml:space="preserve"> </v>
      </c>
      <c r="G13" s="30" t="str">
        <f t="array" aca="1" ref="G13" ca="1">_xlfn.IFNA(_xlfn.XLOOKUP($A13,INDIRECT("'"&amp;G$4&amp;"'!$E$10:$E$44"),INDIRECT("'"&amp;G$4&amp;"'!$A$10:$A$44"))," ")</f>
        <v xml:space="preserve"> </v>
      </c>
      <c r="H13" s="30" t="str">
        <f t="array" aca="1" ref="H13" ca="1">_xlfn.IFNA(_xlfn.XLOOKUP($A13,INDIRECT("'"&amp;H$4&amp;"'!$E$10:$E$44"),INDIRECT("'"&amp;H$4&amp;"'!$A$10:$A$44"))," ")</f>
        <v xml:space="preserve"> </v>
      </c>
      <c r="I13" s="30" t="str">
        <f t="array" aca="1" ref="I13" ca="1">_xlfn.IFNA(_xlfn.XLOOKUP($A13,INDIRECT("'"&amp;I$4&amp;"'!$E$10:$E$44"),INDIRECT("'"&amp;I$4&amp;"'!$A$10:$A$44"))," ")</f>
        <v xml:space="preserve"> </v>
      </c>
      <c r="J13" s="30" t="str">
        <f t="array" aca="1" ref="J13" ca="1">_xlfn.IFNA(_xlfn.XLOOKUP($A13,INDIRECT("'"&amp;J$4&amp;"'!$E$10:$E$44"),INDIRECT("'"&amp;J$4&amp;"'!$A$10:$A$44"))," ")</f>
        <v xml:space="preserve"> </v>
      </c>
      <c r="K13" s="30" t="str">
        <f t="array" aca="1" ref="K13" ca="1">_xlfn.IFNA(_xlfn.XLOOKUP($A13,INDIRECT("'"&amp;K$4&amp;"'!$E$10:$E$44"),INDIRECT("'"&amp;K$4&amp;"'!$A$10:$A$44"))," ")</f>
        <v xml:space="preserve"> </v>
      </c>
      <c r="L13" s="30" t="str">
        <f t="array" aca="1" ref="L13" ca="1">_xlfn.IFNA(_xlfn.XLOOKUP($A13,INDIRECT("'"&amp;L$4&amp;"'!$E$10:$E$44"),INDIRECT("'"&amp;L$4&amp;"'!$A$10:$A$44"))," ")</f>
        <v xml:space="preserve"> </v>
      </c>
      <c r="M13" s="30" t="str">
        <f t="array" aca="1" ref="M13" ca="1">_xlfn.IFNA(_xlfn.XLOOKUP($A13,INDIRECT("'"&amp;M$4&amp;"'!$E$10:$E$44"),INDIRECT("'"&amp;M$4&amp;"'!$A$10:$A$44"))," ")</f>
        <v xml:space="preserve"> </v>
      </c>
      <c r="N13" s="30" t="str">
        <f t="array" aca="1" ref="N13" ca="1">_xlfn.IFNA(_xlfn.XLOOKUP($A13,INDIRECT("'"&amp;N$4&amp;"'!$E$10:$E$44"),INDIRECT("'"&amp;N$4&amp;"'!$A$10:$A$44"))," ")</f>
        <v xml:space="preserve"> </v>
      </c>
      <c r="O13" s="30" t="str">
        <f t="array" aca="1" ref="O13" ca="1">_xlfn.IFNA(_xlfn.XLOOKUP($A13,INDIRECT("'"&amp;O$4&amp;"'!$E$10:$E$44"),INDIRECT("'"&amp;O$4&amp;"'!$A$10:$A$44"))," ")</f>
        <v xml:space="preserve"> </v>
      </c>
      <c r="P13" s="30" t="str">
        <f t="array" aca="1" ref="P13" ca="1">_xlfn.IFNA(_xlfn.XLOOKUP($A13,INDIRECT("'"&amp;P$4&amp;"'!$E$10:$E$44"),INDIRECT("'"&amp;P$4&amp;"'!$A$10:$A$44"))," ")</f>
        <v xml:space="preserve"> </v>
      </c>
      <c r="Q13" s="30" t="str">
        <f t="array" aca="1" ref="Q13" ca="1">_xlfn.IFNA(_xlfn.XLOOKUP($A13,INDIRECT("'"&amp;Q$4&amp;"'!$E$10:$E$44"),INDIRECT("'"&amp;Q$4&amp;"'!$A$10:$A$44"))," ")</f>
        <v xml:space="preserve"> </v>
      </c>
      <c r="R13" s="30" t="str">
        <f t="array" aca="1" ref="R13" ca="1">_xlfn.IFNA(_xlfn.XLOOKUP($A13,INDIRECT("'"&amp;R$4&amp;"'!$E$10:$E$44"),INDIRECT("'"&amp;R$4&amp;"'!$A$10:$A$44"))," ")</f>
        <v xml:space="preserve"> </v>
      </c>
      <c r="S13" s="30" t="str">
        <f t="array" aca="1" ref="S13" ca="1">_xlfn.IFNA(_xlfn.XLOOKUP($A13,INDIRECT("'"&amp;S$4&amp;"'!$E$10:$E$44"),INDIRECT("'"&amp;S$4&amp;"'!$A$10:$A$44"))," ")</f>
        <v xml:space="preserve"> </v>
      </c>
      <c r="T13" s="30">
        <f ca="1">SUM(Table5[[#This Row],[Week 1]:[Week 18]])</f>
        <v>4.416666666666667</v>
      </c>
      <c r="U13" s="30">
        <f t="shared" ca="1" si="0"/>
        <v>-35.583333333333336</v>
      </c>
      <c r="V13" s="30">
        <f t="shared" ca="1" si="1"/>
        <v>4.416666666666667</v>
      </c>
      <c r="W13" s="30">
        <f t="shared" ca="1" si="2"/>
        <v>4.416666666666667</v>
      </c>
    </row>
    <row r="14" spans="1:23" x14ac:dyDescent="0.3">
      <c r="A14" s="21" t="s">
        <v>61</v>
      </c>
      <c r="B14" s="30" t="str">
        <f t="array" aca="1" ref="B14" ca="1">_xlfn.IFNA(_xlfn.XLOOKUP($A14,INDIRECT("'"&amp;B$4&amp;"'!$E$10:$E$44"),INDIRECT("'"&amp;B$4&amp;"'!$A$10:$A$44"))," ")</f>
        <v xml:space="preserve"> </v>
      </c>
      <c r="C14" s="30" t="str">
        <f t="array" aca="1" ref="C14" ca="1">_xlfn.IFNA(_xlfn.XLOOKUP($A14,INDIRECT("'"&amp;C$4&amp;"'!$E$10:$E$44"),INDIRECT("'"&amp;C$4&amp;"'!$A$10:$A$44"))," ")</f>
        <v/>
      </c>
      <c r="D14" s="30" t="str">
        <f t="array" aca="1" ref="D14" ca="1">_xlfn.IFNA(_xlfn.XLOOKUP($A14,INDIRECT("'"&amp;D$4&amp;"'!$E$10:$E$44"),INDIRECT("'"&amp;D$4&amp;"'!$A$10:$A$44"))," ")</f>
        <v/>
      </c>
      <c r="E14" s="30" t="str">
        <f t="array" aca="1" ref="E14" ca="1">_xlfn.IFNA(_xlfn.XLOOKUP($A14,INDIRECT("'"&amp;E$4&amp;"'!$E$10:$E$44"),INDIRECT("'"&amp;E$4&amp;"'!$A$10:$A$44"))," ")</f>
        <v xml:space="preserve"> </v>
      </c>
      <c r="F14" s="30" t="str">
        <f t="array" aca="1" ref="F14" ca="1">_xlfn.IFNA(_xlfn.XLOOKUP($A14,INDIRECT("'"&amp;F$4&amp;"'!$E$10:$E$44"),INDIRECT("'"&amp;F$4&amp;"'!$A$10:$A$44"))," ")</f>
        <v xml:space="preserve"> </v>
      </c>
      <c r="G14" s="30" t="str">
        <f t="array" aca="1" ref="G14" ca="1">_xlfn.IFNA(_xlfn.XLOOKUP($A14,INDIRECT("'"&amp;G$4&amp;"'!$E$10:$E$44"),INDIRECT("'"&amp;G$4&amp;"'!$A$10:$A$44"))," ")</f>
        <v xml:space="preserve"> </v>
      </c>
      <c r="H14" s="30" t="str">
        <f t="array" aca="1" ref="H14" ca="1">_xlfn.IFNA(_xlfn.XLOOKUP($A14,INDIRECT("'"&amp;H$4&amp;"'!$E$10:$E$44"),INDIRECT("'"&amp;H$4&amp;"'!$A$10:$A$44"))," ")</f>
        <v xml:space="preserve"> </v>
      </c>
      <c r="I14" s="30" t="str">
        <f t="array" aca="1" ref="I14" ca="1">_xlfn.IFNA(_xlfn.XLOOKUP($A14,INDIRECT("'"&amp;I$4&amp;"'!$E$10:$E$44"),INDIRECT("'"&amp;I$4&amp;"'!$A$10:$A$44"))," ")</f>
        <v xml:space="preserve"> </v>
      </c>
      <c r="J14" s="30" t="str">
        <f t="array" aca="1" ref="J14" ca="1">_xlfn.IFNA(_xlfn.XLOOKUP($A14,INDIRECT("'"&amp;J$4&amp;"'!$E$10:$E$44"),INDIRECT("'"&amp;J$4&amp;"'!$A$10:$A$44"))," ")</f>
        <v xml:space="preserve"> </v>
      </c>
      <c r="K14" s="30" t="str">
        <f t="array" aca="1" ref="K14" ca="1">_xlfn.IFNA(_xlfn.XLOOKUP($A14,INDIRECT("'"&amp;K$4&amp;"'!$E$10:$E$44"),INDIRECT("'"&amp;K$4&amp;"'!$A$10:$A$44"))," ")</f>
        <v xml:space="preserve"> </v>
      </c>
      <c r="L14" s="30" t="str">
        <f t="array" aca="1" ref="L14" ca="1">_xlfn.IFNA(_xlfn.XLOOKUP($A14,INDIRECT("'"&amp;L$4&amp;"'!$E$10:$E$44"),INDIRECT("'"&amp;L$4&amp;"'!$A$10:$A$44"))," ")</f>
        <v xml:space="preserve"> </v>
      </c>
      <c r="M14" s="30" t="str">
        <f t="array" aca="1" ref="M14" ca="1">_xlfn.IFNA(_xlfn.XLOOKUP($A14,INDIRECT("'"&amp;M$4&amp;"'!$E$10:$E$44"),INDIRECT("'"&amp;M$4&amp;"'!$A$10:$A$44"))," ")</f>
        <v xml:space="preserve"> </v>
      </c>
      <c r="N14" s="30" t="str">
        <f t="array" aca="1" ref="N14" ca="1">_xlfn.IFNA(_xlfn.XLOOKUP($A14,INDIRECT("'"&amp;N$4&amp;"'!$E$10:$E$44"),INDIRECT("'"&amp;N$4&amp;"'!$A$10:$A$44"))," ")</f>
        <v xml:space="preserve"> </v>
      </c>
      <c r="O14" s="30" t="str">
        <f t="array" aca="1" ref="O14" ca="1">_xlfn.IFNA(_xlfn.XLOOKUP($A14,INDIRECT("'"&amp;O$4&amp;"'!$E$10:$E$44"),INDIRECT("'"&amp;O$4&amp;"'!$A$10:$A$44"))," ")</f>
        <v xml:space="preserve"> </v>
      </c>
      <c r="P14" s="30" t="str">
        <f t="array" aca="1" ref="P14" ca="1">_xlfn.IFNA(_xlfn.XLOOKUP($A14,INDIRECT("'"&amp;P$4&amp;"'!$E$10:$E$44"),INDIRECT("'"&amp;P$4&amp;"'!$A$10:$A$44"))," ")</f>
        <v xml:space="preserve"> </v>
      </c>
      <c r="Q14" s="30" t="str">
        <f t="array" aca="1" ref="Q14" ca="1">_xlfn.IFNA(_xlfn.XLOOKUP($A14,INDIRECT("'"&amp;Q$4&amp;"'!$E$10:$E$44"),INDIRECT("'"&amp;Q$4&amp;"'!$A$10:$A$44"))," ")</f>
        <v xml:space="preserve"> </v>
      </c>
      <c r="R14" s="30" t="str">
        <f t="array" aca="1" ref="R14" ca="1">_xlfn.IFNA(_xlfn.XLOOKUP($A14,INDIRECT("'"&amp;R$4&amp;"'!$E$10:$E$44"),INDIRECT("'"&amp;R$4&amp;"'!$A$10:$A$44"))," ")</f>
        <v xml:space="preserve"> </v>
      </c>
      <c r="S14" s="30" t="str">
        <f t="array" aca="1" ref="S14" ca="1">_xlfn.IFNA(_xlfn.XLOOKUP($A14,INDIRECT("'"&amp;S$4&amp;"'!$E$10:$E$44"),INDIRECT("'"&amp;S$4&amp;"'!$A$10:$A$44"))," ")</f>
        <v xml:space="preserve"> </v>
      </c>
      <c r="T14" s="30">
        <f ca="1">SUM(Table5[[#This Row],[Week 1]:[Week 18]])</f>
        <v>0</v>
      </c>
      <c r="U14" s="30">
        <f t="shared" ca="1" si="0"/>
        <v>-40</v>
      </c>
      <c r="V14" s="30">
        <f t="shared" ca="1" si="1"/>
        <v>0</v>
      </c>
      <c r="W14" s="30">
        <f t="shared" ca="1" si="2"/>
        <v>0</v>
      </c>
    </row>
    <row r="15" spans="1:23" x14ac:dyDescent="0.3">
      <c r="A15" s="21" t="s">
        <v>62</v>
      </c>
      <c r="B15" s="30" t="str">
        <f t="array" aca="1" ref="B15" ca="1">_xlfn.IFNA(_xlfn.XLOOKUP($A15,INDIRECT("'"&amp;B$4&amp;"'!$E$10:$E$44"),INDIRECT("'"&amp;B$4&amp;"'!$A$10:$A$44"))," ")</f>
        <v xml:space="preserve"> </v>
      </c>
      <c r="C15" s="30" t="str">
        <f t="array" aca="1" ref="C15" ca="1">_xlfn.IFNA(_xlfn.XLOOKUP($A15,INDIRECT("'"&amp;C$4&amp;"'!$E$10:$E$44"),INDIRECT("'"&amp;C$4&amp;"'!$A$10:$A$44"))," ")</f>
        <v/>
      </c>
      <c r="D15" s="30" t="str">
        <f t="array" aca="1" ref="D15" ca="1">_xlfn.IFNA(_xlfn.XLOOKUP($A15,INDIRECT("'"&amp;D$4&amp;"'!$E$10:$E$44"),INDIRECT("'"&amp;D$4&amp;"'!$A$10:$A$44"))," ")</f>
        <v/>
      </c>
      <c r="E15" s="30" t="str">
        <f t="array" aca="1" ref="E15" ca="1">_xlfn.IFNA(_xlfn.XLOOKUP($A15,INDIRECT("'"&amp;E$4&amp;"'!$E$10:$E$44"),INDIRECT("'"&amp;E$4&amp;"'!$A$10:$A$44"))," ")</f>
        <v xml:space="preserve"> </v>
      </c>
      <c r="F15" s="30" t="str">
        <f t="array" aca="1" ref="F15" ca="1">_xlfn.IFNA(_xlfn.XLOOKUP($A15,INDIRECT("'"&amp;F$4&amp;"'!$E$10:$E$44"),INDIRECT("'"&amp;F$4&amp;"'!$A$10:$A$44"))," ")</f>
        <v xml:space="preserve"> </v>
      </c>
      <c r="G15" s="30" t="str">
        <f t="array" aca="1" ref="G15" ca="1">_xlfn.IFNA(_xlfn.XLOOKUP($A15,INDIRECT("'"&amp;G$4&amp;"'!$E$10:$E$44"),INDIRECT("'"&amp;G$4&amp;"'!$A$10:$A$44"))," ")</f>
        <v xml:space="preserve"> </v>
      </c>
      <c r="H15" s="30" t="str">
        <f t="array" aca="1" ref="H15" ca="1">_xlfn.IFNA(_xlfn.XLOOKUP($A15,INDIRECT("'"&amp;H$4&amp;"'!$E$10:$E$44"),INDIRECT("'"&amp;H$4&amp;"'!$A$10:$A$44"))," ")</f>
        <v xml:space="preserve"> </v>
      </c>
      <c r="I15" s="30" t="str">
        <f t="array" aca="1" ref="I15" ca="1">_xlfn.IFNA(_xlfn.XLOOKUP($A15,INDIRECT("'"&amp;I$4&amp;"'!$E$10:$E$44"),INDIRECT("'"&amp;I$4&amp;"'!$A$10:$A$44"))," ")</f>
        <v xml:space="preserve"> </v>
      </c>
      <c r="J15" s="30" t="str">
        <f t="array" aca="1" ref="J15" ca="1">_xlfn.IFNA(_xlfn.XLOOKUP($A15,INDIRECT("'"&amp;J$4&amp;"'!$E$10:$E$44"),INDIRECT("'"&amp;J$4&amp;"'!$A$10:$A$44"))," ")</f>
        <v xml:space="preserve"> </v>
      </c>
      <c r="K15" s="30" t="str">
        <f t="array" aca="1" ref="K15" ca="1">_xlfn.IFNA(_xlfn.XLOOKUP($A15,INDIRECT("'"&amp;K$4&amp;"'!$E$10:$E$44"),INDIRECT("'"&amp;K$4&amp;"'!$A$10:$A$44"))," ")</f>
        <v xml:space="preserve"> </v>
      </c>
      <c r="L15" s="30" t="str">
        <f t="array" aca="1" ref="L15" ca="1">_xlfn.IFNA(_xlfn.XLOOKUP($A15,INDIRECT("'"&amp;L$4&amp;"'!$E$10:$E$44"),INDIRECT("'"&amp;L$4&amp;"'!$A$10:$A$44"))," ")</f>
        <v xml:space="preserve"> </v>
      </c>
      <c r="M15" s="30" t="str">
        <f t="array" aca="1" ref="M15" ca="1">_xlfn.IFNA(_xlfn.XLOOKUP($A15,INDIRECT("'"&amp;M$4&amp;"'!$E$10:$E$44"),INDIRECT("'"&amp;M$4&amp;"'!$A$10:$A$44"))," ")</f>
        <v xml:space="preserve"> </v>
      </c>
      <c r="N15" s="30" t="str">
        <f t="array" aca="1" ref="N15" ca="1">_xlfn.IFNA(_xlfn.XLOOKUP($A15,INDIRECT("'"&amp;N$4&amp;"'!$E$10:$E$44"),INDIRECT("'"&amp;N$4&amp;"'!$A$10:$A$44"))," ")</f>
        <v xml:space="preserve"> </v>
      </c>
      <c r="O15" s="30" t="str">
        <f t="array" aca="1" ref="O15" ca="1">_xlfn.IFNA(_xlfn.XLOOKUP($A15,INDIRECT("'"&amp;O$4&amp;"'!$E$10:$E$44"),INDIRECT("'"&amp;O$4&amp;"'!$A$10:$A$44"))," ")</f>
        <v xml:space="preserve"> </v>
      </c>
      <c r="P15" s="30" t="str">
        <f t="array" aca="1" ref="P15" ca="1">_xlfn.IFNA(_xlfn.XLOOKUP($A15,INDIRECT("'"&amp;P$4&amp;"'!$E$10:$E$44"),INDIRECT("'"&amp;P$4&amp;"'!$A$10:$A$44"))," ")</f>
        <v xml:space="preserve"> </v>
      </c>
      <c r="Q15" s="30" t="str">
        <f t="array" aca="1" ref="Q15" ca="1">_xlfn.IFNA(_xlfn.XLOOKUP($A15,INDIRECT("'"&amp;Q$4&amp;"'!$E$10:$E$44"),INDIRECT("'"&amp;Q$4&amp;"'!$A$10:$A$44"))," ")</f>
        <v xml:space="preserve"> </v>
      </c>
      <c r="R15" s="30" t="str">
        <f t="array" aca="1" ref="R15" ca="1">_xlfn.IFNA(_xlfn.XLOOKUP($A15,INDIRECT("'"&amp;R$4&amp;"'!$E$10:$E$44"),INDIRECT("'"&amp;R$4&amp;"'!$A$10:$A$44"))," ")</f>
        <v xml:space="preserve"> </v>
      </c>
      <c r="S15" s="30" t="str">
        <f t="array" aca="1" ref="S15" ca="1">_xlfn.IFNA(_xlfn.XLOOKUP($A15,INDIRECT("'"&amp;S$4&amp;"'!$E$10:$E$44"),INDIRECT("'"&amp;S$4&amp;"'!$A$10:$A$44"))," ")</f>
        <v xml:space="preserve"> </v>
      </c>
      <c r="T15" s="30">
        <f ca="1">SUM(Table5[[#This Row],[Week 1]:[Week 18]])</f>
        <v>0</v>
      </c>
      <c r="U15" s="30">
        <f t="shared" ca="1" si="0"/>
        <v>-40</v>
      </c>
      <c r="V15" s="30">
        <f t="shared" ca="1" si="1"/>
        <v>0</v>
      </c>
      <c r="W15" s="30">
        <f t="shared" ca="1" si="2"/>
        <v>0</v>
      </c>
    </row>
    <row r="16" spans="1:23" x14ac:dyDescent="0.3">
      <c r="A16" s="21" t="s">
        <v>63</v>
      </c>
      <c r="B16" s="30" t="str">
        <f t="array" aca="1" ref="B16" ca="1">_xlfn.IFNA(_xlfn.XLOOKUP($A16,INDIRECT("'"&amp;B$4&amp;"'!$E$10:$E$44"),INDIRECT("'"&amp;B$4&amp;"'!$A$10:$A$44"))," ")</f>
        <v xml:space="preserve"> </v>
      </c>
      <c r="C16" s="30" t="str">
        <f t="array" aca="1" ref="C16" ca="1">_xlfn.IFNA(_xlfn.XLOOKUP($A16,INDIRECT("'"&amp;C$4&amp;"'!$E$10:$E$44"),INDIRECT("'"&amp;C$4&amp;"'!$A$10:$A$44"))," ")</f>
        <v/>
      </c>
      <c r="D16" s="30" t="str">
        <f t="array" aca="1" ref="D16" ca="1">_xlfn.IFNA(_xlfn.XLOOKUP($A16,INDIRECT("'"&amp;D$4&amp;"'!$E$10:$E$44"),INDIRECT("'"&amp;D$4&amp;"'!$A$10:$A$44"))," ")</f>
        <v/>
      </c>
      <c r="E16" s="30" t="str">
        <f t="array" aca="1" ref="E16" ca="1">_xlfn.IFNA(_xlfn.XLOOKUP($A16,INDIRECT("'"&amp;E$4&amp;"'!$E$10:$E$44"),INDIRECT("'"&amp;E$4&amp;"'!$A$10:$A$44"))," ")</f>
        <v xml:space="preserve"> </v>
      </c>
      <c r="F16" s="30" t="str">
        <f t="array" aca="1" ref="F16" ca="1">_xlfn.IFNA(_xlfn.XLOOKUP($A16,INDIRECT("'"&amp;F$4&amp;"'!$E$10:$E$44"),INDIRECT("'"&amp;F$4&amp;"'!$A$10:$A$44"))," ")</f>
        <v xml:space="preserve"> </v>
      </c>
      <c r="G16" s="30" t="str">
        <f t="array" aca="1" ref="G16" ca="1">_xlfn.IFNA(_xlfn.XLOOKUP($A16,INDIRECT("'"&amp;G$4&amp;"'!$E$10:$E$44"),INDIRECT("'"&amp;G$4&amp;"'!$A$10:$A$44"))," ")</f>
        <v xml:space="preserve"> </v>
      </c>
      <c r="H16" s="30" t="str">
        <f t="array" aca="1" ref="H16" ca="1">_xlfn.IFNA(_xlfn.XLOOKUP($A16,INDIRECT("'"&amp;H$4&amp;"'!$E$10:$E$44"),INDIRECT("'"&amp;H$4&amp;"'!$A$10:$A$44"))," ")</f>
        <v xml:space="preserve"> </v>
      </c>
      <c r="I16" s="30" t="str">
        <f t="array" aca="1" ref="I16" ca="1">_xlfn.IFNA(_xlfn.XLOOKUP($A16,INDIRECT("'"&amp;I$4&amp;"'!$E$10:$E$44"),INDIRECT("'"&amp;I$4&amp;"'!$A$10:$A$44"))," ")</f>
        <v xml:space="preserve"> </v>
      </c>
      <c r="J16" s="30" t="str">
        <f t="array" aca="1" ref="J16" ca="1">_xlfn.IFNA(_xlfn.XLOOKUP($A16,INDIRECT("'"&amp;J$4&amp;"'!$E$10:$E$44"),INDIRECT("'"&amp;J$4&amp;"'!$A$10:$A$44"))," ")</f>
        <v xml:space="preserve"> </v>
      </c>
      <c r="K16" s="30" t="str">
        <f t="array" aca="1" ref="K16" ca="1">_xlfn.IFNA(_xlfn.XLOOKUP($A16,INDIRECT("'"&amp;K$4&amp;"'!$E$10:$E$44"),INDIRECT("'"&amp;K$4&amp;"'!$A$10:$A$44"))," ")</f>
        <v xml:space="preserve"> </v>
      </c>
      <c r="L16" s="30" t="str">
        <f t="array" aca="1" ref="L16" ca="1">_xlfn.IFNA(_xlfn.XLOOKUP($A16,INDIRECT("'"&amp;L$4&amp;"'!$E$10:$E$44"),INDIRECT("'"&amp;L$4&amp;"'!$A$10:$A$44"))," ")</f>
        <v xml:space="preserve"> </v>
      </c>
      <c r="M16" s="30" t="str">
        <f t="array" aca="1" ref="M16" ca="1">_xlfn.IFNA(_xlfn.XLOOKUP($A16,INDIRECT("'"&amp;M$4&amp;"'!$E$10:$E$44"),INDIRECT("'"&amp;M$4&amp;"'!$A$10:$A$44"))," ")</f>
        <v xml:space="preserve"> </v>
      </c>
      <c r="N16" s="30" t="str">
        <f t="array" aca="1" ref="N16" ca="1">_xlfn.IFNA(_xlfn.XLOOKUP($A16,INDIRECT("'"&amp;N$4&amp;"'!$E$10:$E$44"),INDIRECT("'"&amp;N$4&amp;"'!$A$10:$A$44"))," ")</f>
        <v xml:space="preserve"> </v>
      </c>
      <c r="O16" s="30" t="str">
        <f t="array" aca="1" ref="O16" ca="1">_xlfn.IFNA(_xlfn.XLOOKUP($A16,INDIRECT("'"&amp;O$4&amp;"'!$E$10:$E$44"),INDIRECT("'"&amp;O$4&amp;"'!$A$10:$A$44"))," ")</f>
        <v xml:space="preserve"> </v>
      </c>
      <c r="P16" s="30" t="str">
        <f t="array" aca="1" ref="P16" ca="1">_xlfn.IFNA(_xlfn.XLOOKUP($A16,INDIRECT("'"&amp;P$4&amp;"'!$E$10:$E$44"),INDIRECT("'"&amp;P$4&amp;"'!$A$10:$A$44"))," ")</f>
        <v xml:space="preserve"> </v>
      </c>
      <c r="Q16" s="30" t="str">
        <f t="array" aca="1" ref="Q16" ca="1">_xlfn.IFNA(_xlfn.XLOOKUP($A16,INDIRECT("'"&amp;Q$4&amp;"'!$E$10:$E$44"),INDIRECT("'"&amp;Q$4&amp;"'!$A$10:$A$44"))," ")</f>
        <v xml:space="preserve"> </v>
      </c>
      <c r="R16" s="30" t="str">
        <f t="array" aca="1" ref="R16" ca="1">_xlfn.IFNA(_xlfn.XLOOKUP($A16,INDIRECT("'"&amp;R$4&amp;"'!$E$10:$E$44"),INDIRECT("'"&amp;R$4&amp;"'!$A$10:$A$44"))," ")</f>
        <v xml:space="preserve"> </v>
      </c>
      <c r="S16" s="30" t="str">
        <f t="array" aca="1" ref="S16" ca="1">_xlfn.IFNA(_xlfn.XLOOKUP($A16,INDIRECT("'"&amp;S$4&amp;"'!$E$10:$E$44"),INDIRECT("'"&amp;S$4&amp;"'!$A$10:$A$44"))," ")</f>
        <v xml:space="preserve"> </v>
      </c>
      <c r="T16" s="30">
        <f ca="1">SUM(Table5[[#This Row],[Week 1]:[Week 18]])</f>
        <v>0</v>
      </c>
      <c r="U16" s="30">
        <f t="shared" ca="1" si="0"/>
        <v>-40</v>
      </c>
      <c r="V16" s="30">
        <f t="shared" ca="1" si="1"/>
        <v>0</v>
      </c>
      <c r="W16" s="30">
        <f t="shared" ca="1" si="2"/>
        <v>0</v>
      </c>
    </row>
    <row r="17" spans="1:23" x14ac:dyDescent="0.3">
      <c r="A17" s="21" t="s">
        <v>64</v>
      </c>
      <c r="B17" s="30" t="str">
        <f t="array" aca="1" ref="B17" ca="1">_xlfn.IFNA(_xlfn.XLOOKUP($A17,INDIRECT("'"&amp;B$4&amp;"'!$E$10:$E$44"),INDIRECT("'"&amp;B$4&amp;"'!$A$10:$A$44"))," ")</f>
        <v xml:space="preserve"> </v>
      </c>
      <c r="C17" s="30" t="str">
        <f t="array" aca="1" ref="C17" ca="1">_xlfn.IFNA(_xlfn.XLOOKUP($A17,INDIRECT("'"&amp;C$4&amp;"'!$E$10:$E$44"),INDIRECT("'"&amp;C$4&amp;"'!$A$10:$A$44"))," ")</f>
        <v/>
      </c>
      <c r="D17" s="30" t="str">
        <f t="array" aca="1" ref="D17" ca="1">_xlfn.IFNA(_xlfn.XLOOKUP($A17,INDIRECT("'"&amp;D$4&amp;"'!$E$10:$E$44"),INDIRECT("'"&amp;D$4&amp;"'!$A$10:$A$44"))," ")</f>
        <v/>
      </c>
      <c r="E17" s="30" t="str">
        <f t="array" aca="1" ref="E17" ca="1">_xlfn.IFNA(_xlfn.XLOOKUP($A17,INDIRECT("'"&amp;E$4&amp;"'!$E$10:$E$44"),INDIRECT("'"&amp;E$4&amp;"'!$A$10:$A$44"))," ")</f>
        <v xml:space="preserve"> </v>
      </c>
      <c r="F17" s="30" t="str">
        <f t="array" aca="1" ref="F17" ca="1">_xlfn.IFNA(_xlfn.XLOOKUP($A17,INDIRECT("'"&amp;F$4&amp;"'!$E$10:$E$44"),INDIRECT("'"&amp;F$4&amp;"'!$A$10:$A$44"))," ")</f>
        <v xml:space="preserve"> </v>
      </c>
      <c r="G17" s="30" t="str">
        <f t="array" aca="1" ref="G17" ca="1">_xlfn.IFNA(_xlfn.XLOOKUP($A17,INDIRECT("'"&amp;G$4&amp;"'!$E$10:$E$44"),INDIRECT("'"&amp;G$4&amp;"'!$A$10:$A$44"))," ")</f>
        <v xml:space="preserve"> </v>
      </c>
      <c r="H17" s="30" t="str">
        <f t="array" aca="1" ref="H17" ca="1">_xlfn.IFNA(_xlfn.XLOOKUP($A17,INDIRECT("'"&amp;H$4&amp;"'!$E$10:$E$44"),INDIRECT("'"&amp;H$4&amp;"'!$A$10:$A$44"))," ")</f>
        <v xml:space="preserve"> </v>
      </c>
      <c r="I17" s="30" t="str">
        <f t="array" aca="1" ref="I17" ca="1">_xlfn.IFNA(_xlfn.XLOOKUP($A17,INDIRECT("'"&amp;I$4&amp;"'!$E$10:$E$44"),INDIRECT("'"&amp;I$4&amp;"'!$A$10:$A$44"))," ")</f>
        <v xml:space="preserve"> </v>
      </c>
      <c r="J17" s="30" t="str">
        <f t="array" aca="1" ref="J17" ca="1">_xlfn.IFNA(_xlfn.XLOOKUP($A17,INDIRECT("'"&amp;J$4&amp;"'!$E$10:$E$44"),INDIRECT("'"&amp;J$4&amp;"'!$A$10:$A$44"))," ")</f>
        <v xml:space="preserve"> </v>
      </c>
      <c r="K17" s="30" t="str">
        <f t="array" aca="1" ref="K17" ca="1">_xlfn.IFNA(_xlfn.XLOOKUP($A17,INDIRECT("'"&amp;K$4&amp;"'!$E$10:$E$44"),INDIRECT("'"&amp;K$4&amp;"'!$A$10:$A$44"))," ")</f>
        <v xml:space="preserve"> </v>
      </c>
      <c r="L17" s="30" t="str">
        <f t="array" aca="1" ref="L17" ca="1">_xlfn.IFNA(_xlfn.XLOOKUP($A17,INDIRECT("'"&amp;L$4&amp;"'!$E$10:$E$44"),INDIRECT("'"&amp;L$4&amp;"'!$A$10:$A$44"))," ")</f>
        <v xml:space="preserve"> </v>
      </c>
      <c r="M17" s="30" t="str">
        <f t="array" aca="1" ref="M17" ca="1">_xlfn.IFNA(_xlfn.XLOOKUP($A17,INDIRECT("'"&amp;M$4&amp;"'!$E$10:$E$44"),INDIRECT("'"&amp;M$4&amp;"'!$A$10:$A$44"))," ")</f>
        <v xml:space="preserve"> </v>
      </c>
      <c r="N17" s="30" t="str">
        <f t="array" aca="1" ref="N17" ca="1">_xlfn.IFNA(_xlfn.XLOOKUP($A17,INDIRECT("'"&amp;N$4&amp;"'!$E$10:$E$44"),INDIRECT("'"&amp;N$4&amp;"'!$A$10:$A$44"))," ")</f>
        <v xml:space="preserve"> </v>
      </c>
      <c r="O17" s="30" t="str">
        <f t="array" aca="1" ref="O17" ca="1">_xlfn.IFNA(_xlfn.XLOOKUP($A17,INDIRECT("'"&amp;O$4&amp;"'!$E$10:$E$44"),INDIRECT("'"&amp;O$4&amp;"'!$A$10:$A$44"))," ")</f>
        <v xml:space="preserve"> </v>
      </c>
      <c r="P17" s="30" t="str">
        <f t="array" aca="1" ref="P17" ca="1">_xlfn.IFNA(_xlfn.XLOOKUP($A17,INDIRECT("'"&amp;P$4&amp;"'!$E$10:$E$44"),INDIRECT("'"&amp;P$4&amp;"'!$A$10:$A$44"))," ")</f>
        <v xml:space="preserve"> </v>
      </c>
      <c r="Q17" s="30" t="str">
        <f t="array" aca="1" ref="Q17" ca="1">_xlfn.IFNA(_xlfn.XLOOKUP($A17,INDIRECT("'"&amp;Q$4&amp;"'!$E$10:$E$44"),INDIRECT("'"&amp;Q$4&amp;"'!$A$10:$A$44"))," ")</f>
        <v xml:space="preserve"> </v>
      </c>
      <c r="R17" s="30" t="str">
        <f t="array" aca="1" ref="R17" ca="1">_xlfn.IFNA(_xlfn.XLOOKUP($A17,INDIRECT("'"&amp;R$4&amp;"'!$E$10:$E$44"),INDIRECT("'"&amp;R$4&amp;"'!$A$10:$A$44"))," ")</f>
        <v xml:space="preserve"> </v>
      </c>
      <c r="S17" s="30" t="str">
        <f t="array" aca="1" ref="S17" ca="1">_xlfn.IFNA(_xlfn.XLOOKUP($A17,INDIRECT("'"&amp;S$4&amp;"'!$E$10:$E$44"),INDIRECT("'"&amp;S$4&amp;"'!$A$10:$A$44"))," ")</f>
        <v xml:space="preserve"> </v>
      </c>
      <c r="T17" s="30">
        <f ca="1">SUM(Table5[[#This Row],[Week 1]:[Week 18]])</f>
        <v>0</v>
      </c>
      <c r="U17" s="30">
        <f t="shared" ca="1" si="0"/>
        <v>-40</v>
      </c>
      <c r="V17" s="30">
        <f t="shared" ca="1" si="1"/>
        <v>0</v>
      </c>
      <c r="W17" s="30">
        <f t="shared" ca="1" si="2"/>
        <v>0</v>
      </c>
    </row>
    <row r="18" spans="1:23" x14ac:dyDescent="0.3">
      <c r="A18" s="21" t="s">
        <v>65</v>
      </c>
      <c r="B18" s="30" t="str">
        <f t="array" aca="1" ref="B18" ca="1">_xlfn.IFNA(_xlfn.XLOOKUP($A18,INDIRECT("'"&amp;B$4&amp;"'!$E$10:$E$44"),INDIRECT("'"&amp;B$4&amp;"'!$A$10:$A$44"))," ")</f>
        <v xml:space="preserve"> </v>
      </c>
      <c r="C18" s="30" t="str">
        <f t="array" aca="1" ref="C18" ca="1">_xlfn.IFNA(_xlfn.XLOOKUP($A18,INDIRECT("'"&amp;C$4&amp;"'!$E$10:$E$44"),INDIRECT("'"&amp;C$4&amp;"'!$A$10:$A$44"))," ")</f>
        <v/>
      </c>
      <c r="D18" s="30">
        <f t="array" aca="1" ref="D18" ca="1">_xlfn.IFNA(_xlfn.XLOOKUP($A18,INDIRECT("'"&amp;D$4&amp;"'!$E$10:$E$44"),INDIRECT("'"&amp;D$4&amp;"'!$A$10:$A$44"))," ")</f>
        <v>4.416666666666667</v>
      </c>
      <c r="E18" s="30" t="str">
        <f t="array" aca="1" ref="E18" ca="1">_xlfn.IFNA(_xlfn.XLOOKUP($A18,INDIRECT("'"&amp;E$4&amp;"'!$E$10:$E$44"),INDIRECT("'"&amp;E$4&amp;"'!$A$10:$A$44"))," ")</f>
        <v xml:space="preserve"> </v>
      </c>
      <c r="F18" s="30" t="str">
        <f t="array" aca="1" ref="F18" ca="1">_xlfn.IFNA(_xlfn.XLOOKUP($A18,INDIRECT("'"&amp;F$4&amp;"'!$E$10:$E$44"),INDIRECT("'"&amp;F$4&amp;"'!$A$10:$A$44"))," ")</f>
        <v xml:space="preserve"> </v>
      </c>
      <c r="G18" s="30" t="str">
        <f t="array" aca="1" ref="G18" ca="1">_xlfn.IFNA(_xlfn.XLOOKUP($A18,INDIRECT("'"&amp;G$4&amp;"'!$E$10:$E$44"),INDIRECT("'"&amp;G$4&amp;"'!$A$10:$A$44"))," ")</f>
        <v xml:space="preserve"> </v>
      </c>
      <c r="H18" s="30" t="str">
        <f t="array" aca="1" ref="H18" ca="1">_xlfn.IFNA(_xlfn.XLOOKUP($A18,INDIRECT("'"&amp;H$4&amp;"'!$E$10:$E$44"),INDIRECT("'"&amp;H$4&amp;"'!$A$10:$A$44"))," ")</f>
        <v xml:space="preserve"> </v>
      </c>
      <c r="I18" s="30" t="str">
        <f t="array" aca="1" ref="I18" ca="1">_xlfn.IFNA(_xlfn.XLOOKUP($A18,INDIRECT("'"&amp;I$4&amp;"'!$E$10:$E$44"),INDIRECT("'"&amp;I$4&amp;"'!$A$10:$A$44"))," ")</f>
        <v xml:space="preserve"> </v>
      </c>
      <c r="J18" s="30" t="str">
        <f t="array" aca="1" ref="J18" ca="1">_xlfn.IFNA(_xlfn.XLOOKUP($A18,INDIRECT("'"&amp;J$4&amp;"'!$E$10:$E$44"),INDIRECT("'"&amp;J$4&amp;"'!$A$10:$A$44"))," ")</f>
        <v xml:space="preserve"> </v>
      </c>
      <c r="K18" s="30" t="str">
        <f t="array" aca="1" ref="K18" ca="1">_xlfn.IFNA(_xlfn.XLOOKUP($A18,INDIRECT("'"&amp;K$4&amp;"'!$E$10:$E$44"),INDIRECT("'"&amp;K$4&amp;"'!$A$10:$A$44"))," ")</f>
        <v xml:space="preserve"> </v>
      </c>
      <c r="L18" s="30" t="str">
        <f t="array" aca="1" ref="L18" ca="1">_xlfn.IFNA(_xlfn.XLOOKUP($A18,INDIRECT("'"&amp;L$4&amp;"'!$E$10:$E$44"),INDIRECT("'"&amp;L$4&amp;"'!$A$10:$A$44"))," ")</f>
        <v xml:space="preserve"> </v>
      </c>
      <c r="M18" s="30" t="str">
        <f t="array" aca="1" ref="M18" ca="1">_xlfn.IFNA(_xlfn.XLOOKUP($A18,INDIRECT("'"&amp;M$4&amp;"'!$E$10:$E$44"),INDIRECT("'"&amp;M$4&amp;"'!$A$10:$A$44"))," ")</f>
        <v xml:space="preserve"> </v>
      </c>
      <c r="N18" s="30" t="str">
        <f t="array" aca="1" ref="N18" ca="1">_xlfn.IFNA(_xlfn.XLOOKUP($A18,INDIRECT("'"&amp;N$4&amp;"'!$E$10:$E$44"),INDIRECT("'"&amp;N$4&amp;"'!$A$10:$A$44"))," ")</f>
        <v xml:space="preserve"> </v>
      </c>
      <c r="O18" s="30" t="str">
        <f t="array" aca="1" ref="O18" ca="1">_xlfn.IFNA(_xlfn.XLOOKUP($A18,INDIRECT("'"&amp;O$4&amp;"'!$E$10:$E$44"),INDIRECT("'"&amp;O$4&amp;"'!$A$10:$A$44"))," ")</f>
        <v xml:space="preserve"> </v>
      </c>
      <c r="P18" s="30" t="str">
        <f t="array" aca="1" ref="P18" ca="1">_xlfn.IFNA(_xlfn.XLOOKUP($A18,INDIRECT("'"&amp;P$4&amp;"'!$E$10:$E$44"),INDIRECT("'"&amp;P$4&amp;"'!$A$10:$A$44"))," ")</f>
        <v xml:space="preserve"> </v>
      </c>
      <c r="Q18" s="30" t="str">
        <f t="array" aca="1" ref="Q18" ca="1">_xlfn.IFNA(_xlfn.XLOOKUP($A18,INDIRECT("'"&amp;Q$4&amp;"'!$E$10:$E$44"),INDIRECT("'"&amp;Q$4&amp;"'!$A$10:$A$44"))," ")</f>
        <v xml:space="preserve"> </v>
      </c>
      <c r="R18" s="30" t="str">
        <f t="array" aca="1" ref="R18" ca="1">_xlfn.IFNA(_xlfn.XLOOKUP($A18,INDIRECT("'"&amp;R$4&amp;"'!$E$10:$E$44"),INDIRECT("'"&amp;R$4&amp;"'!$A$10:$A$44"))," ")</f>
        <v xml:space="preserve"> </v>
      </c>
      <c r="S18" s="30" t="str">
        <f t="array" aca="1" ref="S18" ca="1">_xlfn.IFNA(_xlfn.XLOOKUP($A18,INDIRECT("'"&amp;S$4&amp;"'!$E$10:$E$44"),INDIRECT("'"&amp;S$4&amp;"'!$A$10:$A$44"))," ")</f>
        <v xml:space="preserve"> </v>
      </c>
      <c r="T18" s="30">
        <f ca="1">SUM(Table5[[#This Row],[Week 1]:[Week 18]])</f>
        <v>4.416666666666667</v>
      </c>
      <c r="U18" s="30">
        <f t="shared" ca="1" si="0"/>
        <v>-35.583333333333336</v>
      </c>
      <c r="V18" s="30">
        <f t="shared" ca="1" si="1"/>
        <v>4.416666666666667</v>
      </c>
      <c r="W18" s="30">
        <f t="shared" ca="1" si="2"/>
        <v>4.416666666666667</v>
      </c>
    </row>
    <row r="19" spans="1:23" x14ac:dyDescent="0.3">
      <c r="A19" s="21" t="s">
        <v>18</v>
      </c>
      <c r="B19" s="30" t="str">
        <f t="array" aca="1" ref="B19" ca="1">_xlfn.IFNA(_xlfn.XLOOKUP($A19,INDIRECT("'"&amp;B$4&amp;"'!$E$10:$E$44"),INDIRECT("'"&amp;B$4&amp;"'!$A$10:$A$44"))," ")</f>
        <v xml:space="preserve"> </v>
      </c>
      <c r="C19" s="30">
        <f t="array" aca="1" ref="C19" ca="1">_xlfn.IFNA(_xlfn.XLOOKUP($A19,INDIRECT("'"&amp;C$4&amp;"'!$E$10:$E$44"),INDIRECT("'"&amp;C$4&amp;"'!$A$10:$A$44"))," ")</f>
        <v>75.5</v>
      </c>
      <c r="D19" s="30">
        <f t="array" aca="1" ref="D19" ca="1">_xlfn.IFNA(_xlfn.XLOOKUP($A19,INDIRECT("'"&amp;D$4&amp;"'!$E$10:$E$44"),INDIRECT("'"&amp;D$4&amp;"'!$A$10:$A$44"))," ")</f>
        <v>4.416666666666667</v>
      </c>
      <c r="E19" s="30" t="str">
        <f t="array" aca="1" ref="E19" ca="1">_xlfn.IFNA(_xlfn.XLOOKUP($A19,INDIRECT("'"&amp;E$4&amp;"'!$E$10:$E$44"),INDIRECT("'"&amp;E$4&amp;"'!$A$10:$A$44"))," ")</f>
        <v xml:space="preserve"> </v>
      </c>
      <c r="F19" s="30" t="str">
        <f t="array" aca="1" ref="F19" ca="1">_xlfn.IFNA(_xlfn.XLOOKUP($A19,INDIRECT("'"&amp;F$4&amp;"'!$E$10:$E$44"),INDIRECT("'"&amp;F$4&amp;"'!$A$10:$A$44"))," ")</f>
        <v xml:space="preserve"> </v>
      </c>
      <c r="G19" s="30" t="str">
        <f t="array" aca="1" ref="G19" ca="1">_xlfn.IFNA(_xlfn.XLOOKUP($A19,INDIRECT("'"&amp;G$4&amp;"'!$E$10:$E$44"),INDIRECT("'"&amp;G$4&amp;"'!$A$10:$A$44"))," ")</f>
        <v xml:space="preserve"> </v>
      </c>
      <c r="H19" s="30" t="str">
        <f t="array" aca="1" ref="H19" ca="1">_xlfn.IFNA(_xlfn.XLOOKUP($A19,INDIRECT("'"&amp;H$4&amp;"'!$E$10:$E$44"),INDIRECT("'"&amp;H$4&amp;"'!$A$10:$A$44"))," ")</f>
        <v xml:space="preserve"> </v>
      </c>
      <c r="I19" s="30" t="str">
        <f t="array" aca="1" ref="I19" ca="1">_xlfn.IFNA(_xlfn.XLOOKUP($A19,INDIRECT("'"&amp;I$4&amp;"'!$E$10:$E$44"),INDIRECT("'"&amp;I$4&amp;"'!$A$10:$A$44"))," ")</f>
        <v xml:space="preserve"> </v>
      </c>
      <c r="J19" s="30" t="str">
        <f t="array" aca="1" ref="J19" ca="1">_xlfn.IFNA(_xlfn.XLOOKUP($A19,INDIRECT("'"&amp;J$4&amp;"'!$E$10:$E$44"),INDIRECT("'"&amp;J$4&amp;"'!$A$10:$A$44"))," ")</f>
        <v xml:space="preserve"> </v>
      </c>
      <c r="K19" s="30" t="str">
        <f t="array" aca="1" ref="K19" ca="1">_xlfn.IFNA(_xlfn.XLOOKUP($A19,INDIRECT("'"&amp;K$4&amp;"'!$E$10:$E$44"),INDIRECT("'"&amp;K$4&amp;"'!$A$10:$A$44"))," ")</f>
        <v xml:space="preserve"> </v>
      </c>
      <c r="L19" s="30" t="str">
        <f t="array" aca="1" ref="L19" ca="1">_xlfn.IFNA(_xlfn.XLOOKUP($A19,INDIRECT("'"&amp;L$4&amp;"'!$E$10:$E$44"),INDIRECT("'"&amp;L$4&amp;"'!$A$10:$A$44"))," ")</f>
        <v xml:space="preserve"> </v>
      </c>
      <c r="M19" s="30" t="str">
        <f t="array" aca="1" ref="M19" ca="1">_xlfn.IFNA(_xlfn.XLOOKUP($A19,INDIRECT("'"&amp;M$4&amp;"'!$E$10:$E$44"),INDIRECT("'"&amp;M$4&amp;"'!$A$10:$A$44"))," ")</f>
        <v xml:space="preserve"> </v>
      </c>
      <c r="N19" s="30" t="str">
        <f t="array" aca="1" ref="N19" ca="1">_xlfn.IFNA(_xlfn.XLOOKUP($A19,INDIRECT("'"&amp;N$4&amp;"'!$E$10:$E$44"),INDIRECT("'"&amp;N$4&amp;"'!$A$10:$A$44"))," ")</f>
        <v xml:space="preserve"> </v>
      </c>
      <c r="O19" s="30" t="str">
        <f t="array" aca="1" ref="O19" ca="1">_xlfn.IFNA(_xlfn.XLOOKUP($A19,INDIRECT("'"&amp;O$4&amp;"'!$E$10:$E$44"),INDIRECT("'"&amp;O$4&amp;"'!$A$10:$A$44"))," ")</f>
        <v xml:space="preserve"> </v>
      </c>
      <c r="P19" s="30" t="str">
        <f t="array" aca="1" ref="P19" ca="1">_xlfn.IFNA(_xlfn.XLOOKUP($A19,INDIRECT("'"&amp;P$4&amp;"'!$E$10:$E$44"),INDIRECT("'"&amp;P$4&amp;"'!$A$10:$A$44"))," ")</f>
        <v xml:space="preserve"> </v>
      </c>
      <c r="Q19" s="30" t="str">
        <f t="array" aca="1" ref="Q19" ca="1">_xlfn.IFNA(_xlfn.XLOOKUP($A19,INDIRECT("'"&amp;Q$4&amp;"'!$E$10:$E$44"),INDIRECT("'"&amp;Q$4&amp;"'!$A$10:$A$44"))," ")</f>
        <v xml:space="preserve"> </v>
      </c>
      <c r="R19" s="30" t="str">
        <f t="array" aca="1" ref="R19" ca="1">_xlfn.IFNA(_xlfn.XLOOKUP($A19,INDIRECT("'"&amp;R$4&amp;"'!$E$10:$E$44"),INDIRECT("'"&amp;R$4&amp;"'!$A$10:$A$44"))," ")</f>
        <v xml:space="preserve"> </v>
      </c>
      <c r="S19" s="30" t="str">
        <f t="array" aca="1" ref="S19" ca="1">_xlfn.IFNA(_xlfn.XLOOKUP($A19,INDIRECT("'"&amp;S$4&amp;"'!$E$10:$E$44"),INDIRECT("'"&amp;S$4&amp;"'!$A$10:$A$44"))," ")</f>
        <v xml:space="preserve"> </v>
      </c>
      <c r="T19" s="30">
        <f ca="1">SUM(Table5[[#This Row],[Week 1]:[Week 18]])</f>
        <v>79.916666666666671</v>
      </c>
      <c r="U19" s="30">
        <f t="shared" ca="1" si="0"/>
        <v>39.916666666666671</v>
      </c>
      <c r="V19" s="30">
        <f t="shared" ca="1" si="1"/>
        <v>39.958333333333336</v>
      </c>
      <c r="W19" s="30">
        <f t="shared" ca="1" si="2"/>
        <v>75.5</v>
      </c>
    </row>
    <row r="20" spans="1:23" x14ac:dyDescent="0.3">
      <c r="A20" s="21" t="s">
        <v>66</v>
      </c>
      <c r="B20" s="30" t="str">
        <f t="array" aca="1" ref="B20" ca="1">_xlfn.IFNA(_xlfn.XLOOKUP($A20,INDIRECT("'"&amp;B$4&amp;"'!$E$10:$E$44"),INDIRECT("'"&amp;B$4&amp;"'!$A$10:$A$44"))," ")</f>
        <v xml:space="preserve"> </v>
      </c>
      <c r="C20" s="30" t="str">
        <f t="array" aca="1" ref="C20" ca="1">_xlfn.IFNA(_xlfn.XLOOKUP($A20,INDIRECT("'"&amp;C$4&amp;"'!$E$10:$E$44"),INDIRECT("'"&amp;C$4&amp;"'!$A$10:$A$44"))," ")</f>
        <v/>
      </c>
      <c r="D20" s="30" t="str">
        <f t="array" aca="1" ref="D20" ca="1">_xlfn.IFNA(_xlfn.XLOOKUP($A20,INDIRECT("'"&amp;D$4&amp;"'!$E$10:$E$44"),INDIRECT("'"&amp;D$4&amp;"'!$A$10:$A$44"))," ")</f>
        <v/>
      </c>
      <c r="E20" s="30" t="str">
        <f t="array" aca="1" ref="E20" ca="1">_xlfn.IFNA(_xlfn.XLOOKUP($A20,INDIRECT("'"&amp;E$4&amp;"'!$E$10:$E$44"),INDIRECT("'"&amp;E$4&amp;"'!$A$10:$A$44"))," ")</f>
        <v xml:space="preserve"> </v>
      </c>
      <c r="F20" s="30" t="str">
        <f t="array" aca="1" ref="F20" ca="1">_xlfn.IFNA(_xlfn.XLOOKUP($A20,INDIRECT("'"&amp;F$4&amp;"'!$E$10:$E$44"),INDIRECT("'"&amp;F$4&amp;"'!$A$10:$A$44"))," ")</f>
        <v xml:space="preserve"> </v>
      </c>
      <c r="G20" s="30" t="str">
        <f t="array" aca="1" ref="G20" ca="1">_xlfn.IFNA(_xlfn.XLOOKUP($A20,INDIRECT("'"&amp;G$4&amp;"'!$E$10:$E$44"),INDIRECT("'"&amp;G$4&amp;"'!$A$10:$A$44"))," ")</f>
        <v xml:space="preserve"> </v>
      </c>
      <c r="H20" s="30" t="str">
        <f t="array" aca="1" ref="H20" ca="1">_xlfn.IFNA(_xlfn.XLOOKUP($A20,INDIRECT("'"&amp;H$4&amp;"'!$E$10:$E$44"),INDIRECT("'"&amp;H$4&amp;"'!$A$10:$A$44"))," ")</f>
        <v xml:space="preserve"> </v>
      </c>
      <c r="I20" s="30" t="str">
        <f t="array" aca="1" ref="I20" ca="1">_xlfn.IFNA(_xlfn.XLOOKUP($A20,INDIRECT("'"&amp;I$4&amp;"'!$E$10:$E$44"),INDIRECT("'"&amp;I$4&amp;"'!$A$10:$A$44"))," ")</f>
        <v xml:space="preserve"> </v>
      </c>
      <c r="J20" s="30" t="str">
        <f t="array" aca="1" ref="J20" ca="1">_xlfn.IFNA(_xlfn.XLOOKUP($A20,INDIRECT("'"&amp;J$4&amp;"'!$E$10:$E$44"),INDIRECT("'"&amp;J$4&amp;"'!$A$10:$A$44"))," ")</f>
        <v xml:space="preserve"> </v>
      </c>
      <c r="K20" s="30" t="str">
        <f t="array" aca="1" ref="K20" ca="1">_xlfn.IFNA(_xlfn.XLOOKUP($A20,INDIRECT("'"&amp;K$4&amp;"'!$E$10:$E$44"),INDIRECT("'"&amp;K$4&amp;"'!$A$10:$A$44"))," ")</f>
        <v xml:space="preserve"> </v>
      </c>
      <c r="L20" s="30" t="str">
        <f t="array" aca="1" ref="L20" ca="1">_xlfn.IFNA(_xlfn.XLOOKUP($A20,INDIRECT("'"&amp;L$4&amp;"'!$E$10:$E$44"),INDIRECT("'"&amp;L$4&amp;"'!$A$10:$A$44"))," ")</f>
        <v xml:space="preserve"> </v>
      </c>
      <c r="M20" s="30" t="str">
        <f t="array" aca="1" ref="M20" ca="1">_xlfn.IFNA(_xlfn.XLOOKUP($A20,INDIRECT("'"&amp;M$4&amp;"'!$E$10:$E$44"),INDIRECT("'"&amp;M$4&amp;"'!$A$10:$A$44"))," ")</f>
        <v xml:space="preserve"> </v>
      </c>
      <c r="N20" s="30" t="str">
        <f t="array" aca="1" ref="N20" ca="1">_xlfn.IFNA(_xlfn.XLOOKUP($A20,INDIRECT("'"&amp;N$4&amp;"'!$E$10:$E$44"),INDIRECT("'"&amp;N$4&amp;"'!$A$10:$A$44"))," ")</f>
        <v xml:space="preserve"> </v>
      </c>
      <c r="O20" s="30" t="str">
        <f t="array" aca="1" ref="O20" ca="1">_xlfn.IFNA(_xlfn.XLOOKUP($A20,INDIRECT("'"&amp;O$4&amp;"'!$E$10:$E$44"),INDIRECT("'"&amp;O$4&amp;"'!$A$10:$A$44"))," ")</f>
        <v xml:space="preserve"> </v>
      </c>
      <c r="P20" s="30" t="str">
        <f t="array" aca="1" ref="P20" ca="1">_xlfn.IFNA(_xlfn.XLOOKUP($A20,INDIRECT("'"&amp;P$4&amp;"'!$E$10:$E$44"),INDIRECT("'"&amp;P$4&amp;"'!$A$10:$A$44"))," ")</f>
        <v xml:space="preserve"> </v>
      </c>
      <c r="Q20" s="30" t="str">
        <f t="array" aca="1" ref="Q20" ca="1">_xlfn.IFNA(_xlfn.XLOOKUP($A20,INDIRECT("'"&amp;Q$4&amp;"'!$E$10:$E$44"),INDIRECT("'"&amp;Q$4&amp;"'!$A$10:$A$44"))," ")</f>
        <v xml:space="preserve"> </v>
      </c>
      <c r="R20" s="30" t="str">
        <f t="array" aca="1" ref="R20" ca="1">_xlfn.IFNA(_xlfn.XLOOKUP($A20,INDIRECT("'"&amp;R$4&amp;"'!$E$10:$E$44"),INDIRECT("'"&amp;R$4&amp;"'!$A$10:$A$44"))," ")</f>
        <v xml:space="preserve"> </v>
      </c>
      <c r="S20" s="30" t="str">
        <f t="array" aca="1" ref="S20" ca="1">_xlfn.IFNA(_xlfn.XLOOKUP($A20,INDIRECT("'"&amp;S$4&amp;"'!$E$10:$E$44"),INDIRECT("'"&amp;S$4&amp;"'!$A$10:$A$44"))," ")</f>
        <v xml:space="preserve"> </v>
      </c>
      <c r="T20" s="30">
        <f ca="1">SUM(Table5[[#This Row],[Week 1]:[Week 18]])</f>
        <v>0</v>
      </c>
      <c r="U20" s="30">
        <f t="shared" ca="1" si="0"/>
        <v>-40</v>
      </c>
      <c r="V20" s="30">
        <f t="shared" ca="1" si="1"/>
        <v>0</v>
      </c>
      <c r="W20" s="30">
        <f t="shared" ca="1" si="2"/>
        <v>0</v>
      </c>
    </row>
    <row r="21" spans="1:23" x14ac:dyDescent="0.3">
      <c r="A21" s="21" t="s">
        <v>67</v>
      </c>
      <c r="B21" s="30" t="str">
        <f t="array" aca="1" ref="B21" ca="1">_xlfn.IFNA(_xlfn.XLOOKUP($A21,INDIRECT("'"&amp;B$4&amp;"'!$E$10:$E$44"),INDIRECT("'"&amp;B$4&amp;"'!$A$10:$A$44"))," ")</f>
        <v xml:space="preserve"> </v>
      </c>
      <c r="C21" s="30" t="str">
        <f t="array" aca="1" ref="C21" ca="1">_xlfn.IFNA(_xlfn.XLOOKUP($A21,INDIRECT("'"&amp;C$4&amp;"'!$E$10:$E$44"),INDIRECT("'"&amp;C$4&amp;"'!$A$10:$A$44"))," ")</f>
        <v/>
      </c>
      <c r="D21" s="30" t="str">
        <f t="array" aca="1" ref="D21" ca="1">_xlfn.IFNA(_xlfn.XLOOKUP($A21,INDIRECT("'"&amp;D$4&amp;"'!$E$10:$E$44"),INDIRECT("'"&amp;D$4&amp;"'!$A$10:$A$44"))," ")</f>
        <v/>
      </c>
      <c r="E21" s="30" t="str">
        <f t="array" aca="1" ref="E21" ca="1">_xlfn.IFNA(_xlfn.XLOOKUP($A21,INDIRECT("'"&amp;E$4&amp;"'!$E$10:$E$44"),INDIRECT("'"&amp;E$4&amp;"'!$A$10:$A$44"))," ")</f>
        <v xml:space="preserve"> </v>
      </c>
      <c r="F21" s="30" t="str">
        <f t="array" aca="1" ref="F21" ca="1">_xlfn.IFNA(_xlfn.XLOOKUP($A21,INDIRECT("'"&amp;F$4&amp;"'!$E$10:$E$44"),INDIRECT("'"&amp;F$4&amp;"'!$A$10:$A$44"))," ")</f>
        <v xml:space="preserve"> </v>
      </c>
      <c r="G21" s="30" t="str">
        <f t="array" aca="1" ref="G21" ca="1">_xlfn.IFNA(_xlfn.XLOOKUP($A21,INDIRECT("'"&amp;G$4&amp;"'!$E$10:$E$44"),INDIRECT("'"&amp;G$4&amp;"'!$A$10:$A$44"))," ")</f>
        <v xml:space="preserve"> </v>
      </c>
      <c r="H21" s="30" t="str">
        <f t="array" aca="1" ref="H21" ca="1">_xlfn.IFNA(_xlfn.XLOOKUP($A21,INDIRECT("'"&amp;H$4&amp;"'!$E$10:$E$44"),INDIRECT("'"&amp;H$4&amp;"'!$A$10:$A$44"))," ")</f>
        <v xml:space="preserve"> </v>
      </c>
      <c r="I21" s="30" t="str">
        <f t="array" aca="1" ref="I21" ca="1">_xlfn.IFNA(_xlfn.XLOOKUP($A21,INDIRECT("'"&amp;I$4&amp;"'!$E$10:$E$44"),INDIRECT("'"&amp;I$4&amp;"'!$A$10:$A$44"))," ")</f>
        <v xml:space="preserve"> </v>
      </c>
      <c r="J21" s="30" t="str">
        <f t="array" aca="1" ref="J21" ca="1">_xlfn.IFNA(_xlfn.XLOOKUP($A21,INDIRECT("'"&amp;J$4&amp;"'!$E$10:$E$44"),INDIRECT("'"&amp;J$4&amp;"'!$A$10:$A$44"))," ")</f>
        <v xml:space="preserve"> </v>
      </c>
      <c r="K21" s="30" t="str">
        <f t="array" aca="1" ref="K21" ca="1">_xlfn.IFNA(_xlfn.XLOOKUP($A21,INDIRECT("'"&amp;K$4&amp;"'!$E$10:$E$44"),INDIRECT("'"&amp;K$4&amp;"'!$A$10:$A$44"))," ")</f>
        <v xml:space="preserve"> </v>
      </c>
      <c r="L21" s="30" t="str">
        <f t="array" aca="1" ref="L21" ca="1">_xlfn.IFNA(_xlfn.XLOOKUP($A21,INDIRECT("'"&amp;L$4&amp;"'!$E$10:$E$44"),INDIRECT("'"&amp;L$4&amp;"'!$A$10:$A$44"))," ")</f>
        <v xml:space="preserve"> </v>
      </c>
      <c r="M21" s="30" t="str">
        <f t="array" aca="1" ref="M21" ca="1">_xlfn.IFNA(_xlfn.XLOOKUP($A21,INDIRECT("'"&amp;M$4&amp;"'!$E$10:$E$44"),INDIRECT("'"&amp;M$4&amp;"'!$A$10:$A$44"))," ")</f>
        <v xml:space="preserve"> </v>
      </c>
      <c r="N21" s="30" t="str">
        <f t="array" aca="1" ref="N21" ca="1">_xlfn.IFNA(_xlfn.XLOOKUP($A21,INDIRECT("'"&amp;N$4&amp;"'!$E$10:$E$44"),INDIRECT("'"&amp;N$4&amp;"'!$A$10:$A$44"))," ")</f>
        <v xml:space="preserve"> </v>
      </c>
      <c r="O21" s="30" t="str">
        <f t="array" aca="1" ref="O21" ca="1">_xlfn.IFNA(_xlfn.XLOOKUP($A21,INDIRECT("'"&amp;O$4&amp;"'!$E$10:$E$44"),INDIRECT("'"&amp;O$4&amp;"'!$A$10:$A$44"))," ")</f>
        <v xml:space="preserve"> </v>
      </c>
      <c r="P21" s="30" t="str">
        <f t="array" aca="1" ref="P21" ca="1">_xlfn.IFNA(_xlfn.XLOOKUP($A21,INDIRECT("'"&amp;P$4&amp;"'!$E$10:$E$44"),INDIRECT("'"&amp;P$4&amp;"'!$A$10:$A$44"))," ")</f>
        <v xml:space="preserve"> </v>
      </c>
      <c r="Q21" s="30" t="str">
        <f t="array" aca="1" ref="Q21" ca="1">_xlfn.IFNA(_xlfn.XLOOKUP($A21,INDIRECT("'"&amp;Q$4&amp;"'!$E$10:$E$44"),INDIRECT("'"&amp;Q$4&amp;"'!$A$10:$A$44"))," ")</f>
        <v xml:space="preserve"> </v>
      </c>
      <c r="R21" s="30" t="str">
        <f t="array" aca="1" ref="R21" ca="1">_xlfn.IFNA(_xlfn.XLOOKUP($A21,INDIRECT("'"&amp;R$4&amp;"'!$E$10:$E$44"),INDIRECT("'"&amp;R$4&amp;"'!$A$10:$A$44"))," ")</f>
        <v xml:space="preserve"> </v>
      </c>
      <c r="S21" s="30" t="str">
        <f t="array" aca="1" ref="S21" ca="1">_xlfn.IFNA(_xlfn.XLOOKUP($A21,INDIRECT("'"&amp;S$4&amp;"'!$E$10:$E$44"),INDIRECT("'"&amp;S$4&amp;"'!$A$10:$A$44"))," ")</f>
        <v xml:space="preserve"> </v>
      </c>
      <c r="T21" s="30">
        <f ca="1">SUM(Table5[[#This Row],[Week 1]:[Week 18]])</f>
        <v>0</v>
      </c>
      <c r="U21" s="30">
        <f t="shared" ca="1" si="0"/>
        <v>-40</v>
      </c>
      <c r="V21" s="30">
        <f t="shared" ca="1" si="1"/>
        <v>0</v>
      </c>
      <c r="W21" s="30">
        <f t="shared" ca="1" si="2"/>
        <v>0</v>
      </c>
    </row>
    <row r="22" spans="1:23" x14ac:dyDescent="0.3">
      <c r="A22" s="21" t="s">
        <v>68</v>
      </c>
      <c r="B22" s="30" t="str">
        <f t="array" aca="1" ref="B22" ca="1">_xlfn.IFNA(_xlfn.XLOOKUP($A22,INDIRECT("'"&amp;B$4&amp;"'!$E$10:$E$44"),INDIRECT("'"&amp;B$4&amp;"'!$A$10:$A$44"))," ")</f>
        <v xml:space="preserve"> </v>
      </c>
      <c r="C22" s="30" t="str">
        <f t="array" aca="1" ref="C22" ca="1">_xlfn.IFNA(_xlfn.XLOOKUP($A22,INDIRECT("'"&amp;C$4&amp;"'!$E$10:$E$44"),INDIRECT("'"&amp;C$4&amp;"'!$A$10:$A$44"))," ")</f>
        <v/>
      </c>
      <c r="D22" s="30">
        <f t="array" aca="1" ref="D22" ca="1">_xlfn.IFNA(_xlfn.XLOOKUP($A22,INDIRECT("'"&amp;D$4&amp;"'!$E$10:$E$44"),INDIRECT("'"&amp;D$4&amp;"'!$A$10:$A$44"))," ")</f>
        <v>4.416666666666667</v>
      </c>
      <c r="E22" s="30" t="str">
        <f t="array" aca="1" ref="E22" ca="1">_xlfn.IFNA(_xlfn.XLOOKUP($A22,INDIRECT("'"&amp;E$4&amp;"'!$E$10:$E$44"),INDIRECT("'"&amp;E$4&amp;"'!$A$10:$A$44"))," ")</f>
        <v xml:space="preserve"> </v>
      </c>
      <c r="F22" s="30" t="str">
        <f t="array" aca="1" ref="F22" ca="1">_xlfn.IFNA(_xlfn.XLOOKUP($A22,INDIRECT("'"&amp;F$4&amp;"'!$E$10:$E$44"),INDIRECT("'"&amp;F$4&amp;"'!$A$10:$A$44"))," ")</f>
        <v xml:space="preserve"> </v>
      </c>
      <c r="G22" s="30" t="str">
        <f t="array" aca="1" ref="G22" ca="1">_xlfn.IFNA(_xlfn.XLOOKUP($A22,INDIRECT("'"&amp;G$4&amp;"'!$E$10:$E$44"),INDIRECT("'"&amp;G$4&amp;"'!$A$10:$A$44"))," ")</f>
        <v xml:space="preserve"> </v>
      </c>
      <c r="H22" s="30" t="str">
        <f t="array" aca="1" ref="H22" ca="1">_xlfn.IFNA(_xlfn.XLOOKUP($A22,INDIRECT("'"&amp;H$4&amp;"'!$E$10:$E$44"),INDIRECT("'"&amp;H$4&amp;"'!$A$10:$A$44"))," ")</f>
        <v xml:space="preserve"> </v>
      </c>
      <c r="I22" s="30" t="str">
        <f t="array" aca="1" ref="I22" ca="1">_xlfn.IFNA(_xlfn.XLOOKUP($A22,INDIRECT("'"&amp;I$4&amp;"'!$E$10:$E$44"),INDIRECT("'"&amp;I$4&amp;"'!$A$10:$A$44"))," ")</f>
        <v xml:space="preserve"> </v>
      </c>
      <c r="J22" s="30" t="str">
        <f t="array" aca="1" ref="J22" ca="1">_xlfn.IFNA(_xlfn.XLOOKUP($A22,INDIRECT("'"&amp;J$4&amp;"'!$E$10:$E$44"),INDIRECT("'"&amp;J$4&amp;"'!$A$10:$A$44"))," ")</f>
        <v xml:space="preserve"> </v>
      </c>
      <c r="K22" s="30" t="str">
        <f t="array" aca="1" ref="K22" ca="1">_xlfn.IFNA(_xlfn.XLOOKUP($A22,INDIRECT("'"&amp;K$4&amp;"'!$E$10:$E$44"),INDIRECT("'"&amp;K$4&amp;"'!$A$10:$A$44"))," ")</f>
        <v xml:space="preserve"> </v>
      </c>
      <c r="L22" s="30" t="str">
        <f t="array" aca="1" ref="L22" ca="1">_xlfn.IFNA(_xlfn.XLOOKUP($A22,INDIRECT("'"&amp;L$4&amp;"'!$E$10:$E$44"),INDIRECT("'"&amp;L$4&amp;"'!$A$10:$A$44"))," ")</f>
        <v xml:space="preserve"> </v>
      </c>
      <c r="M22" s="30" t="str">
        <f t="array" aca="1" ref="M22" ca="1">_xlfn.IFNA(_xlfn.XLOOKUP($A22,INDIRECT("'"&amp;M$4&amp;"'!$E$10:$E$44"),INDIRECT("'"&amp;M$4&amp;"'!$A$10:$A$44"))," ")</f>
        <v xml:space="preserve"> </v>
      </c>
      <c r="N22" s="30" t="str">
        <f t="array" aca="1" ref="N22" ca="1">_xlfn.IFNA(_xlfn.XLOOKUP($A22,INDIRECT("'"&amp;N$4&amp;"'!$E$10:$E$44"),INDIRECT("'"&amp;N$4&amp;"'!$A$10:$A$44"))," ")</f>
        <v xml:space="preserve"> </v>
      </c>
      <c r="O22" s="30" t="str">
        <f t="array" aca="1" ref="O22" ca="1">_xlfn.IFNA(_xlfn.XLOOKUP($A22,INDIRECT("'"&amp;O$4&amp;"'!$E$10:$E$44"),INDIRECT("'"&amp;O$4&amp;"'!$A$10:$A$44"))," ")</f>
        <v xml:space="preserve"> </v>
      </c>
      <c r="P22" s="30" t="str">
        <f t="array" aca="1" ref="P22" ca="1">_xlfn.IFNA(_xlfn.XLOOKUP($A22,INDIRECT("'"&amp;P$4&amp;"'!$E$10:$E$44"),INDIRECT("'"&amp;P$4&amp;"'!$A$10:$A$44"))," ")</f>
        <v xml:space="preserve"> </v>
      </c>
      <c r="Q22" s="30" t="str">
        <f t="array" aca="1" ref="Q22" ca="1">_xlfn.IFNA(_xlfn.XLOOKUP($A22,INDIRECT("'"&amp;Q$4&amp;"'!$E$10:$E$44"),INDIRECT("'"&amp;Q$4&amp;"'!$A$10:$A$44"))," ")</f>
        <v xml:space="preserve"> </v>
      </c>
      <c r="R22" s="30" t="str">
        <f t="array" aca="1" ref="R22" ca="1">_xlfn.IFNA(_xlfn.XLOOKUP($A22,INDIRECT("'"&amp;R$4&amp;"'!$E$10:$E$44"),INDIRECT("'"&amp;R$4&amp;"'!$A$10:$A$44"))," ")</f>
        <v xml:space="preserve"> </v>
      </c>
      <c r="S22" s="30" t="str">
        <f t="array" aca="1" ref="S22" ca="1">_xlfn.IFNA(_xlfn.XLOOKUP($A22,INDIRECT("'"&amp;S$4&amp;"'!$E$10:$E$44"),INDIRECT("'"&amp;S$4&amp;"'!$A$10:$A$44"))," ")</f>
        <v xml:space="preserve"> </v>
      </c>
      <c r="T22" s="30">
        <f ca="1">SUM(Table5[[#This Row],[Week 1]:[Week 18]])</f>
        <v>4.416666666666667</v>
      </c>
      <c r="U22" s="30">
        <f t="shared" ca="1" si="0"/>
        <v>-35.583333333333336</v>
      </c>
      <c r="V22" s="30">
        <f t="shared" ca="1" si="1"/>
        <v>4.416666666666667</v>
      </c>
      <c r="W22" s="30">
        <f t="shared" ca="1" si="2"/>
        <v>4.416666666666667</v>
      </c>
    </row>
    <row r="23" spans="1:23" x14ac:dyDescent="0.3">
      <c r="A23" s="21" t="s">
        <v>69</v>
      </c>
      <c r="B23" s="30" t="str">
        <f t="array" aca="1" ref="B23" ca="1">_xlfn.IFNA(_xlfn.XLOOKUP($A23,INDIRECT("'"&amp;B$4&amp;"'!$E$10:$E$44"),INDIRECT("'"&amp;B$4&amp;"'!$A$10:$A$44"))," ")</f>
        <v xml:space="preserve"> </v>
      </c>
      <c r="C23" s="30" t="str">
        <f t="array" aca="1" ref="C23" ca="1">_xlfn.IFNA(_xlfn.XLOOKUP($A23,INDIRECT("'"&amp;C$4&amp;"'!$E$10:$E$44"),INDIRECT("'"&amp;C$4&amp;"'!$A$10:$A$44"))," ")</f>
        <v/>
      </c>
      <c r="D23" s="30">
        <f t="array" aca="1" ref="D23" ca="1">_xlfn.IFNA(_xlfn.XLOOKUP($A23,INDIRECT("'"&amp;D$4&amp;"'!$E$10:$E$44"),INDIRECT("'"&amp;D$4&amp;"'!$A$10:$A$44"))," ")</f>
        <v>4.416666666666667</v>
      </c>
      <c r="E23" s="30" t="str">
        <f t="array" aca="1" ref="E23" ca="1">_xlfn.IFNA(_xlfn.XLOOKUP($A23,INDIRECT("'"&amp;E$4&amp;"'!$E$10:$E$44"),INDIRECT("'"&amp;E$4&amp;"'!$A$10:$A$44"))," ")</f>
        <v xml:space="preserve"> </v>
      </c>
      <c r="F23" s="30" t="str">
        <f t="array" aca="1" ref="F23" ca="1">_xlfn.IFNA(_xlfn.XLOOKUP($A23,INDIRECT("'"&amp;F$4&amp;"'!$E$10:$E$44"),INDIRECT("'"&amp;F$4&amp;"'!$A$10:$A$44"))," ")</f>
        <v xml:space="preserve"> </v>
      </c>
      <c r="G23" s="30" t="str">
        <f t="array" aca="1" ref="G23" ca="1">_xlfn.IFNA(_xlfn.XLOOKUP($A23,INDIRECT("'"&amp;G$4&amp;"'!$E$10:$E$44"),INDIRECT("'"&amp;G$4&amp;"'!$A$10:$A$44"))," ")</f>
        <v xml:space="preserve"> </v>
      </c>
      <c r="H23" s="30" t="str">
        <f t="array" aca="1" ref="H23" ca="1">_xlfn.IFNA(_xlfn.XLOOKUP($A23,INDIRECT("'"&amp;H$4&amp;"'!$E$10:$E$44"),INDIRECT("'"&amp;H$4&amp;"'!$A$10:$A$44"))," ")</f>
        <v xml:space="preserve"> </v>
      </c>
      <c r="I23" s="30" t="str">
        <f t="array" aca="1" ref="I23" ca="1">_xlfn.IFNA(_xlfn.XLOOKUP($A23,INDIRECT("'"&amp;I$4&amp;"'!$E$10:$E$44"),INDIRECT("'"&amp;I$4&amp;"'!$A$10:$A$44"))," ")</f>
        <v xml:space="preserve"> </v>
      </c>
      <c r="J23" s="30" t="str">
        <f t="array" aca="1" ref="J23" ca="1">_xlfn.IFNA(_xlfn.XLOOKUP($A23,INDIRECT("'"&amp;J$4&amp;"'!$E$10:$E$44"),INDIRECT("'"&amp;J$4&amp;"'!$A$10:$A$44"))," ")</f>
        <v xml:space="preserve"> </v>
      </c>
      <c r="K23" s="30" t="str">
        <f t="array" aca="1" ref="K23" ca="1">_xlfn.IFNA(_xlfn.XLOOKUP($A23,INDIRECT("'"&amp;K$4&amp;"'!$E$10:$E$44"),INDIRECT("'"&amp;K$4&amp;"'!$A$10:$A$44"))," ")</f>
        <v xml:space="preserve"> </v>
      </c>
      <c r="L23" s="30" t="str">
        <f t="array" aca="1" ref="L23" ca="1">_xlfn.IFNA(_xlfn.XLOOKUP($A23,INDIRECT("'"&amp;L$4&amp;"'!$E$10:$E$44"),INDIRECT("'"&amp;L$4&amp;"'!$A$10:$A$44"))," ")</f>
        <v xml:space="preserve"> </v>
      </c>
      <c r="M23" s="30" t="str">
        <f t="array" aca="1" ref="M23" ca="1">_xlfn.IFNA(_xlfn.XLOOKUP($A23,INDIRECT("'"&amp;M$4&amp;"'!$E$10:$E$44"),INDIRECT("'"&amp;M$4&amp;"'!$A$10:$A$44"))," ")</f>
        <v xml:space="preserve"> </v>
      </c>
      <c r="N23" s="30" t="str">
        <f t="array" aca="1" ref="N23" ca="1">_xlfn.IFNA(_xlfn.XLOOKUP($A23,INDIRECT("'"&amp;N$4&amp;"'!$E$10:$E$44"),INDIRECT("'"&amp;N$4&amp;"'!$A$10:$A$44"))," ")</f>
        <v xml:space="preserve"> </v>
      </c>
      <c r="O23" s="30" t="str">
        <f t="array" aca="1" ref="O23" ca="1">_xlfn.IFNA(_xlfn.XLOOKUP($A23,INDIRECT("'"&amp;O$4&amp;"'!$E$10:$E$44"),INDIRECT("'"&amp;O$4&amp;"'!$A$10:$A$44"))," ")</f>
        <v xml:space="preserve"> </v>
      </c>
      <c r="P23" s="30" t="str">
        <f t="array" aca="1" ref="P23" ca="1">_xlfn.IFNA(_xlfn.XLOOKUP($A23,INDIRECT("'"&amp;P$4&amp;"'!$E$10:$E$44"),INDIRECT("'"&amp;P$4&amp;"'!$A$10:$A$44"))," ")</f>
        <v xml:space="preserve"> </v>
      </c>
      <c r="Q23" s="30" t="str">
        <f t="array" aca="1" ref="Q23" ca="1">_xlfn.IFNA(_xlfn.XLOOKUP($A23,INDIRECT("'"&amp;Q$4&amp;"'!$E$10:$E$44"),INDIRECT("'"&amp;Q$4&amp;"'!$A$10:$A$44"))," ")</f>
        <v xml:space="preserve"> </v>
      </c>
      <c r="R23" s="30" t="str">
        <f t="array" aca="1" ref="R23" ca="1">_xlfn.IFNA(_xlfn.XLOOKUP($A23,INDIRECT("'"&amp;R$4&amp;"'!$E$10:$E$44"),INDIRECT("'"&amp;R$4&amp;"'!$A$10:$A$44"))," ")</f>
        <v xml:space="preserve"> </v>
      </c>
      <c r="S23" s="30" t="str">
        <f t="array" aca="1" ref="S23" ca="1">_xlfn.IFNA(_xlfn.XLOOKUP($A23,INDIRECT("'"&amp;S$4&amp;"'!$E$10:$E$44"),INDIRECT("'"&amp;S$4&amp;"'!$A$10:$A$44"))," ")</f>
        <v xml:space="preserve"> </v>
      </c>
      <c r="T23" s="30">
        <f ca="1">SUM(Table5[[#This Row],[Week 1]:[Week 18]])</f>
        <v>4.416666666666667</v>
      </c>
      <c r="U23" s="30">
        <f t="shared" ca="1" si="0"/>
        <v>-35.583333333333336</v>
      </c>
      <c r="V23" s="30">
        <f t="shared" ca="1" si="1"/>
        <v>4.416666666666667</v>
      </c>
      <c r="W23" s="30">
        <f t="shared" ca="1" si="2"/>
        <v>4.416666666666667</v>
      </c>
    </row>
    <row r="24" spans="1:23" x14ac:dyDescent="0.3">
      <c r="A24" s="21" t="s">
        <v>70</v>
      </c>
      <c r="B24" s="30" t="str">
        <f t="array" aca="1" ref="B24" ca="1">_xlfn.IFNA(_xlfn.XLOOKUP($A24,INDIRECT("'"&amp;B$4&amp;"'!$E$10:$E$44"),INDIRECT("'"&amp;B$4&amp;"'!$A$10:$A$44"))," ")</f>
        <v xml:space="preserve"> </v>
      </c>
      <c r="C24" s="30" t="str">
        <f t="array" aca="1" ref="C24" ca="1">_xlfn.IFNA(_xlfn.XLOOKUP($A24,INDIRECT("'"&amp;C$4&amp;"'!$E$10:$E$44"),INDIRECT("'"&amp;C$4&amp;"'!$A$10:$A$44"))," ")</f>
        <v/>
      </c>
      <c r="D24" s="30" t="str">
        <f t="array" aca="1" ref="D24" ca="1">_xlfn.IFNA(_xlfn.XLOOKUP($A24,INDIRECT("'"&amp;D$4&amp;"'!$E$10:$E$44"),INDIRECT("'"&amp;D$4&amp;"'!$A$10:$A$44"))," ")</f>
        <v/>
      </c>
      <c r="E24" s="30" t="str">
        <f t="array" aca="1" ref="E24" ca="1">_xlfn.IFNA(_xlfn.XLOOKUP($A24,INDIRECT("'"&amp;E$4&amp;"'!$E$10:$E$44"),INDIRECT("'"&amp;E$4&amp;"'!$A$10:$A$44"))," ")</f>
        <v xml:space="preserve"> </v>
      </c>
      <c r="F24" s="30" t="str">
        <f t="array" aca="1" ref="F24" ca="1">_xlfn.IFNA(_xlfn.XLOOKUP($A24,INDIRECT("'"&amp;F$4&amp;"'!$E$10:$E$44"),INDIRECT("'"&amp;F$4&amp;"'!$A$10:$A$44"))," ")</f>
        <v xml:space="preserve"> </v>
      </c>
      <c r="G24" s="30" t="str">
        <f t="array" aca="1" ref="G24" ca="1">_xlfn.IFNA(_xlfn.XLOOKUP($A24,INDIRECT("'"&amp;G$4&amp;"'!$E$10:$E$44"),INDIRECT("'"&amp;G$4&amp;"'!$A$10:$A$44"))," ")</f>
        <v xml:space="preserve"> </v>
      </c>
      <c r="H24" s="30" t="str">
        <f t="array" aca="1" ref="H24" ca="1">_xlfn.IFNA(_xlfn.XLOOKUP($A24,INDIRECT("'"&amp;H$4&amp;"'!$E$10:$E$44"),INDIRECT("'"&amp;H$4&amp;"'!$A$10:$A$44"))," ")</f>
        <v xml:space="preserve"> </v>
      </c>
      <c r="I24" s="30" t="str">
        <f t="array" aca="1" ref="I24" ca="1">_xlfn.IFNA(_xlfn.XLOOKUP($A24,INDIRECT("'"&amp;I$4&amp;"'!$E$10:$E$44"),INDIRECT("'"&amp;I$4&amp;"'!$A$10:$A$44"))," ")</f>
        <v xml:space="preserve"> </v>
      </c>
      <c r="J24" s="30" t="str">
        <f t="array" aca="1" ref="J24" ca="1">_xlfn.IFNA(_xlfn.XLOOKUP($A24,INDIRECT("'"&amp;J$4&amp;"'!$E$10:$E$44"),INDIRECT("'"&amp;J$4&amp;"'!$A$10:$A$44"))," ")</f>
        <v xml:space="preserve"> </v>
      </c>
      <c r="K24" s="30" t="str">
        <f t="array" aca="1" ref="K24" ca="1">_xlfn.IFNA(_xlfn.XLOOKUP($A24,INDIRECT("'"&amp;K$4&amp;"'!$E$10:$E$44"),INDIRECT("'"&amp;K$4&amp;"'!$A$10:$A$44"))," ")</f>
        <v xml:space="preserve"> </v>
      </c>
      <c r="L24" s="30" t="str">
        <f t="array" aca="1" ref="L24" ca="1">_xlfn.IFNA(_xlfn.XLOOKUP($A24,INDIRECT("'"&amp;L$4&amp;"'!$E$10:$E$44"),INDIRECT("'"&amp;L$4&amp;"'!$A$10:$A$44"))," ")</f>
        <v xml:space="preserve"> </v>
      </c>
      <c r="M24" s="30" t="str">
        <f t="array" aca="1" ref="M24" ca="1">_xlfn.IFNA(_xlfn.XLOOKUP($A24,INDIRECT("'"&amp;M$4&amp;"'!$E$10:$E$44"),INDIRECT("'"&amp;M$4&amp;"'!$A$10:$A$44"))," ")</f>
        <v xml:space="preserve"> </v>
      </c>
      <c r="N24" s="30" t="str">
        <f t="array" aca="1" ref="N24" ca="1">_xlfn.IFNA(_xlfn.XLOOKUP($A24,INDIRECT("'"&amp;N$4&amp;"'!$E$10:$E$44"),INDIRECT("'"&amp;N$4&amp;"'!$A$10:$A$44"))," ")</f>
        <v xml:space="preserve"> </v>
      </c>
      <c r="O24" s="30" t="str">
        <f t="array" aca="1" ref="O24" ca="1">_xlfn.IFNA(_xlfn.XLOOKUP($A24,INDIRECT("'"&amp;O$4&amp;"'!$E$10:$E$44"),INDIRECT("'"&amp;O$4&amp;"'!$A$10:$A$44"))," ")</f>
        <v xml:space="preserve"> </v>
      </c>
      <c r="P24" s="30" t="str">
        <f t="array" aca="1" ref="P24" ca="1">_xlfn.IFNA(_xlfn.XLOOKUP($A24,INDIRECT("'"&amp;P$4&amp;"'!$E$10:$E$44"),INDIRECT("'"&amp;P$4&amp;"'!$A$10:$A$44"))," ")</f>
        <v xml:space="preserve"> </v>
      </c>
      <c r="Q24" s="30" t="str">
        <f t="array" aca="1" ref="Q24" ca="1">_xlfn.IFNA(_xlfn.XLOOKUP($A24,INDIRECT("'"&amp;Q$4&amp;"'!$E$10:$E$44"),INDIRECT("'"&amp;Q$4&amp;"'!$A$10:$A$44"))," ")</f>
        <v xml:space="preserve"> </v>
      </c>
      <c r="R24" s="30" t="str">
        <f t="array" aca="1" ref="R24" ca="1">_xlfn.IFNA(_xlfn.XLOOKUP($A24,INDIRECT("'"&amp;R$4&amp;"'!$E$10:$E$44"),INDIRECT("'"&amp;R$4&amp;"'!$A$10:$A$44"))," ")</f>
        <v xml:space="preserve"> </v>
      </c>
      <c r="S24" s="30" t="str">
        <f t="array" aca="1" ref="S24" ca="1">_xlfn.IFNA(_xlfn.XLOOKUP($A24,INDIRECT("'"&amp;S$4&amp;"'!$E$10:$E$44"),INDIRECT("'"&amp;S$4&amp;"'!$A$10:$A$44"))," ")</f>
        <v xml:space="preserve"> </v>
      </c>
      <c r="T24" s="30">
        <f ca="1">SUM(Table5[[#This Row],[Week 1]:[Week 18]])</f>
        <v>0</v>
      </c>
      <c r="U24" s="30">
        <f t="shared" ca="1" si="0"/>
        <v>-40</v>
      </c>
      <c r="V24" s="30">
        <f t="shared" ca="1" si="1"/>
        <v>0</v>
      </c>
      <c r="W24" s="30">
        <f t="shared" ca="1" si="2"/>
        <v>0</v>
      </c>
    </row>
    <row r="25" spans="1:23" x14ac:dyDescent="0.3">
      <c r="A25" s="21" t="s">
        <v>19</v>
      </c>
      <c r="B25" s="30" t="str">
        <f t="array" aca="1" ref="B25" ca="1">_xlfn.IFNA(_xlfn.XLOOKUP($A25,INDIRECT("'"&amp;B$4&amp;"'!$E$10:$E$44"),INDIRECT("'"&amp;B$4&amp;"'!$A$10:$A$44"))," ")</f>
        <v xml:space="preserve"> </v>
      </c>
      <c r="C25" s="30" t="str">
        <f t="array" aca="1" ref="C25" ca="1">_xlfn.IFNA(_xlfn.XLOOKUP($A25,INDIRECT("'"&amp;C$4&amp;"'!$E$10:$E$44"),INDIRECT("'"&amp;C$4&amp;"'!$A$10:$A$44"))," ")</f>
        <v/>
      </c>
      <c r="D25" s="30" t="str">
        <f t="array" aca="1" ref="D25" ca="1">_xlfn.IFNA(_xlfn.XLOOKUP($A25,INDIRECT("'"&amp;D$4&amp;"'!$E$10:$E$44"),INDIRECT("'"&amp;D$4&amp;"'!$A$10:$A$44"))," ")</f>
        <v/>
      </c>
      <c r="E25" s="30" t="str">
        <f t="array" aca="1" ref="E25" ca="1">_xlfn.IFNA(_xlfn.XLOOKUP($A25,INDIRECT("'"&amp;E$4&amp;"'!$E$10:$E$44"),INDIRECT("'"&amp;E$4&amp;"'!$A$10:$A$44"))," ")</f>
        <v xml:space="preserve"> </v>
      </c>
      <c r="F25" s="30" t="str">
        <f t="array" aca="1" ref="F25" ca="1">_xlfn.IFNA(_xlfn.XLOOKUP($A25,INDIRECT("'"&amp;F$4&amp;"'!$E$10:$E$44"),INDIRECT("'"&amp;F$4&amp;"'!$A$10:$A$44"))," ")</f>
        <v xml:space="preserve"> </v>
      </c>
      <c r="G25" s="30" t="str">
        <f t="array" aca="1" ref="G25" ca="1">_xlfn.IFNA(_xlfn.XLOOKUP($A25,INDIRECT("'"&amp;G$4&amp;"'!$E$10:$E$44"),INDIRECT("'"&amp;G$4&amp;"'!$A$10:$A$44"))," ")</f>
        <v xml:space="preserve"> </v>
      </c>
      <c r="H25" s="30" t="str">
        <f t="array" aca="1" ref="H25" ca="1">_xlfn.IFNA(_xlfn.XLOOKUP($A25,INDIRECT("'"&amp;H$4&amp;"'!$E$10:$E$44"),INDIRECT("'"&amp;H$4&amp;"'!$A$10:$A$44"))," ")</f>
        <v xml:space="preserve"> </v>
      </c>
      <c r="I25" s="30" t="str">
        <f t="array" aca="1" ref="I25" ca="1">_xlfn.IFNA(_xlfn.XLOOKUP($A25,INDIRECT("'"&amp;I$4&amp;"'!$E$10:$E$44"),INDIRECT("'"&amp;I$4&amp;"'!$A$10:$A$44"))," ")</f>
        <v xml:space="preserve"> </v>
      </c>
      <c r="J25" s="30" t="str">
        <f t="array" aca="1" ref="J25" ca="1">_xlfn.IFNA(_xlfn.XLOOKUP($A25,INDIRECT("'"&amp;J$4&amp;"'!$E$10:$E$44"),INDIRECT("'"&amp;J$4&amp;"'!$A$10:$A$44"))," ")</f>
        <v xml:space="preserve"> </v>
      </c>
      <c r="K25" s="30" t="str">
        <f t="array" aca="1" ref="K25" ca="1">_xlfn.IFNA(_xlfn.XLOOKUP($A25,INDIRECT("'"&amp;K$4&amp;"'!$E$10:$E$44"),INDIRECT("'"&amp;K$4&amp;"'!$A$10:$A$44"))," ")</f>
        <v xml:space="preserve"> </v>
      </c>
      <c r="L25" s="30" t="str">
        <f t="array" aca="1" ref="L25" ca="1">_xlfn.IFNA(_xlfn.XLOOKUP($A25,INDIRECT("'"&amp;L$4&amp;"'!$E$10:$E$44"),INDIRECT("'"&amp;L$4&amp;"'!$A$10:$A$44"))," ")</f>
        <v xml:space="preserve"> </v>
      </c>
      <c r="M25" s="30" t="str">
        <f t="array" aca="1" ref="M25" ca="1">_xlfn.IFNA(_xlfn.XLOOKUP($A25,INDIRECT("'"&amp;M$4&amp;"'!$E$10:$E$44"),INDIRECT("'"&amp;M$4&amp;"'!$A$10:$A$44"))," ")</f>
        <v xml:space="preserve"> </v>
      </c>
      <c r="N25" s="30" t="str">
        <f t="array" aca="1" ref="N25" ca="1">_xlfn.IFNA(_xlfn.XLOOKUP($A25,INDIRECT("'"&amp;N$4&amp;"'!$E$10:$E$44"),INDIRECT("'"&amp;N$4&amp;"'!$A$10:$A$44"))," ")</f>
        <v xml:space="preserve"> </v>
      </c>
      <c r="O25" s="30" t="str">
        <f t="array" aca="1" ref="O25" ca="1">_xlfn.IFNA(_xlfn.XLOOKUP($A25,INDIRECT("'"&amp;O$4&amp;"'!$E$10:$E$44"),INDIRECT("'"&amp;O$4&amp;"'!$A$10:$A$44"))," ")</f>
        <v xml:space="preserve"> </v>
      </c>
      <c r="P25" s="30" t="str">
        <f t="array" aca="1" ref="P25" ca="1">_xlfn.IFNA(_xlfn.XLOOKUP($A25,INDIRECT("'"&amp;P$4&amp;"'!$E$10:$E$44"),INDIRECT("'"&amp;P$4&amp;"'!$A$10:$A$44"))," ")</f>
        <v xml:space="preserve"> </v>
      </c>
      <c r="Q25" s="30" t="str">
        <f t="array" aca="1" ref="Q25" ca="1">_xlfn.IFNA(_xlfn.XLOOKUP($A25,INDIRECT("'"&amp;Q$4&amp;"'!$E$10:$E$44"),INDIRECT("'"&amp;Q$4&amp;"'!$A$10:$A$44"))," ")</f>
        <v xml:space="preserve"> </v>
      </c>
      <c r="R25" s="30" t="str">
        <f t="array" aca="1" ref="R25" ca="1">_xlfn.IFNA(_xlfn.XLOOKUP($A25,INDIRECT("'"&amp;R$4&amp;"'!$E$10:$E$44"),INDIRECT("'"&amp;R$4&amp;"'!$A$10:$A$44"))," ")</f>
        <v xml:space="preserve"> </v>
      </c>
      <c r="S25" s="30" t="str">
        <f t="array" aca="1" ref="S25" ca="1">_xlfn.IFNA(_xlfn.XLOOKUP($A25,INDIRECT("'"&amp;S$4&amp;"'!$E$10:$E$44"),INDIRECT("'"&amp;S$4&amp;"'!$A$10:$A$44"))," ")</f>
        <v xml:space="preserve"> </v>
      </c>
      <c r="T25" s="30">
        <f ca="1">SUM(Table5[[#This Row],[Week 1]:[Week 18]])</f>
        <v>0</v>
      </c>
      <c r="U25" s="30">
        <f t="shared" ca="1" si="0"/>
        <v>-40</v>
      </c>
      <c r="V25" s="30">
        <f t="shared" ca="1" si="1"/>
        <v>0</v>
      </c>
      <c r="W25" s="30">
        <f t="shared" ca="1" si="2"/>
        <v>0</v>
      </c>
    </row>
    <row r="26" spans="1:23" x14ac:dyDescent="0.3">
      <c r="A26" s="21" t="s">
        <v>17</v>
      </c>
      <c r="B26" s="30">
        <f t="array" aca="1" ref="B26" ca="1">_xlfn.IFNA(_xlfn.XLOOKUP($A26,INDIRECT("'"&amp;B$4&amp;"'!$E$10:$E$44"),INDIRECT("'"&amp;B$4&amp;"'!$A$10:$A$44"))," ")</f>
        <v>116</v>
      </c>
      <c r="C26" s="30" t="str">
        <f t="array" aca="1" ref="C26" ca="1">_xlfn.IFNA(_xlfn.XLOOKUP($A26,INDIRECT("'"&amp;C$4&amp;"'!$E$10:$E$44"),INDIRECT("'"&amp;C$4&amp;"'!$A$10:$A$44"))," ")</f>
        <v/>
      </c>
      <c r="D26" s="30" t="str">
        <f t="array" aca="1" ref="D26" ca="1">_xlfn.IFNA(_xlfn.XLOOKUP($A26,INDIRECT("'"&amp;D$4&amp;"'!$E$10:$E$44"),INDIRECT("'"&amp;D$4&amp;"'!$A$10:$A$44"))," ")</f>
        <v/>
      </c>
      <c r="E26" s="30" t="str">
        <f t="array" aca="1" ref="E26" ca="1">_xlfn.IFNA(_xlfn.XLOOKUP($A26,INDIRECT("'"&amp;E$4&amp;"'!$E$10:$E$44"),INDIRECT("'"&amp;E$4&amp;"'!$A$10:$A$44"))," ")</f>
        <v xml:space="preserve"> </v>
      </c>
      <c r="F26" s="30" t="str">
        <f t="array" aca="1" ref="F26" ca="1">_xlfn.IFNA(_xlfn.XLOOKUP($A26,INDIRECT("'"&amp;F$4&amp;"'!$E$10:$E$44"),INDIRECT("'"&amp;F$4&amp;"'!$A$10:$A$44"))," ")</f>
        <v xml:space="preserve"> </v>
      </c>
      <c r="G26" s="30" t="str">
        <f t="array" aca="1" ref="G26" ca="1">_xlfn.IFNA(_xlfn.XLOOKUP($A26,INDIRECT("'"&amp;G$4&amp;"'!$E$10:$E$44"),INDIRECT("'"&amp;G$4&amp;"'!$A$10:$A$44"))," ")</f>
        <v xml:space="preserve"> </v>
      </c>
      <c r="H26" s="30" t="str">
        <f t="array" aca="1" ref="H26" ca="1">_xlfn.IFNA(_xlfn.XLOOKUP($A26,INDIRECT("'"&amp;H$4&amp;"'!$E$10:$E$44"),INDIRECT("'"&amp;H$4&amp;"'!$A$10:$A$44"))," ")</f>
        <v xml:space="preserve"> </v>
      </c>
      <c r="I26" s="30" t="str">
        <f t="array" aca="1" ref="I26" ca="1">_xlfn.IFNA(_xlfn.XLOOKUP($A26,INDIRECT("'"&amp;I$4&amp;"'!$E$10:$E$44"),INDIRECT("'"&amp;I$4&amp;"'!$A$10:$A$44"))," ")</f>
        <v xml:space="preserve"> </v>
      </c>
      <c r="J26" s="30" t="str">
        <f t="array" aca="1" ref="J26" ca="1">_xlfn.IFNA(_xlfn.XLOOKUP($A26,INDIRECT("'"&amp;J$4&amp;"'!$E$10:$E$44"),INDIRECT("'"&amp;J$4&amp;"'!$A$10:$A$44"))," ")</f>
        <v xml:space="preserve"> </v>
      </c>
      <c r="K26" s="30" t="str">
        <f t="array" aca="1" ref="K26" ca="1">_xlfn.IFNA(_xlfn.XLOOKUP($A26,INDIRECT("'"&amp;K$4&amp;"'!$E$10:$E$44"),INDIRECT("'"&amp;K$4&amp;"'!$A$10:$A$44"))," ")</f>
        <v xml:space="preserve"> </v>
      </c>
      <c r="L26" s="30" t="str">
        <f t="array" aca="1" ref="L26" ca="1">_xlfn.IFNA(_xlfn.XLOOKUP($A26,INDIRECT("'"&amp;L$4&amp;"'!$E$10:$E$44"),INDIRECT("'"&amp;L$4&amp;"'!$A$10:$A$44"))," ")</f>
        <v xml:space="preserve"> </v>
      </c>
      <c r="M26" s="30" t="str">
        <f t="array" aca="1" ref="M26" ca="1">_xlfn.IFNA(_xlfn.XLOOKUP($A26,INDIRECT("'"&amp;M$4&amp;"'!$E$10:$E$44"),INDIRECT("'"&amp;M$4&amp;"'!$A$10:$A$44"))," ")</f>
        <v xml:space="preserve"> </v>
      </c>
      <c r="N26" s="30" t="str">
        <f t="array" aca="1" ref="N26" ca="1">_xlfn.IFNA(_xlfn.XLOOKUP($A26,INDIRECT("'"&amp;N$4&amp;"'!$E$10:$E$44"),INDIRECT("'"&amp;N$4&amp;"'!$A$10:$A$44"))," ")</f>
        <v xml:space="preserve"> </v>
      </c>
      <c r="O26" s="30" t="str">
        <f t="array" aca="1" ref="O26" ca="1">_xlfn.IFNA(_xlfn.XLOOKUP($A26,INDIRECT("'"&amp;O$4&amp;"'!$E$10:$E$44"),INDIRECT("'"&amp;O$4&amp;"'!$A$10:$A$44"))," ")</f>
        <v xml:space="preserve"> </v>
      </c>
      <c r="P26" s="30" t="str">
        <f t="array" aca="1" ref="P26" ca="1">_xlfn.IFNA(_xlfn.XLOOKUP($A26,INDIRECT("'"&amp;P$4&amp;"'!$E$10:$E$44"),INDIRECT("'"&amp;P$4&amp;"'!$A$10:$A$44"))," ")</f>
        <v xml:space="preserve"> </v>
      </c>
      <c r="Q26" s="30" t="str">
        <f t="array" aca="1" ref="Q26" ca="1">_xlfn.IFNA(_xlfn.XLOOKUP($A26,INDIRECT("'"&amp;Q$4&amp;"'!$E$10:$E$44"),INDIRECT("'"&amp;Q$4&amp;"'!$A$10:$A$44"))," ")</f>
        <v xml:space="preserve"> </v>
      </c>
      <c r="R26" s="30" t="str">
        <f t="array" aca="1" ref="R26" ca="1">_xlfn.IFNA(_xlfn.XLOOKUP($A26,INDIRECT("'"&amp;R$4&amp;"'!$E$10:$E$44"),INDIRECT("'"&amp;R$4&amp;"'!$A$10:$A$44"))," ")</f>
        <v xml:space="preserve"> </v>
      </c>
      <c r="S26" s="30" t="str">
        <f t="array" aca="1" ref="S26" ca="1">_xlfn.IFNA(_xlfn.XLOOKUP($A26,INDIRECT("'"&amp;S$4&amp;"'!$E$10:$E$44"),INDIRECT("'"&amp;S$4&amp;"'!$A$10:$A$44"))," ")</f>
        <v xml:space="preserve"> </v>
      </c>
      <c r="T26" s="30">
        <f ca="1">SUM(Table5[[#This Row],[Week 1]:[Week 18]])</f>
        <v>116</v>
      </c>
      <c r="U26" s="30">
        <f t="shared" ca="1" si="0"/>
        <v>76</v>
      </c>
      <c r="V26" s="30">
        <f t="shared" ca="1" si="1"/>
        <v>116</v>
      </c>
      <c r="W26" s="30">
        <f t="shared" ca="1" si="2"/>
        <v>116</v>
      </c>
    </row>
    <row r="27" spans="1:23" x14ac:dyDescent="0.3">
      <c r="A27" s="21" t="s">
        <v>71</v>
      </c>
      <c r="B27" s="30" t="str">
        <f t="array" aca="1" ref="B27" ca="1">_xlfn.IFNA(_xlfn.XLOOKUP($A27,INDIRECT("'"&amp;B$4&amp;"'!$E$10:$E$44"),INDIRECT("'"&amp;B$4&amp;"'!$A$10:$A$44"))," ")</f>
        <v xml:space="preserve"> </v>
      </c>
      <c r="C27" s="30" t="str">
        <f t="array" aca="1" ref="C27" ca="1">_xlfn.IFNA(_xlfn.XLOOKUP($A27,INDIRECT("'"&amp;C$4&amp;"'!$E$10:$E$44"),INDIRECT("'"&amp;C$4&amp;"'!$A$10:$A$44"))," ")</f>
        <v/>
      </c>
      <c r="D27" s="30" t="str">
        <f t="array" aca="1" ref="D27" ca="1">_xlfn.IFNA(_xlfn.XLOOKUP($A27,INDIRECT("'"&amp;D$4&amp;"'!$E$10:$E$44"),INDIRECT("'"&amp;D$4&amp;"'!$A$10:$A$44"))," ")</f>
        <v/>
      </c>
      <c r="E27" s="30" t="str">
        <f t="array" aca="1" ref="E27" ca="1">_xlfn.IFNA(_xlfn.XLOOKUP($A27,INDIRECT("'"&amp;E$4&amp;"'!$E$10:$E$44"),INDIRECT("'"&amp;E$4&amp;"'!$A$10:$A$44"))," ")</f>
        <v xml:space="preserve"> </v>
      </c>
      <c r="F27" s="30" t="str">
        <f t="array" aca="1" ref="F27" ca="1">_xlfn.IFNA(_xlfn.XLOOKUP($A27,INDIRECT("'"&amp;F$4&amp;"'!$E$10:$E$44"),INDIRECT("'"&amp;F$4&amp;"'!$A$10:$A$44"))," ")</f>
        <v xml:space="preserve"> </v>
      </c>
      <c r="G27" s="30" t="str">
        <f t="array" aca="1" ref="G27" ca="1">_xlfn.IFNA(_xlfn.XLOOKUP($A27,INDIRECT("'"&amp;G$4&amp;"'!$E$10:$E$44"),INDIRECT("'"&amp;G$4&amp;"'!$A$10:$A$44"))," ")</f>
        <v xml:space="preserve"> </v>
      </c>
      <c r="H27" s="30" t="str">
        <f t="array" aca="1" ref="H27" ca="1">_xlfn.IFNA(_xlfn.XLOOKUP($A27,INDIRECT("'"&amp;H$4&amp;"'!$E$10:$E$44"),INDIRECT("'"&amp;H$4&amp;"'!$A$10:$A$44"))," ")</f>
        <v xml:space="preserve"> </v>
      </c>
      <c r="I27" s="30" t="str">
        <f t="array" aca="1" ref="I27" ca="1">_xlfn.IFNA(_xlfn.XLOOKUP($A27,INDIRECT("'"&amp;I$4&amp;"'!$E$10:$E$44"),INDIRECT("'"&amp;I$4&amp;"'!$A$10:$A$44"))," ")</f>
        <v xml:space="preserve"> </v>
      </c>
      <c r="J27" s="30" t="str">
        <f t="array" aca="1" ref="J27" ca="1">_xlfn.IFNA(_xlfn.XLOOKUP($A27,INDIRECT("'"&amp;J$4&amp;"'!$E$10:$E$44"),INDIRECT("'"&amp;J$4&amp;"'!$A$10:$A$44"))," ")</f>
        <v xml:space="preserve"> </v>
      </c>
      <c r="K27" s="30" t="str">
        <f t="array" aca="1" ref="K27" ca="1">_xlfn.IFNA(_xlfn.XLOOKUP($A27,INDIRECT("'"&amp;K$4&amp;"'!$E$10:$E$44"),INDIRECT("'"&amp;K$4&amp;"'!$A$10:$A$44"))," ")</f>
        <v xml:space="preserve"> </v>
      </c>
      <c r="L27" s="30" t="str">
        <f t="array" aca="1" ref="L27" ca="1">_xlfn.IFNA(_xlfn.XLOOKUP($A27,INDIRECT("'"&amp;L$4&amp;"'!$E$10:$E$44"),INDIRECT("'"&amp;L$4&amp;"'!$A$10:$A$44"))," ")</f>
        <v xml:space="preserve"> </v>
      </c>
      <c r="M27" s="30" t="str">
        <f t="array" aca="1" ref="M27" ca="1">_xlfn.IFNA(_xlfn.XLOOKUP($A27,INDIRECT("'"&amp;M$4&amp;"'!$E$10:$E$44"),INDIRECT("'"&amp;M$4&amp;"'!$A$10:$A$44"))," ")</f>
        <v xml:space="preserve"> </v>
      </c>
      <c r="N27" s="30" t="str">
        <f t="array" aca="1" ref="N27" ca="1">_xlfn.IFNA(_xlfn.XLOOKUP($A27,INDIRECT("'"&amp;N$4&amp;"'!$E$10:$E$44"),INDIRECT("'"&amp;N$4&amp;"'!$A$10:$A$44"))," ")</f>
        <v xml:space="preserve"> </v>
      </c>
      <c r="O27" s="30" t="str">
        <f t="array" aca="1" ref="O27" ca="1">_xlfn.IFNA(_xlfn.XLOOKUP($A27,INDIRECT("'"&amp;O$4&amp;"'!$E$10:$E$44"),INDIRECT("'"&amp;O$4&amp;"'!$A$10:$A$44"))," ")</f>
        <v xml:space="preserve"> </v>
      </c>
      <c r="P27" s="30" t="str">
        <f t="array" aca="1" ref="P27" ca="1">_xlfn.IFNA(_xlfn.XLOOKUP($A27,INDIRECT("'"&amp;P$4&amp;"'!$E$10:$E$44"),INDIRECT("'"&amp;P$4&amp;"'!$A$10:$A$44"))," ")</f>
        <v xml:space="preserve"> </v>
      </c>
      <c r="Q27" s="30" t="str">
        <f t="array" aca="1" ref="Q27" ca="1">_xlfn.IFNA(_xlfn.XLOOKUP($A27,INDIRECT("'"&amp;Q$4&amp;"'!$E$10:$E$44"),INDIRECT("'"&amp;Q$4&amp;"'!$A$10:$A$44"))," ")</f>
        <v xml:space="preserve"> </v>
      </c>
      <c r="R27" s="30" t="str">
        <f t="array" aca="1" ref="R27" ca="1">_xlfn.IFNA(_xlfn.XLOOKUP($A27,INDIRECT("'"&amp;R$4&amp;"'!$E$10:$E$44"),INDIRECT("'"&amp;R$4&amp;"'!$A$10:$A$44"))," ")</f>
        <v xml:space="preserve"> </v>
      </c>
      <c r="S27" s="30" t="str">
        <f t="array" aca="1" ref="S27" ca="1">_xlfn.IFNA(_xlfn.XLOOKUP($A27,INDIRECT("'"&amp;S$4&amp;"'!$E$10:$E$44"),INDIRECT("'"&amp;S$4&amp;"'!$A$10:$A$44"))," ")</f>
        <v xml:space="preserve"> </v>
      </c>
      <c r="T27" s="30">
        <f ca="1">SUM(Table5[[#This Row],[Week 1]:[Week 18]])</f>
        <v>0</v>
      </c>
      <c r="U27" s="30">
        <f t="shared" ca="1" si="0"/>
        <v>-40</v>
      </c>
      <c r="V27" s="30">
        <f t="shared" ca="1" si="1"/>
        <v>0</v>
      </c>
      <c r="W27" s="30">
        <f t="shared" ca="1" si="2"/>
        <v>0</v>
      </c>
    </row>
    <row r="28" spans="1:23" x14ac:dyDescent="0.3">
      <c r="A28" s="21" t="s">
        <v>72</v>
      </c>
      <c r="B28" s="30" t="str">
        <f t="array" aca="1" ref="B28" ca="1">_xlfn.IFNA(_xlfn.XLOOKUP($A28,INDIRECT("'"&amp;B$4&amp;"'!$E$10:$E$44"),INDIRECT("'"&amp;B$4&amp;"'!$A$10:$A$44"))," ")</f>
        <v xml:space="preserve"> </v>
      </c>
      <c r="C28" s="30" t="str">
        <f t="array" aca="1" ref="C28" ca="1">_xlfn.IFNA(_xlfn.XLOOKUP($A28,INDIRECT("'"&amp;C$4&amp;"'!$E$10:$E$44"),INDIRECT("'"&amp;C$4&amp;"'!$A$10:$A$44"))," ")</f>
        <v/>
      </c>
      <c r="D28" s="30" t="str">
        <f t="array" aca="1" ref="D28" ca="1">_xlfn.IFNA(_xlfn.XLOOKUP($A28,INDIRECT("'"&amp;D$4&amp;"'!$E$10:$E$44"),INDIRECT("'"&amp;D$4&amp;"'!$A$10:$A$44"))," ")</f>
        <v/>
      </c>
      <c r="E28" s="30" t="str">
        <f t="array" aca="1" ref="E28" ca="1">_xlfn.IFNA(_xlfn.XLOOKUP($A28,INDIRECT("'"&amp;E$4&amp;"'!$E$10:$E$44"),INDIRECT("'"&amp;E$4&amp;"'!$A$10:$A$44"))," ")</f>
        <v xml:space="preserve"> </v>
      </c>
      <c r="F28" s="30" t="str">
        <f t="array" aca="1" ref="F28" ca="1">_xlfn.IFNA(_xlfn.XLOOKUP($A28,INDIRECT("'"&amp;F$4&amp;"'!$E$10:$E$44"),INDIRECT("'"&amp;F$4&amp;"'!$A$10:$A$44"))," ")</f>
        <v xml:space="preserve"> </v>
      </c>
      <c r="G28" s="30" t="str">
        <f t="array" aca="1" ref="G28" ca="1">_xlfn.IFNA(_xlfn.XLOOKUP($A28,INDIRECT("'"&amp;G$4&amp;"'!$E$10:$E$44"),INDIRECT("'"&amp;G$4&amp;"'!$A$10:$A$44"))," ")</f>
        <v xml:space="preserve"> </v>
      </c>
      <c r="H28" s="30" t="str">
        <f t="array" aca="1" ref="H28" ca="1">_xlfn.IFNA(_xlfn.XLOOKUP($A28,INDIRECT("'"&amp;H$4&amp;"'!$E$10:$E$44"),INDIRECT("'"&amp;H$4&amp;"'!$A$10:$A$44"))," ")</f>
        <v xml:space="preserve"> </v>
      </c>
      <c r="I28" s="30" t="str">
        <f t="array" aca="1" ref="I28" ca="1">_xlfn.IFNA(_xlfn.XLOOKUP($A28,INDIRECT("'"&amp;I$4&amp;"'!$E$10:$E$44"),INDIRECT("'"&amp;I$4&amp;"'!$A$10:$A$44"))," ")</f>
        <v xml:space="preserve"> </v>
      </c>
      <c r="J28" s="30" t="str">
        <f t="array" aca="1" ref="J28" ca="1">_xlfn.IFNA(_xlfn.XLOOKUP($A28,INDIRECT("'"&amp;J$4&amp;"'!$E$10:$E$44"),INDIRECT("'"&amp;J$4&amp;"'!$A$10:$A$44"))," ")</f>
        <v xml:space="preserve"> </v>
      </c>
      <c r="K28" s="30" t="str">
        <f t="array" aca="1" ref="K28" ca="1">_xlfn.IFNA(_xlfn.XLOOKUP($A28,INDIRECT("'"&amp;K$4&amp;"'!$E$10:$E$44"),INDIRECT("'"&amp;K$4&amp;"'!$A$10:$A$44"))," ")</f>
        <v xml:space="preserve"> </v>
      </c>
      <c r="L28" s="30" t="str">
        <f t="array" aca="1" ref="L28" ca="1">_xlfn.IFNA(_xlfn.XLOOKUP($A28,INDIRECT("'"&amp;L$4&amp;"'!$E$10:$E$44"),INDIRECT("'"&amp;L$4&amp;"'!$A$10:$A$44"))," ")</f>
        <v xml:space="preserve"> </v>
      </c>
      <c r="M28" s="30" t="str">
        <f t="array" aca="1" ref="M28" ca="1">_xlfn.IFNA(_xlfn.XLOOKUP($A28,INDIRECT("'"&amp;M$4&amp;"'!$E$10:$E$44"),INDIRECT("'"&amp;M$4&amp;"'!$A$10:$A$44"))," ")</f>
        <v xml:space="preserve"> </v>
      </c>
      <c r="N28" s="30" t="str">
        <f t="array" aca="1" ref="N28" ca="1">_xlfn.IFNA(_xlfn.XLOOKUP($A28,INDIRECT("'"&amp;N$4&amp;"'!$E$10:$E$44"),INDIRECT("'"&amp;N$4&amp;"'!$A$10:$A$44"))," ")</f>
        <v xml:space="preserve"> </v>
      </c>
      <c r="O28" s="30" t="str">
        <f t="array" aca="1" ref="O28" ca="1">_xlfn.IFNA(_xlfn.XLOOKUP($A28,INDIRECT("'"&amp;O$4&amp;"'!$E$10:$E$44"),INDIRECT("'"&amp;O$4&amp;"'!$A$10:$A$44"))," ")</f>
        <v xml:space="preserve"> </v>
      </c>
      <c r="P28" s="30" t="str">
        <f t="array" aca="1" ref="P28" ca="1">_xlfn.IFNA(_xlfn.XLOOKUP($A28,INDIRECT("'"&amp;P$4&amp;"'!$E$10:$E$44"),INDIRECT("'"&amp;P$4&amp;"'!$A$10:$A$44"))," ")</f>
        <v xml:space="preserve"> </v>
      </c>
      <c r="Q28" s="30" t="str">
        <f t="array" aca="1" ref="Q28" ca="1">_xlfn.IFNA(_xlfn.XLOOKUP($A28,INDIRECT("'"&amp;Q$4&amp;"'!$E$10:$E$44"),INDIRECT("'"&amp;Q$4&amp;"'!$A$10:$A$44"))," ")</f>
        <v xml:space="preserve"> </v>
      </c>
      <c r="R28" s="30" t="str">
        <f t="array" aca="1" ref="R28" ca="1">_xlfn.IFNA(_xlfn.XLOOKUP($A28,INDIRECT("'"&amp;R$4&amp;"'!$E$10:$E$44"),INDIRECT("'"&amp;R$4&amp;"'!$A$10:$A$44"))," ")</f>
        <v xml:space="preserve"> </v>
      </c>
      <c r="S28" s="30" t="str">
        <f t="array" aca="1" ref="S28" ca="1">_xlfn.IFNA(_xlfn.XLOOKUP($A28,INDIRECT("'"&amp;S$4&amp;"'!$E$10:$E$44"),INDIRECT("'"&amp;S$4&amp;"'!$A$10:$A$44"))," ")</f>
        <v xml:space="preserve"> </v>
      </c>
      <c r="T28" s="30">
        <f ca="1">SUM(Table5[[#This Row],[Week 1]:[Week 18]])</f>
        <v>0</v>
      </c>
      <c r="U28" s="30">
        <f t="shared" ca="1" si="0"/>
        <v>-40</v>
      </c>
      <c r="V28" s="30">
        <f t="shared" ca="1" si="1"/>
        <v>0</v>
      </c>
      <c r="W28" s="30">
        <f t="shared" ca="1" si="2"/>
        <v>0</v>
      </c>
    </row>
    <row r="29" spans="1:23" x14ac:dyDescent="0.3">
      <c r="A29" s="21" t="s">
        <v>73</v>
      </c>
      <c r="B29" s="30" t="str">
        <f t="array" aca="1" ref="B29" ca="1">_xlfn.IFNA(_xlfn.XLOOKUP($A29,INDIRECT("'"&amp;B$4&amp;"'!$E$10:$E$44"),INDIRECT("'"&amp;B$4&amp;"'!$A$10:$A$44"))," ")</f>
        <v xml:space="preserve"> </v>
      </c>
      <c r="C29" s="30" t="str">
        <f t="array" aca="1" ref="C29" ca="1">_xlfn.IFNA(_xlfn.XLOOKUP($A29,INDIRECT("'"&amp;C$4&amp;"'!$E$10:$E$44"),INDIRECT("'"&amp;C$4&amp;"'!$A$10:$A$44"))," ")</f>
        <v/>
      </c>
      <c r="D29" s="30">
        <f t="array" aca="1" ref="D29" ca="1">_xlfn.IFNA(_xlfn.XLOOKUP($A29,INDIRECT("'"&amp;D$4&amp;"'!$E$10:$E$44"),INDIRECT("'"&amp;D$4&amp;"'!$A$10:$A$44"))," ")</f>
        <v>4.416666666666667</v>
      </c>
      <c r="E29" s="30" t="str">
        <f t="array" aca="1" ref="E29" ca="1">_xlfn.IFNA(_xlfn.XLOOKUP($A29,INDIRECT("'"&amp;E$4&amp;"'!$E$10:$E$44"),INDIRECT("'"&amp;E$4&amp;"'!$A$10:$A$44"))," ")</f>
        <v xml:space="preserve"> </v>
      </c>
      <c r="F29" s="30" t="str">
        <f t="array" aca="1" ref="F29" ca="1">_xlfn.IFNA(_xlfn.XLOOKUP($A29,INDIRECT("'"&amp;F$4&amp;"'!$E$10:$E$44"),INDIRECT("'"&amp;F$4&amp;"'!$A$10:$A$44"))," ")</f>
        <v xml:space="preserve"> </v>
      </c>
      <c r="G29" s="30" t="str">
        <f t="array" aca="1" ref="G29" ca="1">_xlfn.IFNA(_xlfn.XLOOKUP($A29,INDIRECT("'"&amp;G$4&amp;"'!$E$10:$E$44"),INDIRECT("'"&amp;G$4&amp;"'!$A$10:$A$44"))," ")</f>
        <v xml:space="preserve"> </v>
      </c>
      <c r="H29" s="30" t="str">
        <f t="array" aca="1" ref="H29" ca="1">_xlfn.IFNA(_xlfn.XLOOKUP($A29,INDIRECT("'"&amp;H$4&amp;"'!$E$10:$E$44"),INDIRECT("'"&amp;H$4&amp;"'!$A$10:$A$44"))," ")</f>
        <v xml:space="preserve"> </v>
      </c>
      <c r="I29" s="30" t="str">
        <f t="array" aca="1" ref="I29" ca="1">_xlfn.IFNA(_xlfn.XLOOKUP($A29,INDIRECT("'"&amp;I$4&amp;"'!$E$10:$E$44"),INDIRECT("'"&amp;I$4&amp;"'!$A$10:$A$44"))," ")</f>
        <v xml:space="preserve"> </v>
      </c>
      <c r="J29" s="30" t="str">
        <f t="array" aca="1" ref="J29" ca="1">_xlfn.IFNA(_xlfn.XLOOKUP($A29,INDIRECT("'"&amp;J$4&amp;"'!$E$10:$E$44"),INDIRECT("'"&amp;J$4&amp;"'!$A$10:$A$44"))," ")</f>
        <v xml:space="preserve"> </v>
      </c>
      <c r="K29" s="30" t="str">
        <f t="array" aca="1" ref="K29" ca="1">_xlfn.IFNA(_xlfn.XLOOKUP($A29,INDIRECT("'"&amp;K$4&amp;"'!$E$10:$E$44"),INDIRECT("'"&amp;K$4&amp;"'!$A$10:$A$44"))," ")</f>
        <v xml:space="preserve"> </v>
      </c>
      <c r="L29" s="30" t="str">
        <f t="array" aca="1" ref="L29" ca="1">_xlfn.IFNA(_xlfn.XLOOKUP($A29,INDIRECT("'"&amp;L$4&amp;"'!$E$10:$E$44"),INDIRECT("'"&amp;L$4&amp;"'!$A$10:$A$44"))," ")</f>
        <v xml:space="preserve"> </v>
      </c>
      <c r="M29" s="30" t="str">
        <f t="array" aca="1" ref="M29" ca="1">_xlfn.IFNA(_xlfn.XLOOKUP($A29,INDIRECT("'"&amp;M$4&amp;"'!$E$10:$E$44"),INDIRECT("'"&amp;M$4&amp;"'!$A$10:$A$44"))," ")</f>
        <v xml:space="preserve"> </v>
      </c>
      <c r="N29" s="30" t="str">
        <f t="array" aca="1" ref="N29" ca="1">_xlfn.IFNA(_xlfn.XLOOKUP($A29,INDIRECT("'"&amp;N$4&amp;"'!$E$10:$E$44"),INDIRECT("'"&amp;N$4&amp;"'!$A$10:$A$44"))," ")</f>
        <v xml:space="preserve"> </v>
      </c>
      <c r="O29" s="30" t="str">
        <f t="array" aca="1" ref="O29" ca="1">_xlfn.IFNA(_xlfn.XLOOKUP($A29,INDIRECT("'"&amp;O$4&amp;"'!$E$10:$E$44"),INDIRECT("'"&amp;O$4&amp;"'!$A$10:$A$44"))," ")</f>
        <v xml:space="preserve"> </v>
      </c>
      <c r="P29" s="30" t="str">
        <f t="array" aca="1" ref="P29" ca="1">_xlfn.IFNA(_xlfn.XLOOKUP($A29,INDIRECT("'"&amp;P$4&amp;"'!$E$10:$E$44"),INDIRECT("'"&amp;P$4&amp;"'!$A$10:$A$44"))," ")</f>
        <v xml:space="preserve"> </v>
      </c>
      <c r="Q29" s="30" t="str">
        <f t="array" aca="1" ref="Q29" ca="1">_xlfn.IFNA(_xlfn.XLOOKUP($A29,INDIRECT("'"&amp;Q$4&amp;"'!$E$10:$E$44"),INDIRECT("'"&amp;Q$4&amp;"'!$A$10:$A$44"))," ")</f>
        <v xml:space="preserve"> </v>
      </c>
      <c r="R29" s="30" t="str">
        <f t="array" aca="1" ref="R29" ca="1">_xlfn.IFNA(_xlfn.XLOOKUP($A29,INDIRECT("'"&amp;R$4&amp;"'!$E$10:$E$44"),INDIRECT("'"&amp;R$4&amp;"'!$A$10:$A$44"))," ")</f>
        <v xml:space="preserve"> </v>
      </c>
      <c r="S29" s="30" t="str">
        <f t="array" aca="1" ref="S29" ca="1">_xlfn.IFNA(_xlfn.XLOOKUP($A29,INDIRECT("'"&amp;S$4&amp;"'!$E$10:$E$44"),INDIRECT("'"&amp;S$4&amp;"'!$A$10:$A$44"))," ")</f>
        <v xml:space="preserve"> </v>
      </c>
      <c r="T29" s="30">
        <f ca="1">SUM(Table5[[#This Row],[Week 1]:[Week 18]])</f>
        <v>4.416666666666667</v>
      </c>
      <c r="U29" s="30">
        <f t="shared" ca="1" si="0"/>
        <v>-35.583333333333336</v>
      </c>
      <c r="V29" s="30">
        <f t="shared" ca="1" si="1"/>
        <v>4.416666666666667</v>
      </c>
      <c r="W29" s="30">
        <f t="shared" ca="1" si="2"/>
        <v>4.416666666666667</v>
      </c>
    </row>
    <row r="30" spans="1:23" x14ac:dyDescent="0.3">
      <c r="A30" s="21" t="s">
        <v>74</v>
      </c>
      <c r="B30" s="30" t="str">
        <f t="array" aca="1" ref="B30" ca="1">_xlfn.IFNA(_xlfn.XLOOKUP($A30,INDIRECT("'"&amp;B$4&amp;"'!$E$10:$E$44"),INDIRECT("'"&amp;B$4&amp;"'!$A$10:$A$44"))," ")</f>
        <v xml:space="preserve"> </v>
      </c>
      <c r="C30" s="30" t="str">
        <f t="array" aca="1" ref="C30" ca="1">_xlfn.IFNA(_xlfn.XLOOKUP($A30,INDIRECT("'"&amp;C$4&amp;"'!$E$10:$E$44"),INDIRECT("'"&amp;C$4&amp;"'!$A$10:$A$44"))," ")</f>
        <v/>
      </c>
      <c r="D30" s="30" t="str">
        <f t="array" aca="1" ref="D30" ca="1">_xlfn.IFNA(_xlfn.XLOOKUP($A30,INDIRECT("'"&amp;D$4&amp;"'!$E$10:$E$44"),INDIRECT("'"&amp;D$4&amp;"'!$A$10:$A$44"))," ")</f>
        <v xml:space="preserve"> </v>
      </c>
      <c r="E30" s="30" t="str">
        <f t="array" aca="1" ref="E30" ca="1">_xlfn.IFNA(_xlfn.XLOOKUP($A30,INDIRECT("'"&amp;E$4&amp;"'!$E$10:$E$44"),INDIRECT("'"&amp;E$4&amp;"'!$A$10:$A$44"))," ")</f>
        <v xml:space="preserve"> </v>
      </c>
      <c r="F30" s="30" t="str">
        <f t="array" aca="1" ref="F30" ca="1">_xlfn.IFNA(_xlfn.XLOOKUP($A30,INDIRECT("'"&amp;F$4&amp;"'!$E$10:$E$44"),INDIRECT("'"&amp;F$4&amp;"'!$A$10:$A$44"))," ")</f>
        <v xml:space="preserve"> </v>
      </c>
      <c r="G30" s="30" t="str">
        <f t="array" aca="1" ref="G30" ca="1">_xlfn.IFNA(_xlfn.XLOOKUP($A30,INDIRECT("'"&amp;G$4&amp;"'!$E$10:$E$44"),INDIRECT("'"&amp;G$4&amp;"'!$A$10:$A$44"))," ")</f>
        <v xml:space="preserve"> </v>
      </c>
      <c r="H30" s="30" t="str">
        <f t="array" aca="1" ref="H30" ca="1">_xlfn.IFNA(_xlfn.XLOOKUP($A30,INDIRECT("'"&amp;H$4&amp;"'!$E$10:$E$44"),INDIRECT("'"&amp;H$4&amp;"'!$A$10:$A$44"))," ")</f>
        <v xml:space="preserve"> </v>
      </c>
      <c r="I30" s="30" t="str">
        <f t="array" aca="1" ref="I30" ca="1">_xlfn.IFNA(_xlfn.XLOOKUP($A30,INDIRECT("'"&amp;I$4&amp;"'!$E$10:$E$44"),INDIRECT("'"&amp;I$4&amp;"'!$A$10:$A$44"))," ")</f>
        <v xml:space="preserve"> </v>
      </c>
      <c r="J30" s="30" t="str">
        <f t="array" aca="1" ref="J30" ca="1">_xlfn.IFNA(_xlfn.XLOOKUP($A30,INDIRECT("'"&amp;J$4&amp;"'!$E$10:$E$44"),INDIRECT("'"&amp;J$4&amp;"'!$A$10:$A$44"))," ")</f>
        <v xml:space="preserve"> </v>
      </c>
      <c r="K30" s="30" t="str">
        <f t="array" aca="1" ref="K30" ca="1">_xlfn.IFNA(_xlfn.XLOOKUP($A30,INDIRECT("'"&amp;K$4&amp;"'!$E$10:$E$44"),INDIRECT("'"&amp;K$4&amp;"'!$A$10:$A$44"))," ")</f>
        <v xml:space="preserve"> </v>
      </c>
      <c r="L30" s="30" t="str">
        <f t="array" aca="1" ref="L30" ca="1">_xlfn.IFNA(_xlfn.XLOOKUP($A30,INDIRECT("'"&amp;L$4&amp;"'!$E$10:$E$44"),INDIRECT("'"&amp;L$4&amp;"'!$A$10:$A$44"))," ")</f>
        <v xml:space="preserve"> </v>
      </c>
      <c r="M30" s="30" t="str">
        <f t="array" aca="1" ref="M30" ca="1">_xlfn.IFNA(_xlfn.XLOOKUP($A30,INDIRECT("'"&amp;M$4&amp;"'!$E$10:$E$44"),INDIRECT("'"&amp;M$4&amp;"'!$A$10:$A$44"))," ")</f>
        <v xml:space="preserve"> </v>
      </c>
      <c r="N30" s="30" t="str">
        <f t="array" aca="1" ref="N30" ca="1">_xlfn.IFNA(_xlfn.XLOOKUP($A30,INDIRECT("'"&amp;N$4&amp;"'!$E$10:$E$44"),INDIRECT("'"&amp;N$4&amp;"'!$A$10:$A$44"))," ")</f>
        <v xml:space="preserve"> </v>
      </c>
      <c r="O30" s="30" t="str">
        <f t="array" aca="1" ref="O30" ca="1">_xlfn.IFNA(_xlfn.XLOOKUP($A30,INDIRECT("'"&amp;O$4&amp;"'!$E$10:$E$44"),INDIRECT("'"&amp;O$4&amp;"'!$A$10:$A$44"))," ")</f>
        <v xml:space="preserve"> </v>
      </c>
      <c r="P30" s="30" t="str">
        <f t="array" aca="1" ref="P30" ca="1">_xlfn.IFNA(_xlfn.XLOOKUP($A30,INDIRECT("'"&amp;P$4&amp;"'!$E$10:$E$44"),INDIRECT("'"&amp;P$4&amp;"'!$A$10:$A$44"))," ")</f>
        <v xml:space="preserve"> </v>
      </c>
      <c r="Q30" s="30" t="str">
        <f t="array" aca="1" ref="Q30" ca="1">_xlfn.IFNA(_xlfn.XLOOKUP($A30,INDIRECT("'"&amp;Q$4&amp;"'!$E$10:$E$44"),INDIRECT("'"&amp;Q$4&amp;"'!$A$10:$A$44"))," ")</f>
        <v xml:space="preserve"> </v>
      </c>
      <c r="R30" s="30" t="str">
        <f t="array" aca="1" ref="R30" ca="1">_xlfn.IFNA(_xlfn.XLOOKUP($A30,INDIRECT("'"&amp;R$4&amp;"'!$E$10:$E$44"),INDIRECT("'"&amp;R$4&amp;"'!$A$10:$A$44"))," ")</f>
        <v xml:space="preserve"> </v>
      </c>
      <c r="S30" s="30" t="str">
        <f t="array" aca="1" ref="S30" ca="1">_xlfn.IFNA(_xlfn.XLOOKUP($A30,INDIRECT("'"&amp;S$4&amp;"'!$E$10:$E$44"),INDIRECT("'"&amp;S$4&amp;"'!$A$10:$A$44"))," ")</f>
        <v xml:space="preserve"> </v>
      </c>
      <c r="T30" s="30">
        <f ca="1">SUM(Table5[[#This Row],[Week 1]:[Week 18]])</f>
        <v>0</v>
      </c>
      <c r="U30" s="30">
        <f t="shared" ca="1" si="0"/>
        <v>-40</v>
      </c>
      <c r="V30" s="30">
        <f t="shared" ca="1" si="1"/>
        <v>0</v>
      </c>
      <c r="W30" s="30">
        <f t="shared" ca="1" si="2"/>
        <v>0</v>
      </c>
    </row>
    <row r="31" spans="1:23" x14ac:dyDescent="0.3">
      <c r="A31" s="21" t="s">
        <v>21</v>
      </c>
      <c r="B31" s="30" t="str">
        <f t="array" aca="1" ref="B31" ca="1">_xlfn.IFNA(_xlfn.XLOOKUP($A31,INDIRECT("'"&amp;B$4&amp;"'!$E$10:$E$44"),INDIRECT("'"&amp;B$4&amp;"'!$A$10:$A$44"))," ")</f>
        <v xml:space="preserve"> </v>
      </c>
      <c r="C31" s="30" t="str">
        <f t="array" aca="1" ref="C31" ca="1">_xlfn.IFNA(_xlfn.XLOOKUP($A31,INDIRECT("'"&amp;C$4&amp;"'!$E$10:$E$44"),INDIRECT("'"&amp;C$4&amp;"'!$A$10:$A$44"))," ")</f>
        <v/>
      </c>
      <c r="D31" s="30" t="str">
        <f t="array" aca="1" ref="D31" ca="1">_xlfn.IFNA(_xlfn.XLOOKUP($A31,INDIRECT("'"&amp;D$4&amp;"'!$E$10:$E$44"),INDIRECT("'"&amp;D$4&amp;"'!$A$10:$A$44"))," ")</f>
        <v/>
      </c>
      <c r="E31" s="30" t="str">
        <f t="array" aca="1" ref="E31" ca="1">_xlfn.IFNA(_xlfn.XLOOKUP($A31,INDIRECT("'"&amp;E$4&amp;"'!$E$10:$E$44"),INDIRECT("'"&amp;E$4&amp;"'!$A$10:$A$44"))," ")</f>
        <v xml:space="preserve"> </v>
      </c>
      <c r="F31" s="30" t="str">
        <f t="array" aca="1" ref="F31" ca="1">_xlfn.IFNA(_xlfn.XLOOKUP($A31,INDIRECT("'"&amp;F$4&amp;"'!$E$10:$E$44"),INDIRECT("'"&amp;F$4&amp;"'!$A$10:$A$44"))," ")</f>
        <v xml:space="preserve"> </v>
      </c>
      <c r="G31" s="30" t="str">
        <f t="array" aca="1" ref="G31" ca="1">_xlfn.IFNA(_xlfn.XLOOKUP($A31,INDIRECT("'"&amp;G$4&amp;"'!$E$10:$E$44"),INDIRECT("'"&amp;G$4&amp;"'!$A$10:$A$44"))," ")</f>
        <v xml:space="preserve"> </v>
      </c>
      <c r="H31" s="30" t="str">
        <f t="array" aca="1" ref="H31" ca="1">_xlfn.IFNA(_xlfn.XLOOKUP($A31,INDIRECT("'"&amp;H$4&amp;"'!$E$10:$E$44"),INDIRECT("'"&amp;H$4&amp;"'!$A$10:$A$44"))," ")</f>
        <v xml:space="preserve"> </v>
      </c>
      <c r="I31" s="30" t="str">
        <f t="array" aca="1" ref="I31" ca="1">_xlfn.IFNA(_xlfn.XLOOKUP($A31,INDIRECT("'"&amp;I$4&amp;"'!$E$10:$E$44"),INDIRECT("'"&amp;I$4&amp;"'!$A$10:$A$44"))," ")</f>
        <v xml:space="preserve"> </v>
      </c>
      <c r="J31" s="30" t="str">
        <f t="array" aca="1" ref="J31" ca="1">_xlfn.IFNA(_xlfn.XLOOKUP($A31,INDIRECT("'"&amp;J$4&amp;"'!$E$10:$E$44"),INDIRECT("'"&amp;J$4&amp;"'!$A$10:$A$44"))," ")</f>
        <v xml:space="preserve"> </v>
      </c>
      <c r="K31" s="30" t="str">
        <f t="array" aca="1" ref="K31" ca="1">_xlfn.IFNA(_xlfn.XLOOKUP($A31,INDIRECT("'"&amp;K$4&amp;"'!$E$10:$E$44"),INDIRECT("'"&amp;K$4&amp;"'!$A$10:$A$44"))," ")</f>
        <v xml:space="preserve"> </v>
      </c>
      <c r="L31" s="30" t="str">
        <f t="array" aca="1" ref="L31" ca="1">_xlfn.IFNA(_xlfn.XLOOKUP($A31,INDIRECT("'"&amp;L$4&amp;"'!$E$10:$E$44"),INDIRECT("'"&amp;L$4&amp;"'!$A$10:$A$44"))," ")</f>
        <v xml:space="preserve"> </v>
      </c>
      <c r="M31" s="30" t="str">
        <f t="array" aca="1" ref="M31" ca="1">_xlfn.IFNA(_xlfn.XLOOKUP($A31,INDIRECT("'"&amp;M$4&amp;"'!$E$10:$E$44"),INDIRECT("'"&amp;M$4&amp;"'!$A$10:$A$44"))," ")</f>
        <v xml:space="preserve"> </v>
      </c>
      <c r="N31" s="30" t="str">
        <f t="array" aca="1" ref="N31" ca="1">_xlfn.IFNA(_xlfn.XLOOKUP($A31,INDIRECT("'"&amp;N$4&amp;"'!$E$10:$E$44"),INDIRECT("'"&amp;N$4&amp;"'!$A$10:$A$44"))," ")</f>
        <v xml:space="preserve"> </v>
      </c>
      <c r="O31" s="30" t="str">
        <f t="array" aca="1" ref="O31" ca="1">_xlfn.IFNA(_xlfn.XLOOKUP($A31,INDIRECT("'"&amp;O$4&amp;"'!$E$10:$E$44"),INDIRECT("'"&amp;O$4&amp;"'!$A$10:$A$44"))," ")</f>
        <v xml:space="preserve"> </v>
      </c>
      <c r="P31" s="30" t="str">
        <f t="array" aca="1" ref="P31" ca="1">_xlfn.IFNA(_xlfn.XLOOKUP($A31,INDIRECT("'"&amp;P$4&amp;"'!$E$10:$E$44"),INDIRECT("'"&amp;P$4&amp;"'!$A$10:$A$44"))," ")</f>
        <v xml:space="preserve"> </v>
      </c>
      <c r="Q31" s="30" t="str">
        <f t="array" aca="1" ref="Q31" ca="1">_xlfn.IFNA(_xlfn.XLOOKUP($A31,INDIRECT("'"&amp;Q$4&amp;"'!$E$10:$E$44"),INDIRECT("'"&amp;Q$4&amp;"'!$A$10:$A$44"))," ")</f>
        <v xml:space="preserve"> </v>
      </c>
      <c r="R31" s="30" t="str">
        <f t="array" aca="1" ref="R31" ca="1">_xlfn.IFNA(_xlfn.XLOOKUP($A31,INDIRECT("'"&amp;R$4&amp;"'!$E$10:$E$44"),INDIRECT("'"&amp;R$4&amp;"'!$A$10:$A$44"))," ")</f>
        <v xml:space="preserve"> </v>
      </c>
      <c r="S31" s="30" t="str">
        <f t="array" aca="1" ref="S31" ca="1">_xlfn.IFNA(_xlfn.XLOOKUP($A31,INDIRECT("'"&amp;S$4&amp;"'!$E$10:$E$44"),INDIRECT("'"&amp;S$4&amp;"'!$A$10:$A$44"))," ")</f>
        <v xml:space="preserve"> </v>
      </c>
      <c r="T31" s="30">
        <f ca="1">SUM(Table5[[#This Row],[Week 1]:[Week 18]])</f>
        <v>0</v>
      </c>
      <c r="U31" s="30">
        <f t="shared" ca="1" si="0"/>
        <v>-40</v>
      </c>
      <c r="V31" s="30">
        <f t="shared" ca="1" si="1"/>
        <v>0</v>
      </c>
      <c r="W31" s="30">
        <f t="shared" ca="1" si="2"/>
        <v>0</v>
      </c>
    </row>
    <row r="32" spans="1:23" x14ac:dyDescent="0.3">
      <c r="A32" s="21" t="s">
        <v>75</v>
      </c>
      <c r="B32" s="30" t="str">
        <f t="array" aca="1" ref="B32" ca="1">_xlfn.IFNA(_xlfn.XLOOKUP($A32,INDIRECT("'"&amp;B$4&amp;"'!$E$10:$E$44"),INDIRECT("'"&amp;B$4&amp;"'!$A$10:$A$44"))," ")</f>
        <v xml:space="preserve"> </v>
      </c>
      <c r="C32" s="30" t="str">
        <f t="array" aca="1" ref="C32" ca="1">_xlfn.IFNA(_xlfn.XLOOKUP($A32,INDIRECT("'"&amp;C$4&amp;"'!$E$10:$E$44"),INDIRECT("'"&amp;C$4&amp;"'!$A$10:$A$44"))," ")</f>
        <v/>
      </c>
      <c r="D32" s="30" t="str">
        <f t="array" aca="1" ref="D32" ca="1">_xlfn.IFNA(_xlfn.XLOOKUP($A32,INDIRECT("'"&amp;D$4&amp;"'!$E$10:$E$44"),INDIRECT("'"&amp;D$4&amp;"'!$A$10:$A$44"))," ")</f>
        <v/>
      </c>
      <c r="E32" s="30" t="str">
        <f t="array" aca="1" ref="E32" ca="1">_xlfn.IFNA(_xlfn.XLOOKUP($A32,INDIRECT("'"&amp;E$4&amp;"'!$E$10:$E$44"),INDIRECT("'"&amp;E$4&amp;"'!$A$10:$A$44"))," ")</f>
        <v xml:space="preserve"> </v>
      </c>
      <c r="F32" s="30" t="str">
        <f t="array" aca="1" ref="F32" ca="1">_xlfn.IFNA(_xlfn.XLOOKUP($A32,INDIRECT("'"&amp;F$4&amp;"'!$E$10:$E$44"),INDIRECT("'"&amp;F$4&amp;"'!$A$10:$A$44"))," ")</f>
        <v xml:space="preserve"> </v>
      </c>
      <c r="G32" s="30" t="str">
        <f t="array" aca="1" ref="G32" ca="1">_xlfn.IFNA(_xlfn.XLOOKUP($A32,INDIRECT("'"&amp;G$4&amp;"'!$E$10:$E$44"),INDIRECT("'"&amp;G$4&amp;"'!$A$10:$A$44"))," ")</f>
        <v xml:space="preserve"> </v>
      </c>
      <c r="H32" s="30" t="str">
        <f t="array" aca="1" ref="H32" ca="1">_xlfn.IFNA(_xlfn.XLOOKUP($A32,INDIRECT("'"&amp;H$4&amp;"'!$E$10:$E$44"),INDIRECT("'"&amp;H$4&amp;"'!$A$10:$A$44"))," ")</f>
        <v xml:space="preserve"> </v>
      </c>
      <c r="I32" s="30" t="str">
        <f t="array" aca="1" ref="I32" ca="1">_xlfn.IFNA(_xlfn.XLOOKUP($A32,INDIRECT("'"&amp;I$4&amp;"'!$E$10:$E$44"),INDIRECT("'"&amp;I$4&amp;"'!$A$10:$A$44"))," ")</f>
        <v xml:space="preserve"> </v>
      </c>
      <c r="J32" s="30" t="str">
        <f t="array" aca="1" ref="J32" ca="1">_xlfn.IFNA(_xlfn.XLOOKUP($A32,INDIRECT("'"&amp;J$4&amp;"'!$E$10:$E$44"),INDIRECT("'"&amp;J$4&amp;"'!$A$10:$A$44"))," ")</f>
        <v xml:space="preserve"> </v>
      </c>
      <c r="K32" s="30" t="str">
        <f t="array" aca="1" ref="K32" ca="1">_xlfn.IFNA(_xlfn.XLOOKUP($A32,INDIRECT("'"&amp;K$4&amp;"'!$E$10:$E$44"),INDIRECT("'"&amp;K$4&amp;"'!$A$10:$A$44"))," ")</f>
        <v xml:space="preserve"> </v>
      </c>
      <c r="L32" s="30" t="str">
        <f t="array" aca="1" ref="L32" ca="1">_xlfn.IFNA(_xlfn.XLOOKUP($A32,INDIRECT("'"&amp;L$4&amp;"'!$E$10:$E$44"),INDIRECT("'"&amp;L$4&amp;"'!$A$10:$A$44"))," ")</f>
        <v xml:space="preserve"> </v>
      </c>
      <c r="M32" s="30" t="str">
        <f t="array" aca="1" ref="M32" ca="1">_xlfn.IFNA(_xlfn.XLOOKUP($A32,INDIRECT("'"&amp;M$4&amp;"'!$E$10:$E$44"),INDIRECT("'"&amp;M$4&amp;"'!$A$10:$A$44"))," ")</f>
        <v xml:space="preserve"> </v>
      </c>
      <c r="N32" s="30" t="str">
        <f t="array" aca="1" ref="N32" ca="1">_xlfn.IFNA(_xlfn.XLOOKUP($A32,INDIRECT("'"&amp;N$4&amp;"'!$E$10:$E$44"),INDIRECT("'"&amp;N$4&amp;"'!$A$10:$A$44"))," ")</f>
        <v xml:space="preserve"> </v>
      </c>
      <c r="O32" s="30" t="str">
        <f t="array" aca="1" ref="O32" ca="1">_xlfn.IFNA(_xlfn.XLOOKUP($A32,INDIRECT("'"&amp;O$4&amp;"'!$E$10:$E$44"),INDIRECT("'"&amp;O$4&amp;"'!$A$10:$A$44"))," ")</f>
        <v xml:space="preserve"> </v>
      </c>
      <c r="P32" s="30" t="str">
        <f t="array" aca="1" ref="P32" ca="1">_xlfn.IFNA(_xlfn.XLOOKUP($A32,INDIRECT("'"&amp;P$4&amp;"'!$E$10:$E$44"),INDIRECT("'"&amp;P$4&amp;"'!$A$10:$A$44"))," ")</f>
        <v xml:space="preserve"> </v>
      </c>
      <c r="Q32" s="30" t="str">
        <f t="array" aca="1" ref="Q32" ca="1">_xlfn.IFNA(_xlfn.XLOOKUP($A32,INDIRECT("'"&amp;Q$4&amp;"'!$E$10:$E$44"),INDIRECT("'"&amp;Q$4&amp;"'!$A$10:$A$44"))," ")</f>
        <v xml:space="preserve"> </v>
      </c>
      <c r="R32" s="30" t="str">
        <f t="array" aca="1" ref="R32" ca="1">_xlfn.IFNA(_xlfn.XLOOKUP($A32,INDIRECT("'"&amp;R$4&amp;"'!$E$10:$E$44"),INDIRECT("'"&amp;R$4&amp;"'!$A$10:$A$44"))," ")</f>
        <v xml:space="preserve"> </v>
      </c>
      <c r="S32" s="30" t="str">
        <f t="array" aca="1" ref="S32" ca="1">_xlfn.IFNA(_xlfn.XLOOKUP($A32,INDIRECT("'"&amp;S$4&amp;"'!$E$10:$E$44"),INDIRECT("'"&amp;S$4&amp;"'!$A$10:$A$44"))," ")</f>
        <v xml:space="preserve"> </v>
      </c>
      <c r="T32" s="30">
        <f ca="1">SUM(Table5[[#This Row],[Week 1]:[Week 18]])</f>
        <v>0</v>
      </c>
      <c r="U32" s="30">
        <f t="shared" ca="1" si="0"/>
        <v>-40</v>
      </c>
      <c r="V32" s="30">
        <f t="shared" ca="1" si="1"/>
        <v>0</v>
      </c>
      <c r="W32" s="30">
        <f t="shared" ca="1" si="2"/>
        <v>0</v>
      </c>
    </row>
    <row r="33" spans="1:23" x14ac:dyDescent="0.3">
      <c r="A33" s="21" t="s">
        <v>76</v>
      </c>
      <c r="B33" s="30" t="str">
        <f t="array" aca="1" ref="B33" ca="1">_xlfn.IFNA(_xlfn.XLOOKUP($A33,INDIRECT("'"&amp;B$4&amp;"'!$E$10:$E$44"),INDIRECT("'"&amp;B$4&amp;"'!$A$10:$A$44"))," ")</f>
        <v xml:space="preserve"> </v>
      </c>
      <c r="C33" s="30" t="str">
        <f t="array" aca="1" ref="C33" ca="1">_xlfn.IFNA(_xlfn.XLOOKUP($A33,INDIRECT("'"&amp;C$4&amp;"'!$E$10:$E$44"),INDIRECT("'"&amp;C$4&amp;"'!$A$10:$A$44"))," ")</f>
        <v/>
      </c>
      <c r="D33" s="30">
        <f t="array" aca="1" ref="D33" ca="1">_xlfn.IFNA(_xlfn.XLOOKUP($A33,INDIRECT("'"&amp;D$4&amp;"'!$E$10:$E$44"),INDIRECT("'"&amp;D$4&amp;"'!$A$10:$A$44"))," ")</f>
        <v>4.416666666666667</v>
      </c>
      <c r="E33" s="30" t="str">
        <f t="array" aca="1" ref="E33" ca="1">_xlfn.IFNA(_xlfn.XLOOKUP($A33,INDIRECT("'"&amp;E$4&amp;"'!$E$10:$E$44"),INDIRECT("'"&amp;E$4&amp;"'!$A$10:$A$44"))," ")</f>
        <v xml:space="preserve"> </v>
      </c>
      <c r="F33" s="30" t="str">
        <f t="array" aca="1" ref="F33" ca="1">_xlfn.IFNA(_xlfn.XLOOKUP($A33,INDIRECT("'"&amp;F$4&amp;"'!$E$10:$E$44"),INDIRECT("'"&amp;F$4&amp;"'!$A$10:$A$44"))," ")</f>
        <v xml:space="preserve"> </v>
      </c>
      <c r="G33" s="30" t="str">
        <f t="array" aca="1" ref="G33" ca="1">_xlfn.IFNA(_xlfn.XLOOKUP($A33,INDIRECT("'"&amp;G$4&amp;"'!$E$10:$E$44"),INDIRECT("'"&amp;G$4&amp;"'!$A$10:$A$44"))," ")</f>
        <v xml:space="preserve"> </v>
      </c>
      <c r="H33" s="30" t="str">
        <f t="array" aca="1" ref="H33" ca="1">_xlfn.IFNA(_xlfn.XLOOKUP($A33,INDIRECT("'"&amp;H$4&amp;"'!$E$10:$E$44"),INDIRECT("'"&amp;H$4&amp;"'!$A$10:$A$44"))," ")</f>
        <v xml:space="preserve"> </v>
      </c>
      <c r="I33" s="30" t="str">
        <f t="array" aca="1" ref="I33" ca="1">_xlfn.IFNA(_xlfn.XLOOKUP($A33,INDIRECT("'"&amp;I$4&amp;"'!$E$10:$E$44"),INDIRECT("'"&amp;I$4&amp;"'!$A$10:$A$44"))," ")</f>
        <v xml:space="preserve"> </v>
      </c>
      <c r="J33" s="30" t="str">
        <f t="array" aca="1" ref="J33" ca="1">_xlfn.IFNA(_xlfn.XLOOKUP($A33,INDIRECT("'"&amp;J$4&amp;"'!$E$10:$E$44"),INDIRECT("'"&amp;J$4&amp;"'!$A$10:$A$44"))," ")</f>
        <v xml:space="preserve"> </v>
      </c>
      <c r="K33" s="30" t="str">
        <f t="array" aca="1" ref="K33" ca="1">_xlfn.IFNA(_xlfn.XLOOKUP($A33,INDIRECT("'"&amp;K$4&amp;"'!$E$10:$E$44"),INDIRECT("'"&amp;K$4&amp;"'!$A$10:$A$44"))," ")</f>
        <v xml:space="preserve"> </v>
      </c>
      <c r="L33" s="30" t="str">
        <f t="array" aca="1" ref="L33" ca="1">_xlfn.IFNA(_xlfn.XLOOKUP($A33,INDIRECT("'"&amp;L$4&amp;"'!$E$10:$E$44"),INDIRECT("'"&amp;L$4&amp;"'!$A$10:$A$44"))," ")</f>
        <v xml:space="preserve"> </v>
      </c>
      <c r="M33" s="30" t="str">
        <f t="array" aca="1" ref="M33" ca="1">_xlfn.IFNA(_xlfn.XLOOKUP($A33,INDIRECT("'"&amp;M$4&amp;"'!$E$10:$E$44"),INDIRECT("'"&amp;M$4&amp;"'!$A$10:$A$44"))," ")</f>
        <v xml:space="preserve"> </v>
      </c>
      <c r="N33" s="30" t="str">
        <f t="array" aca="1" ref="N33" ca="1">_xlfn.IFNA(_xlfn.XLOOKUP($A33,INDIRECT("'"&amp;N$4&amp;"'!$E$10:$E$44"),INDIRECT("'"&amp;N$4&amp;"'!$A$10:$A$44"))," ")</f>
        <v xml:space="preserve"> </v>
      </c>
      <c r="O33" s="30" t="str">
        <f t="array" aca="1" ref="O33" ca="1">_xlfn.IFNA(_xlfn.XLOOKUP($A33,INDIRECT("'"&amp;O$4&amp;"'!$E$10:$E$44"),INDIRECT("'"&amp;O$4&amp;"'!$A$10:$A$44"))," ")</f>
        <v xml:space="preserve"> </v>
      </c>
      <c r="P33" s="30" t="str">
        <f t="array" aca="1" ref="P33" ca="1">_xlfn.IFNA(_xlfn.XLOOKUP($A33,INDIRECT("'"&amp;P$4&amp;"'!$E$10:$E$44"),INDIRECT("'"&amp;P$4&amp;"'!$A$10:$A$44"))," ")</f>
        <v xml:space="preserve"> </v>
      </c>
      <c r="Q33" s="30" t="str">
        <f t="array" aca="1" ref="Q33" ca="1">_xlfn.IFNA(_xlfn.XLOOKUP($A33,INDIRECT("'"&amp;Q$4&amp;"'!$E$10:$E$44"),INDIRECT("'"&amp;Q$4&amp;"'!$A$10:$A$44"))," ")</f>
        <v xml:space="preserve"> </v>
      </c>
      <c r="R33" s="30" t="str">
        <f t="array" aca="1" ref="R33" ca="1">_xlfn.IFNA(_xlfn.XLOOKUP($A33,INDIRECT("'"&amp;R$4&amp;"'!$E$10:$E$44"),INDIRECT("'"&amp;R$4&amp;"'!$A$10:$A$44"))," ")</f>
        <v xml:space="preserve"> </v>
      </c>
      <c r="S33" s="30" t="str">
        <f t="array" aca="1" ref="S33" ca="1">_xlfn.IFNA(_xlfn.XLOOKUP($A33,INDIRECT("'"&amp;S$4&amp;"'!$E$10:$E$44"),INDIRECT("'"&amp;S$4&amp;"'!$A$10:$A$44"))," ")</f>
        <v xml:space="preserve"> </v>
      </c>
      <c r="T33" s="30">
        <f ca="1">SUM(Table5[[#This Row],[Week 1]:[Week 18]])</f>
        <v>4.416666666666667</v>
      </c>
      <c r="U33" s="30">
        <f t="shared" ca="1" si="0"/>
        <v>-35.583333333333336</v>
      </c>
      <c r="V33" s="30">
        <f t="shared" ca="1" si="1"/>
        <v>4.416666666666667</v>
      </c>
      <c r="W33" s="30">
        <f t="shared" ca="1" si="2"/>
        <v>4.416666666666667</v>
      </c>
    </row>
    <row r="34" spans="1:23" x14ac:dyDescent="0.3">
      <c r="A34" s="21" t="s">
        <v>77</v>
      </c>
      <c r="B34" s="30" t="str">
        <f t="array" aca="1" ref="B34" ca="1">_xlfn.IFNA(_xlfn.XLOOKUP($A34,INDIRECT("'"&amp;B$4&amp;"'!$E$10:$E$44"),INDIRECT("'"&amp;B$4&amp;"'!$A$10:$A$44"))," ")</f>
        <v xml:space="preserve"> </v>
      </c>
      <c r="C34" s="30" t="str">
        <f t="array" aca="1" ref="C34" ca="1">_xlfn.IFNA(_xlfn.XLOOKUP($A34,INDIRECT("'"&amp;C$4&amp;"'!$E$10:$E$44"),INDIRECT("'"&amp;C$4&amp;"'!$A$10:$A$44"))," ")</f>
        <v/>
      </c>
      <c r="D34" s="30" t="str">
        <f t="array" aca="1" ref="D34" ca="1">_xlfn.IFNA(_xlfn.XLOOKUP($A34,INDIRECT("'"&amp;D$4&amp;"'!$E$10:$E$44"),INDIRECT("'"&amp;D$4&amp;"'!$A$10:$A$44"))," ")</f>
        <v/>
      </c>
      <c r="E34" s="30" t="str">
        <f t="array" aca="1" ref="E34" ca="1">_xlfn.IFNA(_xlfn.XLOOKUP($A34,INDIRECT("'"&amp;E$4&amp;"'!$E$10:$E$44"),INDIRECT("'"&amp;E$4&amp;"'!$A$10:$A$44"))," ")</f>
        <v xml:space="preserve"> </v>
      </c>
      <c r="F34" s="30" t="str">
        <f t="array" aca="1" ref="F34" ca="1">_xlfn.IFNA(_xlfn.XLOOKUP($A34,INDIRECT("'"&amp;F$4&amp;"'!$E$10:$E$44"),INDIRECT("'"&amp;F$4&amp;"'!$A$10:$A$44"))," ")</f>
        <v xml:space="preserve"> </v>
      </c>
      <c r="G34" s="30" t="str">
        <f t="array" aca="1" ref="G34" ca="1">_xlfn.IFNA(_xlfn.XLOOKUP($A34,INDIRECT("'"&amp;G$4&amp;"'!$E$10:$E$44"),INDIRECT("'"&amp;G$4&amp;"'!$A$10:$A$44"))," ")</f>
        <v xml:space="preserve"> </v>
      </c>
      <c r="H34" s="30" t="str">
        <f t="array" aca="1" ref="H34" ca="1">_xlfn.IFNA(_xlfn.XLOOKUP($A34,INDIRECT("'"&amp;H$4&amp;"'!$E$10:$E$44"),INDIRECT("'"&amp;H$4&amp;"'!$A$10:$A$44"))," ")</f>
        <v xml:space="preserve"> </v>
      </c>
      <c r="I34" s="30" t="str">
        <f t="array" aca="1" ref="I34" ca="1">_xlfn.IFNA(_xlfn.XLOOKUP($A34,INDIRECT("'"&amp;I$4&amp;"'!$E$10:$E$44"),INDIRECT("'"&amp;I$4&amp;"'!$A$10:$A$44"))," ")</f>
        <v xml:space="preserve"> </v>
      </c>
      <c r="J34" s="30" t="str">
        <f t="array" aca="1" ref="J34" ca="1">_xlfn.IFNA(_xlfn.XLOOKUP($A34,INDIRECT("'"&amp;J$4&amp;"'!$E$10:$E$44"),INDIRECT("'"&amp;J$4&amp;"'!$A$10:$A$44"))," ")</f>
        <v xml:space="preserve"> </v>
      </c>
      <c r="K34" s="30" t="str">
        <f t="array" aca="1" ref="K34" ca="1">_xlfn.IFNA(_xlfn.XLOOKUP($A34,INDIRECT("'"&amp;K$4&amp;"'!$E$10:$E$44"),INDIRECT("'"&amp;K$4&amp;"'!$A$10:$A$44"))," ")</f>
        <v xml:space="preserve"> </v>
      </c>
      <c r="L34" s="30" t="str">
        <f t="array" aca="1" ref="L34" ca="1">_xlfn.IFNA(_xlfn.XLOOKUP($A34,INDIRECT("'"&amp;L$4&amp;"'!$E$10:$E$44"),INDIRECT("'"&amp;L$4&amp;"'!$A$10:$A$44"))," ")</f>
        <v xml:space="preserve"> </v>
      </c>
      <c r="M34" s="30" t="str">
        <f t="array" aca="1" ref="M34" ca="1">_xlfn.IFNA(_xlfn.XLOOKUP($A34,INDIRECT("'"&amp;M$4&amp;"'!$E$10:$E$44"),INDIRECT("'"&amp;M$4&amp;"'!$A$10:$A$44"))," ")</f>
        <v xml:space="preserve"> </v>
      </c>
      <c r="N34" s="30" t="str">
        <f t="array" aca="1" ref="N34" ca="1">_xlfn.IFNA(_xlfn.XLOOKUP($A34,INDIRECT("'"&amp;N$4&amp;"'!$E$10:$E$44"),INDIRECT("'"&amp;N$4&amp;"'!$A$10:$A$44"))," ")</f>
        <v xml:space="preserve"> </v>
      </c>
      <c r="O34" s="30" t="str">
        <f t="array" aca="1" ref="O34" ca="1">_xlfn.IFNA(_xlfn.XLOOKUP($A34,INDIRECT("'"&amp;O$4&amp;"'!$E$10:$E$44"),INDIRECT("'"&amp;O$4&amp;"'!$A$10:$A$44"))," ")</f>
        <v xml:space="preserve"> </v>
      </c>
      <c r="P34" s="30" t="str">
        <f t="array" aca="1" ref="P34" ca="1">_xlfn.IFNA(_xlfn.XLOOKUP($A34,INDIRECT("'"&amp;P$4&amp;"'!$E$10:$E$44"),INDIRECT("'"&amp;P$4&amp;"'!$A$10:$A$44"))," ")</f>
        <v xml:space="preserve"> </v>
      </c>
      <c r="Q34" s="30" t="str">
        <f t="array" aca="1" ref="Q34" ca="1">_xlfn.IFNA(_xlfn.XLOOKUP($A34,INDIRECT("'"&amp;Q$4&amp;"'!$E$10:$E$44"),INDIRECT("'"&amp;Q$4&amp;"'!$A$10:$A$44"))," ")</f>
        <v xml:space="preserve"> </v>
      </c>
      <c r="R34" s="30" t="str">
        <f t="array" aca="1" ref="R34" ca="1">_xlfn.IFNA(_xlfn.XLOOKUP($A34,INDIRECT("'"&amp;R$4&amp;"'!$E$10:$E$44"),INDIRECT("'"&amp;R$4&amp;"'!$A$10:$A$44"))," ")</f>
        <v xml:space="preserve"> </v>
      </c>
      <c r="S34" s="30" t="str">
        <f t="array" aca="1" ref="S34" ca="1">_xlfn.IFNA(_xlfn.XLOOKUP($A34,INDIRECT("'"&amp;S$4&amp;"'!$E$10:$E$44"),INDIRECT("'"&amp;S$4&amp;"'!$A$10:$A$44"))," ")</f>
        <v xml:space="preserve"> </v>
      </c>
      <c r="T34" s="30">
        <f ca="1">SUM(Table5[[#This Row],[Week 1]:[Week 18]])</f>
        <v>0</v>
      </c>
      <c r="U34" s="30">
        <f t="shared" ca="1" si="0"/>
        <v>-40</v>
      </c>
      <c r="V34" s="30">
        <f t="shared" ca="1" si="1"/>
        <v>0</v>
      </c>
      <c r="W34" s="30">
        <f t="shared" ca="1" si="2"/>
        <v>0</v>
      </c>
    </row>
    <row r="35" spans="1:23" x14ac:dyDescent="0.3">
      <c r="A35" s="21" t="s">
        <v>78</v>
      </c>
      <c r="B35" s="30" t="str">
        <f t="array" aca="1" ref="B35" ca="1">_xlfn.IFNA(_xlfn.XLOOKUP($A35,INDIRECT("'"&amp;B$4&amp;"'!$E$10:$E$44"),INDIRECT("'"&amp;B$4&amp;"'!$A$10:$A$44"))," ")</f>
        <v xml:space="preserve"> </v>
      </c>
      <c r="C35" s="30" t="str">
        <f t="array" aca="1" ref="C35" ca="1">_xlfn.IFNA(_xlfn.XLOOKUP($A35,INDIRECT("'"&amp;C$4&amp;"'!$E$10:$E$44"),INDIRECT("'"&amp;C$4&amp;"'!$A$10:$A$44"))," ")</f>
        <v/>
      </c>
      <c r="D35" s="30">
        <f t="array" aca="1" ref="D35" ca="1">_xlfn.IFNA(_xlfn.XLOOKUP($A35,INDIRECT("'"&amp;D$4&amp;"'!$E$10:$E$44"),INDIRECT("'"&amp;D$4&amp;"'!$A$10:$A$44"))," ")</f>
        <v>4.416666666666667</v>
      </c>
      <c r="E35" s="30" t="str">
        <f t="array" aca="1" ref="E35" ca="1">_xlfn.IFNA(_xlfn.XLOOKUP($A35,INDIRECT("'"&amp;E$4&amp;"'!$E$10:$E$44"),INDIRECT("'"&amp;E$4&amp;"'!$A$10:$A$44"))," ")</f>
        <v xml:space="preserve"> </v>
      </c>
      <c r="F35" s="30" t="str">
        <f t="array" aca="1" ref="F35" ca="1">_xlfn.IFNA(_xlfn.XLOOKUP($A35,INDIRECT("'"&amp;F$4&amp;"'!$E$10:$E$44"),INDIRECT("'"&amp;F$4&amp;"'!$A$10:$A$44"))," ")</f>
        <v xml:space="preserve"> </v>
      </c>
      <c r="G35" s="30" t="str">
        <f t="array" aca="1" ref="G35" ca="1">_xlfn.IFNA(_xlfn.XLOOKUP($A35,INDIRECT("'"&amp;G$4&amp;"'!$E$10:$E$44"),INDIRECT("'"&amp;G$4&amp;"'!$A$10:$A$44"))," ")</f>
        <v xml:space="preserve"> </v>
      </c>
      <c r="H35" s="30" t="str">
        <f t="array" aca="1" ref="H35" ca="1">_xlfn.IFNA(_xlfn.XLOOKUP($A35,INDIRECT("'"&amp;H$4&amp;"'!$E$10:$E$44"),INDIRECT("'"&amp;H$4&amp;"'!$A$10:$A$44"))," ")</f>
        <v xml:space="preserve"> </v>
      </c>
      <c r="I35" s="30" t="str">
        <f t="array" aca="1" ref="I35" ca="1">_xlfn.IFNA(_xlfn.XLOOKUP($A35,INDIRECT("'"&amp;I$4&amp;"'!$E$10:$E$44"),INDIRECT("'"&amp;I$4&amp;"'!$A$10:$A$44"))," ")</f>
        <v xml:space="preserve"> </v>
      </c>
      <c r="J35" s="30" t="str">
        <f t="array" aca="1" ref="J35" ca="1">_xlfn.IFNA(_xlfn.XLOOKUP($A35,INDIRECT("'"&amp;J$4&amp;"'!$E$10:$E$44"),INDIRECT("'"&amp;J$4&amp;"'!$A$10:$A$44"))," ")</f>
        <v xml:space="preserve"> </v>
      </c>
      <c r="K35" s="30" t="str">
        <f t="array" aca="1" ref="K35" ca="1">_xlfn.IFNA(_xlfn.XLOOKUP($A35,INDIRECT("'"&amp;K$4&amp;"'!$E$10:$E$44"),INDIRECT("'"&amp;K$4&amp;"'!$A$10:$A$44"))," ")</f>
        <v xml:space="preserve"> </v>
      </c>
      <c r="L35" s="30" t="str">
        <f t="array" aca="1" ref="L35" ca="1">_xlfn.IFNA(_xlfn.XLOOKUP($A35,INDIRECT("'"&amp;L$4&amp;"'!$E$10:$E$44"),INDIRECT("'"&amp;L$4&amp;"'!$A$10:$A$44"))," ")</f>
        <v xml:space="preserve"> </v>
      </c>
      <c r="M35" s="30" t="str">
        <f t="array" aca="1" ref="M35" ca="1">_xlfn.IFNA(_xlfn.XLOOKUP($A35,INDIRECT("'"&amp;M$4&amp;"'!$E$10:$E$44"),INDIRECT("'"&amp;M$4&amp;"'!$A$10:$A$44"))," ")</f>
        <v xml:space="preserve"> </v>
      </c>
      <c r="N35" s="30" t="str">
        <f t="array" aca="1" ref="N35" ca="1">_xlfn.IFNA(_xlfn.XLOOKUP($A35,INDIRECT("'"&amp;N$4&amp;"'!$E$10:$E$44"),INDIRECT("'"&amp;N$4&amp;"'!$A$10:$A$44"))," ")</f>
        <v xml:space="preserve"> </v>
      </c>
      <c r="O35" s="30" t="str">
        <f t="array" aca="1" ref="O35" ca="1">_xlfn.IFNA(_xlfn.XLOOKUP($A35,INDIRECT("'"&amp;O$4&amp;"'!$E$10:$E$44"),INDIRECT("'"&amp;O$4&amp;"'!$A$10:$A$44"))," ")</f>
        <v xml:space="preserve"> </v>
      </c>
      <c r="P35" s="30" t="str">
        <f t="array" aca="1" ref="P35" ca="1">_xlfn.IFNA(_xlfn.XLOOKUP($A35,INDIRECT("'"&amp;P$4&amp;"'!$E$10:$E$44"),INDIRECT("'"&amp;P$4&amp;"'!$A$10:$A$44"))," ")</f>
        <v xml:space="preserve"> </v>
      </c>
      <c r="Q35" s="30" t="str">
        <f t="array" aca="1" ref="Q35" ca="1">_xlfn.IFNA(_xlfn.XLOOKUP($A35,INDIRECT("'"&amp;Q$4&amp;"'!$E$10:$E$44"),INDIRECT("'"&amp;Q$4&amp;"'!$A$10:$A$44"))," ")</f>
        <v xml:space="preserve"> </v>
      </c>
      <c r="R35" s="30" t="str">
        <f t="array" aca="1" ref="R35" ca="1">_xlfn.IFNA(_xlfn.XLOOKUP($A35,INDIRECT("'"&amp;R$4&amp;"'!$E$10:$E$44"),INDIRECT("'"&amp;R$4&amp;"'!$A$10:$A$44"))," ")</f>
        <v xml:space="preserve"> </v>
      </c>
      <c r="S35" s="30" t="str">
        <f t="array" aca="1" ref="S35" ca="1">_xlfn.IFNA(_xlfn.XLOOKUP($A35,INDIRECT("'"&amp;S$4&amp;"'!$E$10:$E$44"),INDIRECT("'"&amp;S$4&amp;"'!$A$10:$A$44"))," ")</f>
        <v xml:space="preserve"> </v>
      </c>
      <c r="T35" s="30">
        <f ca="1">SUM(Table5[[#This Row],[Week 1]:[Week 18]])</f>
        <v>4.416666666666667</v>
      </c>
      <c r="U35" s="30">
        <f t="shared" ca="1" si="0"/>
        <v>-35.583333333333336</v>
      </c>
      <c r="V35" s="30">
        <f t="shared" ca="1" si="1"/>
        <v>4.416666666666667</v>
      </c>
      <c r="W35" s="30">
        <f t="shared" ca="1" si="2"/>
        <v>4.416666666666667</v>
      </c>
    </row>
    <row r="36" spans="1:23" x14ac:dyDescent="0.3">
      <c r="A36" s="21" t="s">
        <v>79</v>
      </c>
      <c r="B36" s="30" t="str">
        <f t="array" aca="1" ref="B36" ca="1">_xlfn.IFNA(_xlfn.XLOOKUP($A36,INDIRECT("'"&amp;B$4&amp;"'!$E$10:$E$44"),INDIRECT("'"&amp;B$4&amp;"'!$A$10:$A$44"))," ")</f>
        <v xml:space="preserve"> </v>
      </c>
      <c r="C36" s="30" t="str">
        <f t="array" aca="1" ref="C36" ca="1">_xlfn.IFNA(_xlfn.XLOOKUP($A36,INDIRECT("'"&amp;C$4&amp;"'!$E$10:$E$44"),INDIRECT("'"&amp;C$4&amp;"'!$A$10:$A$44"))," ")</f>
        <v/>
      </c>
      <c r="D36" s="30" t="str">
        <f t="array" aca="1" ref="D36" ca="1">_xlfn.IFNA(_xlfn.XLOOKUP($A36,INDIRECT("'"&amp;D$4&amp;"'!$E$10:$E$44"),INDIRECT("'"&amp;D$4&amp;"'!$A$10:$A$44"))," ")</f>
        <v/>
      </c>
      <c r="E36" s="30" t="str">
        <f t="array" aca="1" ref="E36" ca="1">_xlfn.IFNA(_xlfn.XLOOKUP($A36,INDIRECT("'"&amp;E$4&amp;"'!$E$10:$E$44"),INDIRECT("'"&amp;E$4&amp;"'!$A$10:$A$44"))," ")</f>
        <v xml:space="preserve"> </v>
      </c>
      <c r="F36" s="30" t="str">
        <f t="array" aca="1" ref="F36" ca="1">_xlfn.IFNA(_xlfn.XLOOKUP($A36,INDIRECT("'"&amp;F$4&amp;"'!$E$10:$E$44"),INDIRECT("'"&amp;F$4&amp;"'!$A$10:$A$44"))," ")</f>
        <v xml:space="preserve"> </v>
      </c>
      <c r="G36" s="30" t="str">
        <f t="array" aca="1" ref="G36" ca="1">_xlfn.IFNA(_xlfn.XLOOKUP($A36,INDIRECT("'"&amp;G$4&amp;"'!$E$10:$E$44"),INDIRECT("'"&amp;G$4&amp;"'!$A$10:$A$44"))," ")</f>
        <v xml:space="preserve"> </v>
      </c>
      <c r="H36" s="30" t="str">
        <f t="array" aca="1" ref="H36" ca="1">_xlfn.IFNA(_xlfn.XLOOKUP($A36,INDIRECT("'"&amp;H$4&amp;"'!$E$10:$E$44"),INDIRECT("'"&amp;H$4&amp;"'!$A$10:$A$44"))," ")</f>
        <v xml:space="preserve"> </v>
      </c>
      <c r="I36" s="30" t="str">
        <f t="array" aca="1" ref="I36" ca="1">_xlfn.IFNA(_xlfn.XLOOKUP($A36,INDIRECT("'"&amp;I$4&amp;"'!$E$10:$E$44"),INDIRECT("'"&amp;I$4&amp;"'!$A$10:$A$44"))," ")</f>
        <v xml:space="preserve"> </v>
      </c>
      <c r="J36" s="30" t="str">
        <f t="array" aca="1" ref="J36" ca="1">_xlfn.IFNA(_xlfn.XLOOKUP($A36,INDIRECT("'"&amp;J$4&amp;"'!$E$10:$E$44"),INDIRECT("'"&amp;J$4&amp;"'!$A$10:$A$44"))," ")</f>
        <v xml:space="preserve"> </v>
      </c>
      <c r="K36" s="30" t="str">
        <f t="array" aca="1" ref="K36" ca="1">_xlfn.IFNA(_xlfn.XLOOKUP($A36,INDIRECT("'"&amp;K$4&amp;"'!$E$10:$E$44"),INDIRECT("'"&amp;K$4&amp;"'!$A$10:$A$44"))," ")</f>
        <v xml:space="preserve"> </v>
      </c>
      <c r="L36" s="30" t="str">
        <f t="array" aca="1" ref="L36" ca="1">_xlfn.IFNA(_xlfn.XLOOKUP($A36,INDIRECT("'"&amp;L$4&amp;"'!$E$10:$E$44"),INDIRECT("'"&amp;L$4&amp;"'!$A$10:$A$44"))," ")</f>
        <v xml:space="preserve"> </v>
      </c>
      <c r="M36" s="30" t="str">
        <f t="array" aca="1" ref="M36" ca="1">_xlfn.IFNA(_xlfn.XLOOKUP($A36,INDIRECT("'"&amp;M$4&amp;"'!$E$10:$E$44"),INDIRECT("'"&amp;M$4&amp;"'!$A$10:$A$44"))," ")</f>
        <v xml:space="preserve"> </v>
      </c>
      <c r="N36" s="30" t="str">
        <f t="array" aca="1" ref="N36" ca="1">_xlfn.IFNA(_xlfn.XLOOKUP($A36,INDIRECT("'"&amp;N$4&amp;"'!$E$10:$E$44"),INDIRECT("'"&amp;N$4&amp;"'!$A$10:$A$44"))," ")</f>
        <v xml:space="preserve"> </v>
      </c>
      <c r="O36" s="30" t="str">
        <f t="array" aca="1" ref="O36" ca="1">_xlfn.IFNA(_xlfn.XLOOKUP($A36,INDIRECT("'"&amp;O$4&amp;"'!$E$10:$E$44"),INDIRECT("'"&amp;O$4&amp;"'!$A$10:$A$44"))," ")</f>
        <v xml:space="preserve"> </v>
      </c>
      <c r="P36" s="30" t="str">
        <f t="array" aca="1" ref="P36" ca="1">_xlfn.IFNA(_xlfn.XLOOKUP($A36,INDIRECT("'"&amp;P$4&amp;"'!$E$10:$E$44"),INDIRECT("'"&amp;P$4&amp;"'!$A$10:$A$44"))," ")</f>
        <v xml:space="preserve"> </v>
      </c>
      <c r="Q36" s="30" t="str">
        <f t="array" aca="1" ref="Q36" ca="1">_xlfn.IFNA(_xlfn.XLOOKUP($A36,INDIRECT("'"&amp;Q$4&amp;"'!$E$10:$E$44"),INDIRECT("'"&amp;Q$4&amp;"'!$A$10:$A$44"))," ")</f>
        <v xml:space="preserve"> </v>
      </c>
      <c r="R36" s="30" t="str">
        <f t="array" aca="1" ref="R36" ca="1">_xlfn.IFNA(_xlfn.XLOOKUP($A36,INDIRECT("'"&amp;R$4&amp;"'!$E$10:$E$44"),INDIRECT("'"&amp;R$4&amp;"'!$A$10:$A$44"))," ")</f>
        <v xml:space="preserve"> </v>
      </c>
      <c r="S36" s="30" t="str">
        <f t="array" aca="1" ref="S36" ca="1">_xlfn.IFNA(_xlfn.XLOOKUP($A36,INDIRECT("'"&amp;S$4&amp;"'!$E$10:$E$44"),INDIRECT("'"&amp;S$4&amp;"'!$A$10:$A$44"))," ")</f>
        <v xml:space="preserve"> </v>
      </c>
      <c r="T36" s="30">
        <f ca="1">SUM(Table5[[#This Row],[Week 1]:[Week 18]])</f>
        <v>0</v>
      </c>
      <c r="U36" s="30">
        <f t="shared" ca="1" si="0"/>
        <v>-40</v>
      </c>
      <c r="V36" s="30">
        <f t="shared" ca="1" si="1"/>
        <v>0</v>
      </c>
      <c r="W36" s="30">
        <f t="shared" ca="1" si="2"/>
        <v>0</v>
      </c>
    </row>
    <row r="37" spans="1:23" x14ac:dyDescent="0.3">
      <c r="A37" s="21" t="s">
        <v>20</v>
      </c>
      <c r="B37" s="30" t="str">
        <f t="array" aca="1" ref="B37" ca="1">_xlfn.IFNA(_xlfn.XLOOKUP($A37,INDIRECT("'"&amp;B$4&amp;"'!$E$10:$E$44"),INDIRECT("'"&amp;B$4&amp;"'!$A$10:$A$44"))," ")</f>
        <v xml:space="preserve"> </v>
      </c>
      <c r="C37" s="30" t="str">
        <f t="array" aca="1" ref="C37" ca="1">_xlfn.IFNA(_xlfn.XLOOKUP($A37,INDIRECT("'"&amp;C$4&amp;"'!$E$10:$E$44"),INDIRECT("'"&amp;C$4&amp;"'!$A$10:$A$44"))," ")</f>
        <v/>
      </c>
      <c r="D37" s="30" t="str">
        <f t="array" aca="1" ref="D37" ca="1">_xlfn.IFNA(_xlfn.XLOOKUP($A37,INDIRECT("'"&amp;D$4&amp;"'!$E$10:$E$44"),INDIRECT("'"&amp;D$4&amp;"'!$A$10:$A$44"))," ")</f>
        <v/>
      </c>
      <c r="E37" s="30" t="str">
        <f t="array" aca="1" ref="E37" ca="1">_xlfn.IFNA(_xlfn.XLOOKUP($A37,INDIRECT("'"&amp;E$4&amp;"'!$E$10:$E$44"),INDIRECT("'"&amp;E$4&amp;"'!$A$10:$A$44"))," ")</f>
        <v xml:space="preserve"> </v>
      </c>
      <c r="F37" s="30" t="str">
        <f t="array" aca="1" ref="F37" ca="1">_xlfn.IFNA(_xlfn.XLOOKUP($A37,INDIRECT("'"&amp;F$4&amp;"'!$E$10:$E$44"),INDIRECT("'"&amp;F$4&amp;"'!$A$10:$A$44"))," ")</f>
        <v xml:space="preserve"> </v>
      </c>
      <c r="G37" s="30" t="str">
        <f t="array" aca="1" ref="G37" ca="1">_xlfn.IFNA(_xlfn.XLOOKUP($A37,INDIRECT("'"&amp;G$4&amp;"'!$E$10:$E$44"),INDIRECT("'"&amp;G$4&amp;"'!$A$10:$A$44"))," ")</f>
        <v xml:space="preserve"> </v>
      </c>
      <c r="H37" s="30" t="str">
        <f t="array" aca="1" ref="H37" ca="1">_xlfn.IFNA(_xlfn.XLOOKUP($A37,INDIRECT("'"&amp;H$4&amp;"'!$E$10:$E$44"),INDIRECT("'"&amp;H$4&amp;"'!$A$10:$A$44"))," ")</f>
        <v xml:space="preserve"> </v>
      </c>
      <c r="I37" s="30" t="str">
        <f t="array" aca="1" ref="I37" ca="1">_xlfn.IFNA(_xlfn.XLOOKUP($A37,INDIRECT("'"&amp;I$4&amp;"'!$E$10:$E$44"),INDIRECT("'"&amp;I$4&amp;"'!$A$10:$A$44"))," ")</f>
        <v xml:space="preserve"> </v>
      </c>
      <c r="J37" s="30" t="str">
        <f t="array" aca="1" ref="J37" ca="1">_xlfn.IFNA(_xlfn.XLOOKUP($A37,INDIRECT("'"&amp;J$4&amp;"'!$E$10:$E$44"),INDIRECT("'"&amp;J$4&amp;"'!$A$10:$A$44"))," ")</f>
        <v xml:space="preserve"> </v>
      </c>
      <c r="K37" s="30" t="str">
        <f t="array" aca="1" ref="K37" ca="1">_xlfn.IFNA(_xlfn.XLOOKUP($A37,INDIRECT("'"&amp;K$4&amp;"'!$E$10:$E$44"),INDIRECT("'"&amp;K$4&amp;"'!$A$10:$A$44"))," ")</f>
        <v xml:space="preserve"> </v>
      </c>
      <c r="L37" s="30" t="str">
        <f t="array" aca="1" ref="L37" ca="1">_xlfn.IFNA(_xlfn.XLOOKUP($A37,INDIRECT("'"&amp;L$4&amp;"'!$E$10:$E$44"),INDIRECT("'"&amp;L$4&amp;"'!$A$10:$A$44"))," ")</f>
        <v xml:space="preserve"> </v>
      </c>
      <c r="M37" s="30" t="str">
        <f t="array" aca="1" ref="M37" ca="1">_xlfn.IFNA(_xlfn.XLOOKUP($A37,INDIRECT("'"&amp;M$4&amp;"'!$E$10:$E$44"),INDIRECT("'"&amp;M$4&amp;"'!$A$10:$A$44"))," ")</f>
        <v xml:space="preserve"> </v>
      </c>
      <c r="N37" s="30" t="str">
        <f t="array" aca="1" ref="N37" ca="1">_xlfn.IFNA(_xlfn.XLOOKUP($A37,INDIRECT("'"&amp;N$4&amp;"'!$E$10:$E$44"),INDIRECT("'"&amp;N$4&amp;"'!$A$10:$A$44"))," ")</f>
        <v xml:space="preserve"> </v>
      </c>
      <c r="O37" s="30" t="str">
        <f t="array" aca="1" ref="O37" ca="1">_xlfn.IFNA(_xlfn.XLOOKUP($A37,INDIRECT("'"&amp;O$4&amp;"'!$E$10:$E$44"),INDIRECT("'"&amp;O$4&amp;"'!$A$10:$A$44"))," ")</f>
        <v xml:space="preserve"> </v>
      </c>
      <c r="P37" s="30" t="str">
        <f t="array" aca="1" ref="P37" ca="1">_xlfn.IFNA(_xlfn.XLOOKUP($A37,INDIRECT("'"&amp;P$4&amp;"'!$E$10:$E$44"),INDIRECT("'"&amp;P$4&amp;"'!$A$10:$A$44"))," ")</f>
        <v xml:space="preserve"> </v>
      </c>
      <c r="Q37" s="30" t="str">
        <f t="array" aca="1" ref="Q37" ca="1">_xlfn.IFNA(_xlfn.XLOOKUP($A37,INDIRECT("'"&amp;Q$4&amp;"'!$E$10:$E$44"),INDIRECT("'"&amp;Q$4&amp;"'!$A$10:$A$44"))," ")</f>
        <v xml:space="preserve"> </v>
      </c>
      <c r="R37" s="30" t="str">
        <f t="array" aca="1" ref="R37" ca="1">_xlfn.IFNA(_xlfn.XLOOKUP($A37,INDIRECT("'"&amp;R$4&amp;"'!$E$10:$E$44"),INDIRECT("'"&amp;R$4&amp;"'!$A$10:$A$44"))," ")</f>
        <v xml:space="preserve"> </v>
      </c>
      <c r="S37" s="30" t="str">
        <f t="array" aca="1" ref="S37" ca="1">_xlfn.IFNA(_xlfn.XLOOKUP($A37,INDIRECT("'"&amp;S$4&amp;"'!$E$10:$E$44"),INDIRECT("'"&amp;S$4&amp;"'!$A$10:$A$44"))," ")</f>
        <v xml:space="preserve"> </v>
      </c>
      <c r="T37" s="30">
        <f ca="1">SUM(Table5[[#This Row],[Week 1]:[Week 18]])</f>
        <v>0</v>
      </c>
      <c r="U37" s="30">
        <f t="shared" ca="1" si="0"/>
        <v>-40</v>
      </c>
      <c r="V37" s="30">
        <f t="shared" ca="1" si="1"/>
        <v>0</v>
      </c>
      <c r="W37" s="30">
        <f t="shared" ca="1" si="2"/>
        <v>0</v>
      </c>
    </row>
    <row r="38" spans="1:23" x14ac:dyDescent="0.3">
      <c r="A38" s="21" t="s">
        <v>80</v>
      </c>
      <c r="B38" s="30" t="str">
        <f t="array" aca="1" ref="B38" ca="1">_xlfn.IFNA(_xlfn.XLOOKUP($A38,INDIRECT("'"&amp;B$4&amp;"'!$E$10:$E$44"),INDIRECT("'"&amp;B$4&amp;"'!$A$10:$A$44"))," ")</f>
        <v xml:space="preserve"> </v>
      </c>
      <c r="C38" s="30">
        <f t="array" aca="1" ref="C38" ca="1">_xlfn.IFNA(_xlfn.XLOOKUP($A38,INDIRECT("'"&amp;C$4&amp;"'!$E$10:$E$44"),INDIRECT("'"&amp;C$4&amp;"'!$A$10:$A$44"))," ")</f>
        <v>75.5</v>
      </c>
      <c r="D38" s="30" t="str">
        <f t="array" aca="1" ref="D38" ca="1">_xlfn.IFNA(_xlfn.XLOOKUP($A38,INDIRECT("'"&amp;D$4&amp;"'!$E$10:$E$44"),INDIRECT("'"&amp;D$4&amp;"'!$A$10:$A$44"))," ")</f>
        <v/>
      </c>
      <c r="E38" s="30" t="str">
        <f t="array" aca="1" ref="E38" ca="1">_xlfn.IFNA(_xlfn.XLOOKUP($A38,INDIRECT("'"&amp;E$4&amp;"'!$E$10:$E$44"),INDIRECT("'"&amp;E$4&amp;"'!$A$10:$A$44"))," ")</f>
        <v xml:space="preserve"> </v>
      </c>
      <c r="F38" s="30" t="str">
        <f t="array" aca="1" ref="F38" ca="1">_xlfn.IFNA(_xlfn.XLOOKUP($A38,INDIRECT("'"&amp;F$4&amp;"'!$E$10:$E$44"),INDIRECT("'"&amp;F$4&amp;"'!$A$10:$A$44"))," ")</f>
        <v xml:space="preserve"> </v>
      </c>
      <c r="G38" s="30" t="str">
        <f t="array" aca="1" ref="G38" ca="1">_xlfn.IFNA(_xlfn.XLOOKUP($A38,INDIRECT("'"&amp;G$4&amp;"'!$E$10:$E$44"),INDIRECT("'"&amp;G$4&amp;"'!$A$10:$A$44"))," ")</f>
        <v xml:space="preserve"> </v>
      </c>
      <c r="H38" s="30" t="str">
        <f t="array" aca="1" ref="H38" ca="1">_xlfn.IFNA(_xlfn.XLOOKUP($A38,INDIRECT("'"&amp;H$4&amp;"'!$E$10:$E$44"),INDIRECT("'"&amp;H$4&amp;"'!$A$10:$A$44"))," ")</f>
        <v xml:space="preserve"> </v>
      </c>
      <c r="I38" s="30" t="str">
        <f t="array" aca="1" ref="I38" ca="1">_xlfn.IFNA(_xlfn.XLOOKUP($A38,INDIRECT("'"&amp;I$4&amp;"'!$E$10:$E$44"),INDIRECT("'"&amp;I$4&amp;"'!$A$10:$A$44"))," ")</f>
        <v xml:space="preserve"> </v>
      </c>
      <c r="J38" s="30" t="str">
        <f t="array" aca="1" ref="J38" ca="1">_xlfn.IFNA(_xlfn.XLOOKUP($A38,INDIRECT("'"&amp;J$4&amp;"'!$E$10:$E$44"),INDIRECT("'"&amp;J$4&amp;"'!$A$10:$A$44"))," ")</f>
        <v xml:space="preserve"> </v>
      </c>
      <c r="K38" s="30" t="str">
        <f t="array" aca="1" ref="K38" ca="1">_xlfn.IFNA(_xlfn.XLOOKUP($A38,INDIRECT("'"&amp;K$4&amp;"'!$E$10:$E$44"),INDIRECT("'"&amp;K$4&amp;"'!$A$10:$A$44"))," ")</f>
        <v xml:space="preserve"> </v>
      </c>
      <c r="L38" s="30" t="str">
        <f t="array" aca="1" ref="L38" ca="1">_xlfn.IFNA(_xlfn.XLOOKUP($A38,INDIRECT("'"&amp;L$4&amp;"'!$E$10:$E$44"),INDIRECT("'"&amp;L$4&amp;"'!$A$10:$A$44"))," ")</f>
        <v xml:space="preserve"> </v>
      </c>
      <c r="M38" s="30" t="str">
        <f t="array" aca="1" ref="M38" ca="1">_xlfn.IFNA(_xlfn.XLOOKUP($A38,INDIRECT("'"&amp;M$4&amp;"'!$E$10:$E$44"),INDIRECT("'"&amp;M$4&amp;"'!$A$10:$A$44"))," ")</f>
        <v xml:space="preserve"> </v>
      </c>
      <c r="N38" s="30" t="str">
        <f t="array" aca="1" ref="N38" ca="1">_xlfn.IFNA(_xlfn.XLOOKUP($A38,INDIRECT("'"&amp;N$4&amp;"'!$E$10:$E$44"),INDIRECT("'"&amp;N$4&amp;"'!$A$10:$A$44"))," ")</f>
        <v xml:space="preserve"> </v>
      </c>
      <c r="O38" s="30" t="str">
        <f t="array" aca="1" ref="O38" ca="1">_xlfn.IFNA(_xlfn.XLOOKUP($A38,INDIRECT("'"&amp;O$4&amp;"'!$E$10:$E$44"),INDIRECT("'"&amp;O$4&amp;"'!$A$10:$A$44"))," ")</f>
        <v xml:space="preserve"> </v>
      </c>
      <c r="P38" s="30" t="str">
        <f t="array" aca="1" ref="P38" ca="1">_xlfn.IFNA(_xlfn.XLOOKUP($A38,INDIRECT("'"&amp;P$4&amp;"'!$E$10:$E$44"),INDIRECT("'"&amp;P$4&amp;"'!$A$10:$A$44"))," ")</f>
        <v xml:space="preserve"> </v>
      </c>
      <c r="Q38" s="30" t="str">
        <f t="array" aca="1" ref="Q38" ca="1">_xlfn.IFNA(_xlfn.XLOOKUP($A38,INDIRECT("'"&amp;Q$4&amp;"'!$E$10:$E$44"),INDIRECT("'"&amp;Q$4&amp;"'!$A$10:$A$44"))," ")</f>
        <v xml:space="preserve"> </v>
      </c>
      <c r="R38" s="30" t="str">
        <f t="array" aca="1" ref="R38" ca="1">_xlfn.IFNA(_xlfn.XLOOKUP($A38,INDIRECT("'"&amp;R$4&amp;"'!$E$10:$E$44"),INDIRECT("'"&amp;R$4&amp;"'!$A$10:$A$44"))," ")</f>
        <v xml:space="preserve"> </v>
      </c>
      <c r="S38" s="30" t="str">
        <f t="array" aca="1" ref="S38" ca="1">_xlfn.IFNA(_xlfn.XLOOKUP($A38,INDIRECT("'"&amp;S$4&amp;"'!$E$10:$E$44"),INDIRECT("'"&amp;S$4&amp;"'!$A$10:$A$44"))," ")</f>
        <v xml:space="preserve"> </v>
      </c>
      <c r="T38" s="30">
        <f ca="1">SUM(Table5[[#This Row],[Week 1]:[Week 18]])</f>
        <v>75.5</v>
      </c>
      <c r="U38" s="30">
        <f t="shared" ca="1" si="0"/>
        <v>35.5</v>
      </c>
      <c r="V38" s="30">
        <f t="shared" ca="1" si="1"/>
        <v>75.5</v>
      </c>
      <c r="W38" s="30">
        <f t="shared" ca="1" si="2"/>
        <v>75.5</v>
      </c>
    </row>
    <row r="39" spans="1:23" x14ac:dyDescent="0.3">
      <c r="A39" s="21" t="s">
        <v>81</v>
      </c>
      <c r="B39" s="30" t="str">
        <f t="array" aca="1" ref="B39" ca="1">_xlfn.IFNA(_xlfn.XLOOKUP($A39,INDIRECT("'"&amp;B$4&amp;"'!$E$10:$E$44"),INDIRECT("'"&amp;B$4&amp;"'!$A$10:$A$44"))," ")</f>
        <v xml:space="preserve"> </v>
      </c>
      <c r="C39" s="30" t="str">
        <f t="array" aca="1" ref="C39" ca="1">_xlfn.IFNA(_xlfn.XLOOKUP($A39,INDIRECT("'"&amp;C$4&amp;"'!$E$10:$E$44"),INDIRECT("'"&amp;C$4&amp;"'!$A$10:$A$44"))," ")</f>
        <v/>
      </c>
      <c r="D39" s="30">
        <f t="array" aca="1" ref="D39" ca="1">_xlfn.IFNA(_xlfn.XLOOKUP($A39,INDIRECT("'"&amp;D$4&amp;"'!$E$10:$E$44"),INDIRECT("'"&amp;D$4&amp;"'!$A$10:$A$44"))," ")</f>
        <v>4.416666666666667</v>
      </c>
      <c r="E39" s="30" t="str">
        <f t="array" aca="1" ref="E39" ca="1">_xlfn.IFNA(_xlfn.XLOOKUP($A39,INDIRECT("'"&amp;E$4&amp;"'!$E$10:$E$44"),INDIRECT("'"&amp;E$4&amp;"'!$A$10:$A$44"))," ")</f>
        <v xml:space="preserve"> </v>
      </c>
      <c r="F39" s="30" t="str">
        <f t="array" aca="1" ref="F39" ca="1">_xlfn.IFNA(_xlfn.XLOOKUP($A39,INDIRECT("'"&amp;F$4&amp;"'!$E$10:$E$44"),INDIRECT("'"&amp;F$4&amp;"'!$A$10:$A$44"))," ")</f>
        <v xml:space="preserve"> </v>
      </c>
      <c r="G39" s="30" t="str">
        <f t="array" aca="1" ref="G39" ca="1">_xlfn.IFNA(_xlfn.XLOOKUP($A39,INDIRECT("'"&amp;G$4&amp;"'!$E$10:$E$44"),INDIRECT("'"&amp;G$4&amp;"'!$A$10:$A$44"))," ")</f>
        <v xml:space="preserve"> </v>
      </c>
      <c r="H39" s="30" t="str">
        <f t="array" aca="1" ref="H39" ca="1">_xlfn.IFNA(_xlfn.XLOOKUP($A39,INDIRECT("'"&amp;H$4&amp;"'!$E$10:$E$44"),INDIRECT("'"&amp;H$4&amp;"'!$A$10:$A$44"))," ")</f>
        <v xml:space="preserve"> </v>
      </c>
      <c r="I39" s="30" t="str">
        <f t="array" aca="1" ref="I39" ca="1">_xlfn.IFNA(_xlfn.XLOOKUP($A39,INDIRECT("'"&amp;I$4&amp;"'!$E$10:$E$44"),INDIRECT("'"&amp;I$4&amp;"'!$A$10:$A$44"))," ")</f>
        <v xml:space="preserve"> </v>
      </c>
      <c r="J39" s="30" t="str">
        <f t="array" aca="1" ref="J39" ca="1">_xlfn.IFNA(_xlfn.XLOOKUP($A39,INDIRECT("'"&amp;J$4&amp;"'!$E$10:$E$44"),INDIRECT("'"&amp;J$4&amp;"'!$A$10:$A$44"))," ")</f>
        <v xml:space="preserve"> </v>
      </c>
      <c r="K39" s="30" t="str">
        <f t="array" aca="1" ref="K39" ca="1">_xlfn.IFNA(_xlfn.XLOOKUP($A39,INDIRECT("'"&amp;K$4&amp;"'!$E$10:$E$44"),INDIRECT("'"&amp;K$4&amp;"'!$A$10:$A$44"))," ")</f>
        <v xml:space="preserve"> </v>
      </c>
      <c r="L39" s="30" t="str">
        <f t="array" aca="1" ref="L39" ca="1">_xlfn.IFNA(_xlfn.XLOOKUP($A39,INDIRECT("'"&amp;L$4&amp;"'!$E$10:$E$44"),INDIRECT("'"&amp;L$4&amp;"'!$A$10:$A$44"))," ")</f>
        <v xml:space="preserve"> </v>
      </c>
      <c r="M39" s="30" t="str">
        <f t="array" aca="1" ref="M39" ca="1">_xlfn.IFNA(_xlfn.XLOOKUP($A39,INDIRECT("'"&amp;M$4&amp;"'!$E$10:$E$44"),INDIRECT("'"&amp;M$4&amp;"'!$A$10:$A$44"))," ")</f>
        <v xml:space="preserve"> </v>
      </c>
      <c r="N39" s="30" t="str">
        <f t="array" aca="1" ref="N39" ca="1">_xlfn.IFNA(_xlfn.XLOOKUP($A39,INDIRECT("'"&amp;N$4&amp;"'!$E$10:$E$44"),INDIRECT("'"&amp;N$4&amp;"'!$A$10:$A$44"))," ")</f>
        <v xml:space="preserve"> </v>
      </c>
      <c r="O39" s="30" t="str">
        <f t="array" aca="1" ref="O39" ca="1">_xlfn.IFNA(_xlfn.XLOOKUP($A39,INDIRECT("'"&amp;O$4&amp;"'!$E$10:$E$44"),INDIRECT("'"&amp;O$4&amp;"'!$A$10:$A$44"))," ")</f>
        <v xml:space="preserve"> </v>
      </c>
      <c r="P39" s="30" t="str">
        <f t="array" aca="1" ref="P39" ca="1">_xlfn.IFNA(_xlfn.XLOOKUP($A39,INDIRECT("'"&amp;P$4&amp;"'!$E$10:$E$44"),INDIRECT("'"&amp;P$4&amp;"'!$A$10:$A$44"))," ")</f>
        <v xml:space="preserve"> </v>
      </c>
      <c r="Q39" s="30" t="str">
        <f t="array" aca="1" ref="Q39" ca="1">_xlfn.IFNA(_xlfn.XLOOKUP($A39,INDIRECT("'"&amp;Q$4&amp;"'!$E$10:$E$44"),INDIRECT("'"&amp;Q$4&amp;"'!$A$10:$A$44"))," ")</f>
        <v xml:space="preserve"> </v>
      </c>
      <c r="R39" s="30" t="str">
        <f t="array" aca="1" ref="R39" ca="1">_xlfn.IFNA(_xlfn.XLOOKUP($A39,INDIRECT("'"&amp;R$4&amp;"'!$E$10:$E$44"),INDIRECT("'"&amp;R$4&amp;"'!$A$10:$A$44"))," ")</f>
        <v xml:space="preserve"> </v>
      </c>
      <c r="S39" s="30" t="str">
        <f t="array" aca="1" ref="S39" ca="1">_xlfn.IFNA(_xlfn.XLOOKUP($A39,INDIRECT("'"&amp;S$4&amp;"'!$E$10:$E$44"),INDIRECT("'"&amp;S$4&amp;"'!$A$10:$A$44"))," ")</f>
        <v xml:space="preserve"> </v>
      </c>
      <c r="T39" s="30">
        <f ca="1">SUM(Table5[[#This Row],[Week 1]:[Week 18]])</f>
        <v>4.416666666666667</v>
      </c>
      <c r="U39" s="30">
        <f t="shared" ca="1" si="0"/>
        <v>-35.583333333333336</v>
      </c>
      <c r="V39" s="30">
        <f t="shared" ca="1" si="1"/>
        <v>4.416666666666667</v>
      </c>
      <c r="W39" s="30">
        <f t="shared" ca="1" si="2"/>
        <v>4.416666666666667</v>
      </c>
    </row>
    <row r="40" spans="1:23" x14ac:dyDescent="0.3">
      <c r="A40" s="21" t="s">
        <v>10</v>
      </c>
      <c r="B40" s="31">
        <f ca="1">SUBTOTAL(104,Table5[Week 1])</f>
        <v>116</v>
      </c>
      <c r="C40" s="31">
        <f ca="1">SUBTOTAL(104,Table5[Week 2])</f>
        <v>75.5</v>
      </c>
      <c r="D40" s="31">
        <f ca="1">SUBTOTAL(104,Table5[Week 3])</f>
        <v>4.416666666666667</v>
      </c>
      <c r="E40" s="31">
        <f ca="1">SUBTOTAL(104,Table5[Week 4])</f>
        <v>0</v>
      </c>
      <c r="F40" s="31">
        <f ca="1">SUBTOTAL(104,Table5[Week 5])</f>
        <v>0</v>
      </c>
      <c r="G40" s="31">
        <f ca="1">SUBTOTAL(104,Table5[Week 6])</f>
        <v>0</v>
      </c>
      <c r="H40" s="31">
        <f ca="1">SUBTOTAL(104,Table5[Week 7])</f>
        <v>0</v>
      </c>
      <c r="I40" s="31">
        <f ca="1">SUBTOTAL(104,Table5[Week 8])</f>
        <v>0</v>
      </c>
      <c r="J40" s="31">
        <f ca="1">SUBTOTAL(104,Table5[Week 9])</f>
        <v>0</v>
      </c>
      <c r="K40" s="31">
        <f ca="1">SUBTOTAL(104,Table5[Week 10])</f>
        <v>0</v>
      </c>
      <c r="L40" s="31">
        <f ca="1">SUBTOTAL(104,Table5[Week 11])</f>
        <v>0</v>
      </c>
      <c r="M40" s="31">
        <f ca="1">SUBTOTAL(104,Table5[Week 12])</f>
        <v>0</v>
      </c>
      <c r="N40" s="31">
        <f ca="1">SUBTOTAL(104,Table5[Week 13])</f>
        <v>0</v>
      </c>
      <c r="O40" s="31">
        <f ca="1">SUBTOTAL(104,Table5[Week 14])</f>
        <v>0</v>
      </c>
      <c r="P40" s="31">
        <f ca="1">SUBTOTAL(104,Table5[Week 15])</f>
        <v>0</v>
      </c>
      <c r="Q40" s="31">
        <f ca="1">SUBTOTAL(104,Table5[Week 16])</f>
        <v>0</v>
      </c>
      <c r="R40" s="31">
        <f ca="1">SUBTOTAL(104,Table5[Week 17])</f>
        <v>0</v>
      </c>
      <c r="S40" s="31">
        <f ca="1">SUBTOTAL(104,Table5[Week 18])</f>
        <v>0</v>
      </c>
      <c r="T40" s="31">
        <f ca="1">SUBTOTAL(109,Table5[Winning])</f>
        <v>315.58333333333331</v>
      </c>
      <c r="U40" s="31">
        <f ca="1">SUBTOTAL(104,Table5[Total])</f>
        <v>76</v>
      </c>
      <c r="V40" s="31">
        <f ca="1">SUBTOTAL(104,Table5[[Avg ]])</f>
        <v>116</v>
      </c>
      <c r="W40" s="31">
        <f ca="1">SUBTOTAL(109,Table5[Best])</f>
        <v>311.16666666666669</v>
      </c>
    </row>
  </sheetData>
  <mergeCells count="1">
    <mergeCell ref="A1:W2"/>
  </mergeCells>
  <conditionalFormatting sqref="U5:U39">
    <cfRule type="cellIs" dxfId="72" priority="1" operator="lessThan">
      <formula>0</formula>
    </cfRule>
    <cfRule type="cellIs" dxfId="71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6"/>
  <sheetViews>
    <sheetView showGridLines="0" topLeftCell="P6" zoomScale="76" workbookViewId="0">
      <selection activeCell="W21" sqref="W21"/>
    </sheetView>
  </sheetViews>
  <sheetFormatPr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</cols>
  <sheetData>
    <row r="1" spans="1:30" x14ac:dyDescent="0.3">
      <c r="A1" s="55" t="s">
        <v>86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 t="s">
        <v>88</v>
      </c>
      <c r="G4" s="5" t="s">
        <v>89</v>
      </c>
      <c r="H4" s="5" t="s">
        <v>90</v>
      </c>
      <c r="I4" s="5" t="s">
        <v>91</v>
      </c>
      <c r="J4" s="5" t="s">
        <v>92</v>
      </c>
      <c r="K4" s="5" t="s">
        <v>93</v>
      </c>
      <c r="L4" s="5" t="s">
        <v>94</v>
      </c>
      <c r="M4" s="5" t="s">
        <v>95</v>
      </c>
      <c r="N4" s="5" t="s">
        <v>96</v>
      </c>
      <c r="O4" s="5" t="s">
        <v>97</v>
      </c>
      <c r="P4" s="5" t="s">
        <v>98</v>
      </c>
      <c r="Q4" s="5" t="s">
        <v>99</v>
      </c>
      <c r="R4" s="5" t="s">
        <v>100</v>
      </c>
      <c r="S4" s="5" t="s">
        <v>101</v>
      </c>
      <c r="T4" s="5" t="s">
        <v>102</v>
      </c>
      <c r="U4" s="5" t="s">
        <v>103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105</v>
      </c>
      <c r="G5" s="5" t="s">
        <v>106</v>
      </c>
      <c r="H5" s="5" t="s">
        <v>107</v>
      </c>
      <c r="I5" s="5" t="s">
        <v>108</v>
      </c>
      <c r="J5" s="5" t="s">
        <v>109</v>
      </c>
      <c r="K5" s="5" t="s">
        <v>110</v>
      </c>
      <c r="L5" s="5" t="s">
        <v>111</v>
      </c>
      <c r="M5" s="5" t="s">
        <v>112</v>
      </c>
      <c r="N5" s="5" t="s">
        <v>113</v>
      </c>
      <c r="O5" s="5" t="s">
        <v>114</v>
      </c>
      <c r="P5" s="5" t="s">
        <v>115</v>
      </c>
      <c r="Q5" s="5" t="s">
        <v>116</v>
      </c>
      <c r="R5" s="5" t="s">
        <v>117</v>
      </c>
      <c r="S5" s="5" t="s">
        <v>118</v>
      </c>
      <c r="T5" s="5" t="s">
        <v>119</v>
      </c>
      <c r="U5" s="5" t="s">
        <v>120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88</v>
      </c>
      <c r="G6" s="6" t="s">
        <v>106</v>
      </c>
      <c r="H6" s="6" t="s">
        <v>90</v>
      </c>
      <c r="I6" s="6" t="s">
        <v>108</v>
      </c>
      <c r="J6" s="6" t="s">
        <v>109</v>
      </c>
      <c r="K6" s="6" t="s">
        <v>110</v>
      </c>
      <c r="L6" s="6" t="s">
        <v>94</v>
      </c>
      <c r="M6" s="6" t="s">
        <v>112</v>
      </c>
      <c r="N6" s="6" t="s">
        <v>96</v>
      </c>
      <c r="O6" s="6" t="s">
        <v>114</v>
      </c>
      <c r="P6" s="6" t="s">
        <v>98</v>
      </c>
      <c r="Q6" s="6" t="s">
        <v>99</v>
      </c>
      <c r="R6" s="6" t="s">
        <v>100</v>
      </c>
      <c r="S6" s="6" t="s">
        <v>118</v>
      </c>
      <c r="T6" s="6" t="s">
        <v>102</v>
      </c>
      <c r="U6" s="6" t="s">
        <v>103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123</v>
      </c>
      <c r="N8" t="s">
        <v>124</v>
      </c>
      <c r="S8" t="s">
        <v>125</v>
      </c>
    </row>
    <row r="9" spans="1:30" ht="28.8" customHeight="1" x14ac:dyDescent="0.3">
      <c r="A9" s="9" t="s">
        <v>6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IF(AD10=0,$AD$46, " ")</f>
        <v xml:space="preserve"> </v>
      </c>
      <c r="B10">
        <f t="shared" ref="B10:B44" si="2">SUM(V10:X10)+C10</f>
        <v>8</v>
      </c>
      <c r="C10">
        <f t="shared" ref="C10:C44" si="3">COUNTA(F10:U10)</f>
        <v>7</v>
      </c>
      <c r="D10">
        <f t="shared" ref="D10:D44" si="4">_xlfn.RANK.EQ(B10,$B$10:$B$44,0)</f>
        <v>31</v>
      </c>
      <c r="E10" t="s">
        <v>65</v>
      </c>
      <c r="F10" t="s">
        <v>148</v>
      </c>
      <c r="J10" t="s">
        <v>149</v>
      </c>
      <c r="K10" t="s">
        <v>150</v>
      </c>
      <c r="L10" t="s">
        <v>151</v>
      </c>
      <c r="N10" t="s">
        <v>152</v>
      </c>
      <c r="O10" t="s">
        <v>153</v>
      </c>
      <c r="U10" t="s">
        <v>154</v>
      </c>
      <c r="V10" s="11">
        <v>1</v>
      </c>
      <c r="W10" t="s">
        <v>155</v>
      </c>
      <c r="X10" t="s">
        <v>156</v>
      </c>
      <c r="Y10" s="11" t="s">
        <v>157</v>
      </c>
      <c r="Z10" s="1">
        <f t="shared" ref="Z10:Z44" si="5">IFERROR(COUNTIF(F10:U10,"W")/COUNTA(F10:U10),0)</f>
        <v>0</v>
      </c>
      <c r="AA10">
        <f t="shared" ref="AA10:AA44" si="6">MAX($B$10:$B$44)-B10</f>
        <v>6</v>
      </c>
      <c r="AB10" s="1">
        <f t="shared" ref="AB10:AB44" si="7">IFERROR(B10/16,0)</f>
        <v>0.5</v>
      </c>
      <c r="AD10" s="43">
        <f t="shared" ref="AD10:AD44" si="8">MAX($B$7:$B$141)-B10</f>
        <v>6</v>
      </c>
    </row>
    <row r="11" spans="1:30" x14ac:dyDescent="0.3">
      <c r="A11" s="2" t="str">
        <f t="shared" si="1"/>
        <v xml:space="preserve"> </v>
      </c>
      <c r="B11">
        <f t="shared" si="2"/>
        <v>11</v>
      </c>
      <c r="C11">
        <f t="shared" si="3"/>
        <v>10</v>
      </c>
      <c r="D11">
        <f t="shared" si="4"/>
        <v>13</v>
      </c>
      <c r="E11" t="s">
        <v>67</v>
      </c>
      <c r="F11" t="s">
        <v>148</v>
      </c>
      <c r="H11" t="s">
        <v>158</v>
      </c>
      <c r="K11" t="s">
        <v>150</v>
      </c>
      <c r="L11" t="s">
        <v>151</v>
      </c>
      <c r="M11" t="s">
        <v>159</v>
      </c>
      <c r="N11" t="s">
        <v>152</v>
      </c>
      <c r="O11" t="s">
        <v>153</v>
      </c>
      <c r="P11" t="s">
        <v>160</v>
      </c>
      <c r="R11" t="s">
        <v>161</v>
      </c>
      <c r="U11" t="s">
        <v>154</v>
      </c>
      <c r="V11" s="12" t="s">
        <v>162</v>
      </c>
      <c r="W11">
        <v>1</v>
      </c>
      <c r="X11" t="s">
        <v>155</v>
      </c>
      <c r="Y11" s="12" t="s">
        <v>163</v>
      </c>
      <c r="Z11" s="1">
        <f t="shared" si="5"/>
        <v>0</v>
      </c>
      <c r="AA11">
        <f t="shared" si="6"/>
        <v>3</v>
      </c>
      <c r="AB11" s="1">
        <f t="shared" si="7"/>
        <v>0.6875</v>
      </c>
      <c r="AD11" s="43">
        <f t="shared" si="8"/>
        <v>3</v>
      </c>
    </row>
    <row r="12" spans="1:30" x14ac:dyDescent="0.3">
      <c r="A12" s="2" t="str">
        <f t="shared" si="1"/>
        <v xml:space="preserve"> </v>
      </c>
      <c r="B12">
        <f t="shared" si="2"/>
        <v>11</v>
      </c>
      <c r="C12">
        <f t="shared" si="3"/>
        <v>10</v>
      </c>
      <c r="D12">
        <f t="shared" si="4"/>
        <v>13</v>
      </c>
      <c r="E12" t="s">
        <v>20</v>
      </c>
      <c r="F12" t="s">
        <v>148</v>
      </c>
      <c r="H12" t="s">
        <v>158</v>
      </c>
      <c r="K12" t="s">
        <v>150</v>
      </c>
      <c r="L12" t="s">
        <v>151</v>
      </c>
      <c r="M12" t="s">
        <v>159</v>
      </c>
      <c r="N12" t="s">
        <v>152</v>
      </c>
      <c r="O12" t="s">
        <v>153</v>
      </c>
      <c r="P12" t="s">
        <v>160</v>
      </c>
      <c r="R12" t="s">
        <v>161</v>
      </c>
      <c r="U12" t="s">
        <v>154</v>
      </c>
      <c r="V12" s="12" t="s">
        <v>155</v>
      </c>
      <c r="W12" t="s">
        <v>164</v>
      </c>
      <c r="X12">
        <v>1</v>
      </c>
      <c r="Y12" s="12" t="s">
        <v>165</v>
      </c>
      <c r="Z12" s="1">
        <f t="shared" si="5"/>
        <v>0</v>
      </c>
      <c r="AA12">
        <f t="shared" si="6"/>
        <v>3</v>
      </c>
      <c r="AB12" s="1">
        <f t="shared" si="7"/>
        <v>0.6875</v>
      </c>
      <c r="AD12" s="43">
        <f t="shared" si="8"/>
        <v>3</v>
      </c>
    </row>
    <row r="13" spans="1:30" x14ac:dyDescent="0.3">
      <c r="A13" s="2">
        <f t="shared" si="1"/>
        <v>116</v>
      </c>
      <c r="B13">
        <f t="shared" si="2"/>
        <v>14</v>
      </c>
      <c r="C13">
        <f t="shared" si="3"/>
        <v>13</v>
      </c>
      <c r="D13">
        <f t="shared" si="4"/>
        <v>1</v>
      </c>
      <c r="E13" t="s">
        <v>17</v>
      </c>
      <c r="F13" t="s">
        <v>148</v>
      </c>
      <c r="H13" t="s">
        <v>158</v>
      </c>
      <c r="I13" t="s">
        <v>166</v>
      </c>
      <c r="J13" t="s">
        <v>149</v>
      </c>
      <c r="K13" t="s">
        <v>150</v>
      </c>
      <c r="L13" t="s">
        <v>151</v>
      </c>
      <c r="M13" t="s">
        <v>159</v>
      </c>
      <c r="N13" t="s">
        <v>152</v>
      </c>
      <c r="O13" t="s">
        <v>153</v>
      </c>
      <c r="P13" t="s">
        <v>160</v>
      </c>
      <c r="Q13" t="s">
        <v>167</v>
      </c>
      <c r="R13" t="s">
        <v>161</v>
      </c>
      <c r="U13" t="s">
        <v>154</v>
      </c>
      <c r="V13" s="12">
        <v>1</v>
      </c>
      <c r="W13" t="s">
        <v>155</v>
      </c>
      <c r="X13" t="s">
        <v>168</v>
      </c>
      <c r="Y13" s="12" t="s">
        <v>163</v>
      </c>
      <c r="Z13" s="1">
        <f t="shared" si="5"/>
        <v>0</v>
      </c>
      <c r="AA13">
        <f t="shared" si="6"/>
        <v>0</v>
      </c>
      <c r="AB13" s="1">
        <f t="shared" si="7"/>
        <v>0.875</v>
      </c>
      <c r="AD13" s="43">
        <f t="shared" si="8"/>
        <v>0</v>
      </c>
    </row>
    <row r="14" spans="1:30" x14ac:dyDescent="0.3">
      <c r="A14" s="2" t="str">
        <f t="shared" si="1"/>
        <v xml:space="preserve"> </v>
      </c>
      <c r="B14">
        <f t="shared" si="2"/>
        <v>11</v>
      </c>
      <c r="C14">
        <f t="shared" si="3"/>
        <v>10</v>
      </c>
      <c r="D14">
        <f t="shared" si="4"/>
        <v>13</v>
      </c>
      <c r="E14" t="s">
        <v>76</v>
      </c>
      <c r="F14" t="s">
        <v>148</v>
      </c>
      <c r="H14" t="s">
        <v>158</v>
      </c>
      <c r="K14" t="s">
        <v>150</v>
      </c>
      <c r="L14" t="s">
        <v>151</v>
      </c>
      <c r="M14" t="s">
        <v>159</v>
      </c>
      <c r="N14" t="s">
        <v>152</v>
      </c>
      <c r="O14" t="s">
        <v>153</v>
      </c>
      <c r="P14" t="s">
        <v>160</v>
      </c>
      <c r="R14" t="s">
        <v>161</v>
      </c>
      <c r="U14" t="s">
        <v>154</v>
      </c>
      <c r="V14" s="12" t="s">
        <v>155</v>
      </c>
      <c r="W14">
        <v>1</v>
      </c>
      <c r="X14" t="s">
        <v>162</v>
      </c>
      <c r="Y14" s="12" t="s">
        <v>169</v>
      </c>
      <c r="Z14" s="1">
        <f t="shared" si="5"/>
        <v>0</v>
      </c>
      <c r="AA14">
        <f t="shared" si="6"/>
        <v>3</v>
      </c>
      <c r="AB14" s="1">
        <f t="shared" si="7"/>
        <v>0.6875</v>
      </c>
      <c r="AD14" s="43">
        <f t="shared" si="8"/>
        <v>3</v>
      </c>
    </row>
    <row r="15" spans="1:30" x14ac:dyDescent="0.3">
      <c r="A15" s="2" t="str">
        <f t="shared" si="1"/>
        <v xml:space="preserve"> </v>
      </c>
      <c r="B15">
        <f t="shared" si="2"/>
        <v>12</v>
      </c>
      <c r="C15">
        <f t="shared" si="3"/>
        <v>11</v>
      </c>
      <c r="D15">
        <f t="shared" si="4"/>
        <v>5</v>
      </c>
      <c r="E15" t="s">
        <v>59</v>
      </c>
      <c r="F15" t="s">
        <v>148</v>
      </c>
      <c r="H15" t="s">
        <v>158</v>
      </c>
      <c r="I15" t="s">
        <v>166</v>
      </c>
      <c r="K15" t="s">
        <v>150</v>
      </c>
      <c r="L15" t="s">
        <v>151</v>
      </c>
      <c r="M15" t="s">
        <v>159</v>
      </c>
      <c r="N15" t="s">
        <v>152</v>
      </c>
      <c r="O15" t="s">
        <v>153</v>
      </c>
      <c r="P15" t="s">
        <v>160</v>
      </c>
      <c r="R15" t="s">
        <v>161</v>
      </c>
      <c r="U15" t="s">
        <v>154</v>
      </c>
      <c r="V15" s="12">
        <v>1</v>
      </c>
      <c r="W15" t="s">
        <v>170</v>
      </c>
      <c r="X15" t="s">
        <v>155</v>
      </c>
      <c r="Y15" s="12" t="s">
        <v>156</v>
      </c>
      <c r="Z15" s="1">
        <f t="shared" si="5"/>
        <v>0</v>
      </c>
      <c r="AA15">
        <f t="shared" si="6"/>
        <v>2</v>
      </c>
      <c r="AB15" s="1">
        <f t="shared" si="7"/>
        <v>0.75</v>
      </c>
      <c r="AD15" s="43">
        <f t="shared" si="8"/>
        <v>2</v>
      </c>
    </row>
    <row r="16" spans="1:30" x14ac:dyDescent="0.3">
      <c r="A16" s="2" t="str">
        <f t="shared" si="1"/>
        <v xml:space="preserve"> </v>
      </c>
      <c r="B16">
        <f t="shared" si="2"/>
        <v>10</v>
      </c>
      <c r="C16">
        <f t="shared" si="3"/>
        <v>9</v>
      </c>
      <c r="D16">
        <f t="shared" si="4"/>
        <v>22</v>
      </c>
      <c r="E16" t="s">
        <v>62</v>
      </c>
      <c r="H16" t="s">
        <v>158</v>
      </c>
      <c r="K16" t="s">
        <v>150</v>
      </c>
      <c r="L16" t="s">
        <v>151</v>
      </c>
      <c r="M16" t="s">
        <v>159</v>
      </c>
      <c r="N16" t="s">
        <v>152</v>
      </c>
      <c r="O16" t="s">
        <v>153</v>
      </c>
      <c r="P16" t="s">
        <v>160</v>
      </c>
      <c r="R16" t="s">
        <v>161</v>
      </c>
      <c r="U16" t="s">
        <v>154</v>
      </c>
      <c r="V16" s="12" t="s">
        <v>155</v>
      </c>
      <c r="W16">
        <v>1</v>
      </c>
      <c r="X16" t="s">
        <v>162</v>
      </c>
      <c r="Y16" s="12" t="s">
        <v>171</v>
      </c>
      <c r="Z16" s="1">
        <f t="shared" si="5"/>
        <v>0</v>
      </c>
      <c r="AA16">
        <f t="shared" si="6"/>
        <v>4</v>
      </c>
      <c r="AB16" s="1">
        <f t="shared" si="7"/>
        <v>0.625</v>
      </c>
      <c r="AD16" s="43">
        <f t="shared" si="8"/>
        <v>4</v>
      </c>
    </row>
    <row r="17" spans="1:30" x14ac:dyDescent="0.3">
      <c r="A17" s="2" t="str">
        <f t="shared" si="1"/>
        <v xml:space="preserve"> </v>
      </c>
      <c r="B17">
        <f t="shared" si="2"/>
        <v>11</v>
      </c>
      <c r="C17">
        <f t="shared" si="3"/>
        <v>9</v>
      </c>
      <c r="D17">
        <f t="shared" si="4"/>
        <v>13</v>
      </c>
      <c r="E17" t="s">
        <v>55</v>
      </c>
      <c r="F17" t="s">
        <v>148</v>
      </c>
      <c r="H17" t="s">
        <v>158</v>
      </c>
      <c r="K17" t="s">
        <v>150</v>
      </c>
      <c r="L17" t="s">
        <v>151</v>
      </c>
      <c r="M17" t="s">
        <v>159</v>
      </c>
      <c r="P17" t="s">
        <v>160</v>
      </c>
      <c r="Q17" t="s">
        <v>167</v>
      </c>
      <c r="R17" t="s">
        <v>161</v>
      </c>
      <c r="S17" t="s">
        <v>172</v>
      </c>
      <c r="V17" s="12">
        <v>1</v>
      </c>
      <c r="W17">
        <v>1</v>
      </c>
      <c r="X17" t="s">
        <v>162</v>
      </c>
      <c r="Y17" s="12" t="s">
        <v>173</v>
      </c>
      <c r="Z17" s="1">
        <f t="shared" si="5"/>
        <v>0</v>
      </c>
      <c r="AA17">
        <f t="shared" si="6"/>
        <v>3</v>
      </c>
      <c r="AB17" s="1">
        <f t="shared" si="7"/>
        <v>0.6875</v>
      </c>
      <c r="AD17" s="43">
        <f t="shared" si="8"/>
        <v>3</v>
      </c>
    </row>
    <row r="18" spans="1:30" x14ac:dyDescent="0.3">
      <c r="A18" s="2" t="str">
        <f t="shared" si="1"/>
        <v xml:space="preserve"> </v>
      </c>
      <c r="B18">
        <f t="shared" si="2"/>
        <v>10</v>
      </c>
      <c r="C18">
        <f t="shared" si="3"/>
        <v>9</v>
      </c>
      <c r="D18">
        <f t="shared" si="4"/>
        <v>22</v>
      </c>
      <c r="E18" t="s">
        <v>21</v>
      </c>
      <c r="F18" t="s">
        <v>148</v>
      </c>
      <c r="H18" t="s">
        <v>158</v>
      </c>
      <c r="J18" t="s">
        <v>149</v>
      </c>
      <c r="K18" t="s">
        <v>150</v>
      </c>
      <c r="L18" t="s">
        <v>151</v>
      </c>
      <c r="N18" t="s">
        <v>152</v>
      </c>
      <c r="P18" t="s">
        <v>160</v>
      </c>
      <c r="Q18" t="s">
        <v>167</v>
      </c>
      <c r="R18" t="s">
        <v>161</v>
      </c>
      <c r="V18" s="12" t="s">
        <v>155</v>
      </c>
      <c r="W18">
        <v>1</v>
      </c>
      <c r="X18" t="s">
        <v>162</v>
      </c>
      <c r="Y18" s="12" t="s">
        <v>174</v>
      </c>
      <c r="Z18" s="1">
        <f t="shared" si="5"/>
        <v>0</v>
      </c>
      <c r="AA18">
        <f t="shared" si="6"/>
        <v>4</v>
      </c>
      <c r="AB18" s="1">
        <f t="shared" si="7"/>
        <v>0.625</v>
      </c>
      <c r="AD18" s="43">
        <f t="shared" si="8"/>
        <v>4</v>
      </c>
    </row>
    <row r="19" spans="1:30" x14ac:dyDescent="0.3">
      <c r="A19" s="2" t="str">
        <f t="shared" si="1"/>
        <v xml:space="preserve"> </v>
      </c>
      <c r="B19">
        <f t="shared" si="2"/>
        <v>11</v>
      </c>
      <c r="C19">
        <f t="shared" si="3"/>
        <v>10</v>
      </c>
      <c r="D19">
        <f t="shared" si="4"/>
        <v>13</v>
      </c>
      <c r="E19" t="s">
        <v>57</v>
      </c>
      <c r="F19" t="s">
        <v>148</v>
      </c>
      <c r="H19" t="s">
        <v>158</v>
      </c>
      <c r="K19" t="s">
        <v>150</v>
      </c>
      <c r="L19" t="s">
        <v>151</v>
      </c>
      <c r="M19" t="s">
        <v>159</v>
      </c>
      <c r="N19" t="s">
        <v>152</v>
      </c>
      <c r="P19" t="s">
        <v>160</v>
      </c>
      <c r="R19" t="s">
        <v>161</v>
      </c>
      <c r="S19" t="s">
        <v>172</v>
      </c>
      <c r="U19" t="s">
        <v>154</v>
      </c>
      <c r="V19" s="12" t="s">
        <v>175</v>
      </c>
      <c r="W19" t="s">
        <v>176</v>
      </c>
      <c r="X19">
        <v>1</v>
      </c>
      <c r="Y19" s="12" t="s">
        <v>169</v>
      </c>
      <c r="Z19" s="1">
        <f t="shared" si="5"/>
        <v>0</v>
      </c>
      <c r="AA19">
        <f t="shared" si="6"/>
        <v>3</v>
      </c>
      <c r="AB19" s="1">
        <f t="shared" si="7"/>
        <v>0.6875</v>
      </c>
      <c r="AD19" s="43">
        <f t="shared" si="8"/>
        <v>3</v>
      </c>
    </row>
    <row r="20" spans="1:30" x14ac:dyDescent="0.3">
      <c r="A20" s="2" t="str">
        <f t="shared" si="1"/>
        <v xml:space="preserve"> </v>
      </c>
      <c r="B20">
        <f t="shared" si="2"/>
        <v>10</v>
      </c>
      <c r="C20">
        <f t="shared" si="3"/>
        <v>9</v>
      </c>
      <c r="D20">
        <f t="shared" si="4"/>
        <v>22</v>
      </c>
      <c r="E20" t="s">
        <v>52</v>
      </c>
      <c r="F20" t="s">
        <v>148</v>
      </c>
      <c r="H20" t="s">
        <v>158</v>
      </c>
      <c r="J20" t="s">
        <v>149</v>
      </c>
      <c r="K20" t="s">
        <v>150</v>
      </c>
      <c r="M20" t="s">
        <v>159</v>
      </c>
      <c r="N20" t="s">
        <v>152</v>
      </c>
      <c r="P20" t="s">
        <v>160</v>
      </c>
      <c r="R20" t="s">
        <v>161</v>
      </c>
      <c r="U20" t="s">
        <v>154</v>
      </c>
      <c r="V20" s="12" t="s">
        <v>155</v>
      </c>
      <c r="W20">
        <v>1</v>
      </c>
      <c r="X20" t="s">
        <v>162</v>
      </c>
      <c r="Y20" s="12" t="s">
        <v>155</v>
      </c>
      <c r="Z20" s="1">
        <f t="shared" si="5"/>
        <v>0</v>
      </c>
      <c r="AA20">
        <f t="shared" si="6"/>
        <v>4</v>
      </c>
      <c r="AB20" s="1">
        <f t="shared" si="7"/>
        <v>0.625</v>
      </c>
      <c r="AD20" s="43">
        <f t="shared" si="8"/>
        <v>4</v>
      </c>
    </row>
    <row r="21" spans="1:30" x14ac:dyDescent="0.3">
      <c r="A21" s="2" t="str">
        <f t="shared" si="1"/>
        <v xml:space="preserve"> </v>
      </c>
      <c r="B21">
        <f t="shared" si="2"/>
        <v>12</v>
      </c>
      <c r="C21">
        <f t="shared" si="3"/>
        <v>11</v>
      </c>
      <c r="D21">
        <f t="shared" si="4"/>
        <v>5</v>
      </c>
      <c r="E21" t="s">
        <v>77</v>
      </c>
      <c r="F21" t="s">
        <v>148</v>
      </c>
      <c r="H21" t="s">
        <v>158</v>
      </c>
      <c r="J21" t="s">
        <v>149</v>
      </c>
      <c r="K21" t="s">
        <v>150</v>
      </c>
      <c r="L21" t="s">
        <v>151</v>
      </c>
      <c r="M21" t="s">
        <v>159</v>
      </c>
      <c r="P21" t="s">
        <v>160</v>
      </c>
      <c r="R21" t="s">
        <v>161</v>
      </c>
      <c r="S21" t="s">
        <v>172</v>
      </c>
      <c r="T21" t="s">
        <v>177</v>
      </c>
      <c r="U21" t="s">
        <v>154</v>
      </c>
      <c r="V21" s="12" t="s">
        <v>162</v>
      </c>
      <c r="W21" t="s">
        <v>164</v>
      </c>
      <c r="X21">
        <v>1</v>
      </c>
      <c r="Y21" s="12" t="s">
        <v>163</v>
      </c>
      <c r="Z21" s="1">
        <f t="shared" si="5"/>
        <v>0</v>
      </c>
      <c r="AA21">
        <f t="shared" si="6"/>
        <v>2</v>
      </c>
      <c r="AB21" s="1">
        <f t="shared" si="7"/>
        <v>0.75</v>
      </c>
      <c r="AD21" s="43">
        <f t="shared" si="8"/>
        <v>2</v>
      </c>
    </row>
    <row r="22" spans="1:30" x14ac:dyDescent="0.3">
      <c r="A22" s="2" t="str">
        <f t="shared" si="1"/>
        <v xml:space="preserve"> </v>
      </c>
      <c r="B22">
        <f t="shared" si="2"/>
        <v>11</v>
      </c>
      <c r="C22">
        <f t="shared" si="3"/>
        <v>10</v>
      </c>
      <c r="D22">
        <f t="shared" si="4"/>
        <v>13</v>
      </c>
      <c r="E22" t="s">
        <v>54</v>
      </c>
      <c r="F22" t="s">
        <v>148</v>
      </c>
      <c r="H22" t="s">
        <v>158</v>
      </c>
      <c r="K22" t="s">
        <v>150</v>
      </c>
      <c r="L22" t="s">
        <v>151</v>
      </c>
      <c r="M22" t="s">
        <v>159</v>
      </c>
      <c r="N22" t="s">
        <v>152</v>
      </c>
      <c r="O22" t="s">
        <v>153</v>
      </c>
      <c r="P22" t="s">
        <v>160</v>
      </c>
      <c r="R22" t="s">
        <v>161</v>
      </c>
      <c r="U22" t="s">
        <v>154</v>
      </c>
      <c r="V22" s="12" t="s">
        <v>155</v>
      </c>
      <c r="W22">
        <v>1</v>
      </c>
      <c r="X22" t="s">
        <v>162</v>
      </c>
      <c r="Y22" s="12" t="s">
        <v>178</v>
      </c>
      <c r="Z22" s="1">
        <f t="shared" si="5"/>
        <v>0</v>
      </c>
      <c r="AA22">
        <f t="shared" si="6"/>
        <v>3</v>
      </c>
      <c r="AB22" s="1">
        <f t="shared" si="7"/>
        <v>0.6875</v>
      </c>
      <c r="AD22" s="43">
        <f t="shared" si="8"/>
        <v>3</v>
      </c>
    </row>
    <row r="23" spans="1:30" x14ac:dyDescent="0.3">
      <c r="A23" s="2" t="str">
        <f t="shared" si="1"/>
        <v xml:space="preserve"> </v>
      </c>
      <c r="B23">
        <f t="shared" si="2"/>
        <v>12</v>
      </c>
      <c r="C23">
        <f t="shared" si="3"/>
        <v>11</v>
      </c>
      <c r="D23">
        <f t="shared" si="4"/>
        <v>5</v>
      </c>
      <c r="E23" t="s">
        <v>71</v>
      </c>
      <c r="F23" t="s">
        <v>148</v>
      </c>
      <c r="G23" t="s">
        <v>179</v>
      </c>
      <c r="H23" t="s">
        <v>158</v>
      </c>
      <c r="J23" t="s">
        <v>149</v>
      </c>
      <c r="K23" t="s">
        <v>150</v>
      </c>
      <c r="L23" t="s">
        <v>151</v>
      </c>
      <c r="M23" t="s">
        <v>159</v>
      </c>
      <c r="N23" t="s">
        <v>152</v>
      </c>
      <c r="O23" t="s">
        <v>153</v>
      </c>
      <c r="P23" t="s">
        <v>160</v>
      </c>
      <c r="R23" t="s">
        <v>161</v>
      </c>
      <c r="V23" s="12" t="s">
        <v>155</v>
      </c>
      <c r="W23">
        <v>1</v>
      </c>
      <c r="X23" t="s">
        <v>168</v>
      </c>
      <c r="Y23" s="12" t="s">
        <v>163</v>
      </c>
      <c r="Z23" s="1">
        <f t="shared" si="5"/>
        <v>0</v>
      </c>
      <c r="AA23">
        <f t="shared" si="6"/>
        <v>2</v>
      </c>
      <c r="AB23" s="1">
        <f t="shared" si="7"/>
        <v>0.75</v>
      </c>
      <c r="AD23" s="43">
        <f t="shared" si="8"/>
        <v>2</v>
      </c>
    </row>
    <row r="24" spans="1:30" x14ac:dyDescent="0.3">
      <c r="A24" s="2" t="str">
        <f t="shared" si="1"/>
        <v xml:space="preserve"> </v>
      </c>
      <c r="B24">
        <f t="shared" si="2"/>
        <v>12</v>
      </c>
      <c r="C24">
        <f t="shared" si="3"/>
        <v>11</v>
      </c>
      <c r="D24">
        <f t="shared" si="4"/>
        <v>5</v>
      </c>
      <c r="E24" t="s">
        <v>64</v>
      </c>
      <c r="F24" t="s">
        <v>148</v>
      </c>
      <c r="H24" t="s">
        <v>158</v>
      </c>
      <c r="J24" t="s">
        <v>149</v>
      </c>
      <c r="K24" t="s">
        <v>150</v>
      </c>
      <c r="L24" t="s">
        <v>151</v>
      </c>
      <c r="M24" t="s">
        <v>159</v>
      </c>
      <c r="N24" t="s">
        <v>152</v>
      </c>
      <c r="O24" t="s">
        <v>153</v>
      </c>
      <c r="P24" t="s">
        <v>160</v>
      </c>
      <c r="R24" t="s">
        <v>161</v>
      </c>
      <c r="U24" t="s">
        <v>154</v>
      </c>
      <c r="V24" s="12" t="s">
        <v>155</v>
      </c>
      <c r="W24">
        <v>1</v>
      </c>
      <c r="X24" t="s">
        <v>168</v>
      </c>
      <c r="Y24" s="12" t="s">
        <v>171</v>
      </c>
      <c r="Z24" s="1">
        <f t="shared" si="5"/>
        <v>0</v>
      </c>
      <c r="AA24">
        <f t="shared" si="6"/>
        <v>2</v>
      </c>
      <c r="AB24" s="1">
        <f t="shared" si="7"/>
        <v>0.75</v>
      </c>
      <c r="AD24" s="43">
        <f t="shared" si="8"/>
        <v>2</v>
      </c>
    </row>
    <row r="25" spans="1:30" x14ac:dyDescent="0.3">
      <c r="A25" s="2" t="str">
        <f t="shared" si="1"/>
        <v xml:space="preserve"> </v>
      </c>
      <c r="B25">
        <f t="shared" si="2"/>
        <v>13</v>
      </c>
      <c r="C25">
        <f t="shared" si="3"/>
        <v>12</v>
      </c>
      <c r="D25">
        <f t="shared" si="4"/>
        <v>2</v>
      </c>
      <c r="E25" t="s">
        <v>58</v>
      </c>
      <c r="F25" t="s">
        <v>148</v>
      </c>
      <c r="H25" t="s">
        <v>158</v>
      </c>
      <c r="I25" t="s">
        <v>166</v>
      </c>
      <c r="K25" t="s">
        <v>150</v>
      </c>
      <c r="L25" t="s">
        <v>151</v>
      </c>
      <c r="M25" t="s">
        <v>159</v>
      </c>
      <c r="N25" t="s">
        <v>152</v>
      </c>
      <c r="P25" t="s">
        <v>160</v>
      </c>
      <c r="Q25" t="s">
        <v>167</v>
      </c>
      <c r="R25" t="s">
        <v>161</v>
      </c>
      <c r="S25" t="s">
        <v>172</v>
      </c>
      <c r="U25" t="s">
        <v>154</v>
      </c>
      <c r="V25" s="12" t="s">
        <v>162</v>
      </c>
      <c r="W25" t="s">
        <v>155</v>
      </c>
      <c r="X25">
        <v>1</v>
      </c>
      <c r="Y25" s="12" t="s">
        <v>173</v>
      </c>
      <c r="Z25" s="1">
        <f t="shared" si="5"/>
        <v>0</v>
      </c>
      <c r="AA25">
        <f t="shared" si="6"/>
        <v>1</v>
      </c>
      <c r="AB25" s="1">
        <f t="shared" si="7"/>
        <v>0.8125</v>
      </c>
      <c r="AD25" s="43">
        <f t="shared" si="8"/>
        <v>1</v>
      </c>
    </row>
    <row r="26" spans="1:30" x14ac:dyDescent="0.3">
      <c r="A26" s="2" t="str">
        <f t="shared" si="1"/>
        <v xml:space="preserve"> </v>
      </c>
      <c r="B26">
        <f t="shared" si="2"/>
        <v>12</v>
      </c>
      <c r="C26">
        <f t="shared" si="3"/>
        <v>11</v>
      </c>
      <c r="D26">
        <f t="shared" si="4"/>
        <v>5</v>
      </c>
      <c r="E26" t="s">
        <v>79</v>
      </c>
      <c r="F26" t="s">
        <v>148</v>
      </c>
      <c r="G26" t="s">
        <v>179</v>
      </c>
      <c r="H26" t="s">
        <v>158</v>
      </c>
      <c r="K26" t="s">
        <v>150</v>
      </c>
      <c r="L26" t="s">
        <v>151</v>
      </c>
      <c r="M26" t="s">
        <v>159</v>
      </c>
      <c r="N26" t="s">
        <v>152</v>
      </c>
      <c r="O26" t="s">
        <v>153</v>
      </c>
      <c r="P26" t="s">
        <v>160</v>
      </c>
      <c r="R26" t="s">
        <v>161</v>
      </c>
      <c r="U26" t="s">
        <v>154</v>
      </c>
      <c r="V26" s="12" t="s">
        <v>162</v>
      </c>
      <c r="W26" t="s">
        <v>180</v>
      </c>
      <c r="X26">
        <v>1</v>
      </c>
      <c r="Y26" s="12" t="s">
        <v>169</v>
      </c>
      <c r="Z26" s="1">
        <f t="shared" si="5"/>
        <v>0</v>
      </c>
      <c r="AA26">
        <f t="shared" si="6"/>
        <v>2</v>
      </c>
      <c r="AB26" s="1">
        <f t="shared" si="7"/>
        <v>0.75</v>
      </c>
      <c r="AD26" s="43">
        <f t="shared" si="8"/>
        <v>2</v>
      </c>
    </row>
    <row r="27" spans="1:30" x14ac:dyDescent="0.3">
      <c r="A27" s="2" t="str">
        <f t="shared" si="1"/>
        <v xml:space="preserve"> </v>
      </c>
      <c r="B27">
        <f t="shared" si="2"/>
        <v>10</v>
      </c>
      <c r="C27">
        <f t="shared" si="3"/>
        <v>9</v>
      </c>
      <c r="D27">
        <f t="shared" si="4"/>
        <v>22</v>
      </c>
      <c r="E27" t="s">
        <v>73</v>
      </c>
      <c r="F27" t="s">
        <v>148</v>
      </c>
      <c r="K27" t="s">
        <v>150</v>
      </c>
      <c r="L27" t="s">
        <v>151</v>
      </c>
      <c r="M27" t="s">
        <v>159</v>
      </c>
      <c r="N27" t="s">
        <v>152</v>
      </c>
      <c r="O27" t="s">
        <v>153</v>
      </c>
      <c r="P27" t="s">
        <v>160</v>
      </c>
      <c r="R27" t="s">
        <v>161</v>
      </c>
      <c r="U27" t="s">
        <v>154</v>
      </c>
      <c r="V27" s="12">
        <v>1</v>
      </c>
      <c r="W27" t="s">
        <v>162</v>
      </c>
      <c r="X27" t="s">
        <v>164</v>
      </c>
      <c r="Y27" s="12" t="s">
        <v>181</v>
      </c>
      <c r="Z27" s="1">
        <f t="shared" si="5"/>
        <v>0</v>
      </c>
      <c r="AA27">
        <f t="shared" si="6"/>
        <v>4</v>
      </c>
      <c r="AB27" s="1">
        <f t="shared" si="7"/>
        <v>0.625</v>
      </c>
      <c r="AD27" s="43">
        <f t="shared" si="8"/>
        <v>4</v>
      </c>
    </row>
    <row r="28" spans="1:30" x14ac:dyDescent="0.3">
      <c r="A28" s="2" t="str">
        <f t="shared" si="1"/>
        <v xml:space="preserve"> </v>
      </c>
      <c r="B28">
        <f t="shared" si="2"/>
        <v>9</v>
      </c>
      <c r="C28">
        <f t="shared" si="3"/>
        <v>8</v>
      </c>
      <c r="D28">
        <f t="shared" si="4"/>
        <v>29</v>
      </c>
      <c r="E28" t="s">
        <v>78</v>
      </c>
      <c r="F28" t="s">
        <v>148</v>
      </c>
      <c r="H28" t="s">
        <v>158</v>
      </c>
      <c r="K28" t="s">
        <v>150</v>
      </c>
      <c r="M28" t="s">
        <v>159</v>
      </c>
      <c r="N28" t="s">
        <v>152</v>
      </c>
      <c r="P28" t="s">
        <v>160</v>
      </c>
      <c r="R28" t="s">
        <v>161</v>
      </c>
      <c r="S28" t="s">
        <v>172</v>
      </c>
      <c r="V28" s="12" t="s">
        <v>162</v>
      </c>
      <c r="W28">
        <v>1</v>
      </c>
      <c r="X28" t="s">
        <v>164</v>
      </c>
      <c r="Y28" s="12" t="s">
        <v>181</v>
      </c>
      <c r="Z28" s="1">
        <f t="shared" si="5"/>
        <v>0</v>
      </c>
      <c r="AA28">
        <f t="shared" si="6"/>
        <v>5</v>
      </c>
      <c r="AB28" s="1">
        <f t="shared" si="7"/>
        <v>0.5625</v>
      </c>
      <c r="AD28" s="43">
        <f t="shared" si="8"/>
        <v>5</v>
      </c>
    </row>
    <row r="29" spans="1:30" x14ac:dyDescent="0.3">
      <c r="A29" s="2" t="str">
        <f t="shared" si="1"/>
        <v xml:space="preserve"> </v>
      </c>
      <c r="B29">
        <f t="shared" si="2"/>
        <v>11</v>
      </c>
      <c r="C29">
        <f t="shared" si="3"/>
        <v>10</v>
      </c>
      <c r="D29">
        <f t="shared" si="4"/>
        <v>13</v>
      </c>
      <c r="E29" t="s">
        <v>60</v>
      </c>
      <c r="F29" t="s">
        <v>148</v>
      </c>
      <c r="I29" t="s">
        <v>166</v>
      </c>
      <c r="J29" t="s">
        <v>149</v>
      </c>
      <c r="K29" t="s">
        <v>150</v>
      </c>
      <c r="L29" t="s">
        <v>151</v>
      </c>
      <c r="M29" t="s">
        <v>159</v>
      </c>
      <c r="P29" t="s">
        <v>160</v>
      </c>
      <c r="R29" t="s">
        <v>161</v>
      </c>
      <c r="S29" t="s">
        <v>172</v>
      </c>
      <c r="U29" t="s">
        <v>154</v>
      </c>
      <c r="V29" s="12" t="s">
        <v>155</v>
      </c>
      <c r="W29">
        <v>1</v>
      </c>
      <c r="X29" t="s">
        <v>175</v>
      </c>
      <c r="Y29" s="12" t="s">
        <v>173</v>
      </c>
      <c r="Z29" s="1">
        <f t="shared" si="5"/>
        <v>0</v>
      </c>
      <c r="AA29">
        <f t="shared" si="6"/>
        <v>3</v>
      </c>
      <c r="AB29" s="1">
        <f t="shared" si="7"/>
        <v>0.6875</v>
      </c>
      <c r="AD29" s="43">
        <f t="shared" si="8"/>
        <v>3</v>
      </c>
    </row>
    <row r="30" spans="1:30" x14ac:dyDescent="0.3">
      <c r="A30" s="2" t="str">
        <f t="shared" si="1"/>
        <v xml:space="preserve"> </v>
      </c>
      <c r="B30">
        <f t="shared" si="2"/>
        <v>12</v>
      </c>
      <c r="C30">
        <f t="shared" si="3"/>
        <v>11</v>
      </c>
      <c r="D30">
        <f t="shared" si="4"/>
        <v>5</v>
      </c>
      <c r="E30" t="s">
        <v>63</v>
      </c>
      <c r="F30" t="s">
        <v>148</v>
      </c>
      <c r="G30" t="s">
        <v>179</v>
      </c>
      <c r="H30" t="s">
        <v>158</v>
      </c>
      <c r="L30" t="s">
        <v>151</v>
      </c>
      <c r="M30" t="s">
        <v>159</v>
      </c>
      <c r="N30" t="s">
        <v>152</v>
      </c>
      <c r="O30" t="s">
        <v>153</v>
      </c>
      <c r="Q30" t="s">
        <v>167</v>
      </c>
      <c r="R30" t="s">
        <v>161</v>
      </c>
      <c r="T30" t="s">
        <v>177</v>
      </c>
      <c r="U30" t="s">
        <v>154</v>
      </c>
      <c r="V30" s="12">
        <v>1</v>
      </c>
      <c r="W30" t="s">
        <v>162</v>
      </c>
      <c r="X30" t="s">
        <v>155</v>
      </c>
      <c r="Y30" s="12" t="s">
        <v>178</v>
      </c>
      <c r="Z30" s="1">
        <f t="shared" si="5"/>
        <v>0</v>
      </c>
      <c r="AA30">
        <f t="shared" si="6"/>
        <v>2</v>
      </c>
      <c r="AB30" s="1">
        <f t="shared" si="7"/>
        <v>0.75</v>
      </c>
      <c r="AD30" s="43">
        <f t="shared" si="8"/>
        <v>2</v>
      </c>
    </row>
    <row r="31" spans="1:30" x14ac:dyDescent="0.3">
      <c r="A31" s="2" t="str">
        <f t="shared" si="1"/>
        <v xml:space="preserve"> </v>
      </c>
      <c r="B31">
        <f t="shared" si="2"/>
        <v>11</v>
      </c>
      <c r="C31">
        <f t="shared" si="3"/>
        <v>10</v>
      </c>
      <c r="D31">
        <f t="shared" si="4"/>
        <v>13</v>
      </c>
      <c r="E31" t="s">
        <v>68</v>
      </c>
      <c r="F31" t="s">
        <v>148</v>
      </c>
      <c r="K31" t="s">
        <v>150</v>
      </c>
      <c r="L31" t="s">
        <v>151</v>
      </c>
      <c r="M31" t="s">
        <v>159</v>
      </c>
      <c r="N31" t="s">
        <v>152</v>
      </c>
      <c r="O31" t="s">
        <v>153</v>
      </c>
      <c r="P31" t="s">
        <v>160</v>
      </c>
      <c r="Q31" t="s">
        <v>167</v>
      </c>
      <c r="S31" t="s">
        <v>172</v>
      </c>
      <c r="U31" t="s">
        <v>154</v>
      </c>
      <c r="V31" s="12" t="s">
        <v>162</v>
      </c>
      <c r="W31">
        <v>1</v>
      </c>
      <c r="X31" t="s">
        <v>168</v>
      </c>
      <c r="Y31" s="12" t="s">
        <v>156</v>
      </c>
      <c r="Z31" s="1">
        <f t="shared" si="5"/>
        <v>0</v>
      </c>
      <c r="AA31">
        <f t="shared" si="6"/>
        <v>3</v>
      </c>
      <c r="AB31" s="1">
        <f t="shared" si="7"/>
        <v>0.6875</v>
      </c>
      <c r="AD31" s="43">
        <f t="shared" si="8"/>
        <v>3</v>
      </c>
    </row>
    <row r="32" spans="1:30" x14ac:dyDescent="0.3">
      <c r="A32" s="2" t="str">
        <f t="shared" si="1"/>
        <v xml:space="preserve"> </v>
      </c>
      <c r="B32">
        <f t="shared" si="2"/>
        <v>10</v>
      </c>
      <c r="C32">
        <f t="shared" si="3"/>
        <v>9</v>
      </c>
      <c r="D32">
        <f t="shared" si="4"/>
        <v>22</v>
      </c>
      <c r="E32" t="s">
        <v>61</v>
      </c>
      <c r="F32" t="s">
        <v>148</v>
      </c>
      <c r="H32" t="s">
        <v>158</v>
      </c>
      <c r="K32" t="s">
        <v>150</v>
      </c>
      <c r="L32" t="s">
        <v>151</v>
      </c>
      <c r="M32" t="s">
        <v>159</v>
      </c>
      <c r="N32" t="s">
        <v>152</v>
      </c>
      <c r="O32" t="s">
        <v>153</v>
      </c>
      <c r="P32" t="s">
        <v>160</v>
      </c>
      <c r="U32" t="s">
        <v>154</v>
      </c>
      <c r="V32" s="12" t="s">
        <v>155</v>
      </c>
      <c r="W32" t="s">
        <v>162</v>
      </c>
      <c r="X32">
        <v>1</v>
      </c>
      <c r="Y32" s="12" t="s">
        <v>182</v>
      </c>
      <c r="Z32" s="1">
        <f t="shared" si="5"/>
        <v>0</v>
      </c>
      <c r="AA32">
        <f t="shared" si="6"/>
        <v>4</v>
      </c>
      <c r="AB32" s="1">
        <f t="shared" si="7"/>
        <v>0.625</v>
      </c>
      <c r="AD32" s="43">
        <f t="shared" si="8"/>
        <v>4</v>
      </c>
    </row>
    <row r="33" spans="1:30" x14ac:dyDescent="0.3">
      <c r="A33" s="2" t="str">
        <f t="shared" si="1"/>
        <v xml:space="preserve"> </v>
      </c>
      <c r="B33">
        <f t="shared" si="2"/>
        <v>12</v>
      </c>
      <c r="C33">
        <f t="shared" si="3"/>
        <v>10</v>
      </c>
      <c r="D33">
        <f t="shared" si="4"/>
        <v>5</v>
      </c>
      <c r="E33" t="s">
        <v>19</v>
      </c>
      <c r="F33" t="s">
        <v>148</v>
      </c>
      <c r="H33" t="s">
        <v>158</v>
      </c>
      <c r="K33" t="s">
        <v>150</v>
      </c>
      <c r="L33" t="s">
        <v>151</v>
      </c>
      <c r="M33" t="s">
        <v>159</v>
      </c>
      <c r="N33" t="s">
        <v>152</v>
      </c>
      <c r="P33" t="s">
        <v>160</v>
      </c>
      <c r="Q33" t="s">
        <v>167</v>
      </c>
      <c r="R33" t="s">
        <v>161</v>
      </c>
      <c r="S33" t="s">
        <v>172</v>
      </c>
      <c r="V33" s="12">
        <v>1</v>
      </c>
      <c r="W33" t="s">
        <v>182</v>
      </c>
      <c r="X33">
        <v>1</v>
      </c>
      <c r="Y33" s="12" t="s">
        <v>183</v>
      </c>
      <c r="Z33" s="1">
        <f t="shared" si="5"/>
        <v>0</v>
      </c>
      <c r="AA33">
        <f t="shared" si="6"/>
        <v>2</v>
      </c>
      <c r="AB33" s="1">
        <f t="shared" si="7"/>
        <v>0.75</v>
      </c>
      <c r="AD33" s="43">
        <f t="shared" si="8"/>
        <v>2</v>
      </c>
    </row>
    <row r="34" spans="1:30" x14ac:dyDescent="0.3">
      <c r="A34" s="2" t="str">
        <f t="shared" si="1"/>
        <v xml:space="preserve"> </v>
      </c>
      <c r="B34">
        <f t="shared" si="2"/>
        <v>9</v>
      </c>
      <c r="C34">
        <f t="shared" si="3"/>
        <v>9</v>
      </c>
      <c r="D34">
        <f t="shared" si="4"/>
        <v>29</v>
      </c>
      <c r="E34" t="s">
        <v>80</v>
      </c>
      <c r="F34" t="s">
        <v>148</v>
      </c>
      <c r="H34" t="s">
        <v>158</v>
      </c>
      <c r="I34" t="s">
        <v>166</v>
      </c>
      <c r="K34" t="s">
        <v>150</v>
      </c>
      <c r="L34" t="s">
        <v>151</v>
      </c>
      <c r="M34" t="s">
        <v>159</v>
      </c>
      <c r="P34" t="s">
        <v>160</v>
      </c>
      <c r="R34" t="s">
        <v>161</v>
      </c>
      <c r="S34" t="s">
        <v>172</v>
      </c>
      <c r="V34" s="12" t="s">
        <v>184</v>
      </c>
      <c r="W34" t="s">
        <v>168</v>
      </c>
      <c r="X34" t="s">
        <v>164</v>
      </c>
      <c r="Y34" s="12" t="s">
        <v>163</v>
      </c>
      <c r="Z34" s="1">
        <f t="shared" si="5"/>
        <v>0</v>
      </c>
      <c r="AA34">
        <f t="shared" si="6"/>
        <v>5</v>
      </c>
      <c r="AB34" s="1">
        <f t="shared" si="7"/>
        <v>0.5625</v>
      </c>
      <c r="AD34" s="43">
        <f t="shared" si="8"/>
        <v>5</v>
      </c>
    </row>
    <row r="35" spans="1:30" x14ac:dyDescent="0.3">
      <c r="A35" s="2" t="str">
        <f t="shared" si="1"/>
        <v xml:space="preserve"> </v>
      </c>
      <c r="B35">
        <f t="shared" si="2"/>
        <v>13</v>
      </c>
      <c r="C35">
        <f t="shared" si="3"/>
        <v>12</v>
      </c>
      <c r="D35">
        <f t="shared" si="4"/>
        <v>2</v>
      </c>
      <c r="E35" t="s">
        <v>18</v>
      </c>
      <c r="F35" t="s">
        <v>148</v>
      </c>
      <c r="H35" t="s">
        <v>158</v>
      </c>
      <c r="I35" t="s">
        <v>166</v>
      </c>
      <c r="K35" t="s">
        <v>150</v>
      </c>
      <c r="L35" t="s">
        <v>151</v>
      </c>
      <c r="M35" t="s">
        <v>159</v>
      </c>
      <c r="O35" t="s">
        <v>153</v>
      </c>
      <c r="P35" t="s">
        <v>160</v>
      </c>
      <c r="Q35" t="s">
        <v>167</v>
      </c>
      <c r="R35" t="s">
        <v>161</v>
      </c>
      <c r="S35" t="s">
        <v>172</v>
      </c>
      <c r="U35" t="s">
        <v>154</v>
      </c>
      <c r="V35" s="12" t="s">
        <v>164</v>
      </c>
      <c r="W35">
        <v>1</v>
      </c>
      <c r="X35" t="s">
        <v>168</v>
      </c>
      <c r="Y35" s="12" t="s">
        <v>163</v>
      </c>
      <c r="Z35" s="1">
        <f t="shared" si="5"/>
        <v>0</v>
      </c>
      <c r="AA35">
        <f t="shared" si="6"/>
        <v>1</v>
      </c>
      <c r="AB35" s="1">
        <f t="shared" si="7"/>
        <v>0.8125</v>
      </c>
      <c r="AD35" s="43">
        <f t="shared" si="8"/>
        <v>1</v>
      </c>
    </row>
    <row r="36" spans="1:30" x14ac:dyDescent="0.3">
      <c r="A36" s="2" t="str">
        <f t="shared" si="1"/>
        <v xml:space="preserve"> </v>
      </c>
      <c r="B36">
        <f t="shared" si="2"/>
        <v>7</v>
      </c>
      <c r="C36">
        <f t="shared" si="3"/>
        <v>6</v>
      </c>
      <c r="D36">
        <f t="shared" si="4"/>
        <v>34</v>
      </c>
      <c r="E36" t="s">
        <v>72</v>
      </c>
      <c r="F36" t="s">
        <v>148</v>
      </c>
      <c r="K36" t="s">
        <v>150</v>
      </c>
      <c r="L36" t="s">
        <v>151</v>
      </c>
      <c r="N36" t="s">
        <v>152</v>
      </c>
      <c r="P36" t="s">
        <v>160</v>
      </c>
      <c r="R36" t="s">
        <v>161</v>
      </c>
      <c r="V36" s="12" t="s">
        <v>162</v>
      </c>
      <c r="W36" t="s">
        <v>155</v>
      </c>
      <c r="X36">
        <v>1</v>
      </c>
      <c r="Y36" s="12" t="s">
        <v>185</v>
      </c>
      <c r="Z36" s="1">
        <f t="shared" si="5"/>
        <v>0</v>
      </c>
      <c r="AA36">
        <f t="shared" si="6"/>
        <v>7</v>
      </c>
      <c r="AB36" s="1">
        <f t="shared" si="7"/>
        <v>0.4375</v>
      </c>
      <c r="AD36" s="43">
        <f t="shared" si="8"/>
        <v>7</v>
      </c>
    </row>
    <row r="37" spans="1:30" x14ac:dyDescent="0.3">
      <c r="A37" s="2" t="str">
        <f t="shared" si="1"/>
        <v xml:space="preserve"> </v>
      </c>
      <c r="B37">
        <f t="shared" si="2"/>
        <v>8</v>
      </c>
      <c r="C37">
        <f t="shared" si="3"/>
        <v>7</v>
      </c>
      <c r="D37">
        <f t="shared" si="4"/>
        <v>31</v>
      </c>
      <c r="E37" t="s">
        <v>53</v>
      </c>
      <c r="F37" t="s">
        <v>148</v>
      </c>
      <c r="H37" t="s">
        <v>158</v>
      </c>
      <c r="K37" t="s">
        <v>150</v>
      </c>
      <c r="L37" t="s">
        <v>151</v>
      </c>
      <c r="M37" t="s">
        <v>159</v>
      </c>
      <c r="O37" t="s">
        <v>153</v>
      </c>
      <c r="R37" t="s">
        <v>161</v>
      </c>
      <c r="V37" s="12" t="s">
        <v>162</v>
      </c>
      <c r="W37" t="s">
        <v>155</v>
      </c>
      <c r="X37">
        <v>1</v>
      </c>
      <c r="Y37" s="12" t="s">
        <v>185</v>
      </c>
      <c r="Z37" s="1">
        <f t="shared" si="5"/>
        <v>0</v>
      </c>
      <c r="AA37">
        <f t="shared" si="6"/>
        <v>6</v>
      </c>
      <c r="AB37" s="1">
        <f t="shared" si="7"/>
        <v>0.5</v>
      </c>
      <c r="AD37" s="43">
        <f t="shared" si="8"/>
        <v>6</v>
      </c>
    </row>
    <row r="38" spans="1:30" x14ac:dyDescent="0.3">
      <c r="A38" s="2" t="str">
        <f t="shared" si="1"/>
        <v xml:space="preserve"> </v>
      </c>
      <c r="B38">
        <f t="shared" si="2"/>
        <v>12</v>
      </c>
      <c r="C38">
        <f t="shared" si="3"/>
        <v>11</v>
      </c>
      <c r="D38">
        <f t="shared" si="4"/>
        <v>5</v>
      </c>
      <c r="E38" t="s">
        <v>74</v>
      </c>
      <c r="F38" t="s">
        <v>148</v>
      </c>
      <c r="H38" t="s">
        <v>158</v>
      </c>
      <c r="K38" t="s">
        <v>150</v>
      </c>
      <c r="L38" t="s">
        <v>151</v>
      </c>
      <c r="M38" t="s">
        <v>159</v>
      </c>
      <c r="N38" t="s">
        <v>152</v>
      </c>
      <c r="O38" t="s">
        <v>153</v>
      </c>
      <c r="P38" t="s">
        <v>160</v>
      </c>
      <c r="R38" t="s">
        <v>161</v>
      </c>
      <c r="S38" t="s">
        <v>172</v>
      </c>
      <c r="U38" t="s">
        <v>154</v>
      </c>
      <c r="V38" s="12" t="s">
        <v>164</v>
      </c>
      <c r="W38">
        <v>1</v>
      </c>
      <c r="X38" t="s">
        <v>162</v>
      </c>
      <c r="Y38" s="12" t="s">
        <v>163</v>
      </c>
      <c r="Z38" s="1">
        <f t="shared" si="5"/>
        <v>0</v>
      </c>
      <c r="AA38">
        <f t="shared" si="6"/>
        <v>2</v>
      </c>
      <c r="AB38" s="1">
        <f t="shared" si="7"/>
        <v>0.75</v>
      </c>
      <c r="AD38" s="43">
        <f t="shared" si="8"/>
        <v>2</v>
      </c>
    </row>
    <row r="39" spans="1:30" x14ac:dyDescent="0.3">
      <c r="A39" s="2" t="str">
        <f t="shared" si="1"/>
        <v xml:space="preserve"> </v>
      </c>
      <c r="B39">
        <f t="shared" si="2"/>
        <v>11</v>
      </c>
      <c r="C39">
        <f t="shared" si="3"/>
        <v>9</v>
      </c>
      <c r="D39">
        <f t="shared" si="4"/>
        <v>13</v>
      </c>
      <c r="E39" t="s">
        <v>70</v>
      </c>
      <c r="F39" t="s">
        <v>148</v>
      </c>
      <c r="G39" t="s">
        <v>179</v>
      </c>
      <c r="H39" t="s">
        <v>158</v>
      </c>
      <c r="K39" t="s">
        <v>150</v>
      </c>
      <c r="L39" t="s">
        <v>151</v>
      </c>
      <c r="M39" t="s">
        <v>159</v>
      </c>
      <c r="N39" t="s">
        <v>152</v>
      </c>
      <c r="P39" t="s">
        <v>160</v>
      </c>
      <c r="R39" t="s">
        <v>161</v>
      </c>
      <c r="V39" s="12" t="s">
        <v>155</v>
      </c>
      <c r="W39">
        <v>1</v>
      </c>
      <c r="X39">
        <v>1</v>
      </c>
      <c r="Y39" s="12" t="s">
        <v>174</v>
      </c>
      <c r="Z39" s="1">
        <f t="shared" si="5"/>
        <v>0</v>
      </c>
      <c r="AA39">
        <f t="shared" si="6"/>
        <v>3</v>
      </c>
      <c r="AB39" s="1">
        <f t="shared" si="7"/>
        <v>0.6875</v>
      </c>
      <c r="AD39" s="43">
        <f t="shared" si="8"/>
        <v>3</v>
      </c>
    </row>
    <row r="40" spans="1:30" x14ac:dyDescent="0.3">
      <c r="A40" s="2" t="str">
        <f t="shared" si="1"/>
        <v xml:space="preserve"> </v>
      </c>
      <c r="B40">
        <f t="shared" si="2"/>
        <v>10</v>
      </c>
      <c r="C40">
        <f t="shared" si="3"/>
        <v>9</v>
      </c>
      <c r="D40">
        <f t="shared" si="4"/>
        <v>22</v>
      </c>
      <c r="E40" t="s">
        <v>66</v>
      </c>
      <c r="H40" t="s">
        <v>158</v>
      </c>
      <c r="J40" t="s">
        <v>149</v>
      </c>
      <c r="K40" t="s">
        <v>150</v>
      </c>
      <c r="L40" t="s">
        <v>151</v>
      </c>
      <c r="M40" t="s">
        <v>159</v>
      </c>
      <c r="N40" t="s">
        <v>152</v>
      </c>
      <c r="O40" t="s">
        <v>153</v>
      </c>
      <c r="R40" t="s">
        <v>161</v>
      </c>
      <c r="U40" t="s">
        <v>154</v>
      </c>
      <c r="V40" s="12">
        <v>1</v>
      </c>
      <c r="W40" t="s">
        <v>155</v>
      </c>
      <c r="X40" t="s">
        <v>162</v>
      </c>
      <c r="Y40" s="12" t="s">
        <v>186</v>
      </c>
      <c r="Z40" s="1">
        <f t="shared" si="5"/>
        <v>0</v>
      </c>
      <c r="AA40">
        <f t="shared" si="6"/>
        <v>4</v>
      </c>
      <c r="AB40" s="1">
        <f t="shared" si="7"/>
        <v>0.625</v>
      </c>
      <c r="AD40" s="43">
        <f t="shared" si="8"/>
        <v>4</v>
      </c>
    </row>
    <row r="41" spans="1:30" x14ac:dyDescent="0.3">
      <c r="A41" s="2" t="str">
        <f t="shared" si="1"/>
        <v xml:space="preserve"> </v>
      </c>
      <c r="B41">
        <f t="shared" si="2"/>
        <v>10</v>
      </c>
      <c r="C41">
        <f t="shared" si="3"/>
        <v>9</v>
      </c>
      <c r="D41">
        <f t="shared" si="4"/>
        <v>22</v>
      </c>
      <c r="E41" t="s">
        <v>75</v>
      </c>
      <c r="F41" t="s">
        <v>148</v>
      </c>
      <c r="H41" t="s">
        <v>158</v>
      </c>
      <c r="K41" t="s">
        <v>150</v>
      </c>
      <c r="L41" t="s">
        <v>151</v>
      </c>
      <c r="M41" t="s">
        <v>159</v>
      </c>
      <c r="N41" t="s">
        <v>152</v>
      </c>
      <c r="P41" t="s">
        <v>160</v>
      </c>
      <c r="R41" t="s">
        <v>161</v>
      </c>
      <c r="U41" t="s">
        <v>154</v>
      </c>
      <c r="V41" s="12" t="s">
        <v>155</v>
      </c>
      <c r="W41">
        <v>1</v>
      </c>
      <c r="X41" t="s">
        <v>164</v>
      </c>
      <c r="Y41" s="12" t="s">
        <v>185</v>
      </c>
      <c r="Z41" s="1">
        <f t="shared" si="5"/>
        <v>0</v>
      </c>
      <c r="AA41">
        <f t="shared" si="6"/>
        <v>4</v>
      </c>
      <c r="AB41" s="1">
        <f t="shared" si="7"/>
        <v>0.625</v>
      </c>
      <c r="AD41" s="43">
        <f t="shared" si="8"/>
        <v>4</v>
      </c>
    </row>
    <row r="42" spans="1:30" x14ac:dyDescent="0.3">
      <c r="A42" s="2" t="str">
        <f t="shared" si="1"/>
        <v xml:space="preserve"> </v>
      </c>
      <c r="B42">
        <f t="shared" si="2"/>
        <v>7</v>
      </c>
      <c r="C42">
        <f t="shared" si="3"/>
        <v>7</v>
      </c>
      <c r="D42">
        <f t="shared" si="4"/>
        <v>34</v>
      </c>
      <c r="E42" t="s">
        <v>56</v>
      </c>
      <c r="F42" t="s">
        <v>148</v>
      </c>
      <c r="K42" t="s">
        <v>150</v>
      </c>
      <c r="L42" t="s">
        <v>151</v>
      </c>
      <c r="M42" t="s">
        <v>159</v>
      </c>
      <c r="O42" t="s">
        <v>153</v>
      </c>
      <c r="P42" t="s">
        <v>160</v>
      </c>
      <c r="R42" t="s">
        <v>161</v>
      </c>
      <c r="V42" s="12" t="s">
        <v>155</v>
      </c>
      <c r="W42" t="s">
        <v>162</v>
      </c>
      <c r="X42" t="s">
        <v>164</v>
      </c>
      <c r="Y42" s="12" t="s">
        <v>171</v>
      </c>
      <c r="Z42" s="1">
        <f t="shared" si="5"/>
        <v>0</v>
      </c>
      <c r="AA42">
        <f t="shared" si="6"/>
        <v>7</v>
      </c>
      <c r="AB42" s="1">
        <f t="shared" si="7"/>
        <v>0.4375</v>
      </c>
      <c r="AD42" s="43">
        <f t="shared" si="8"/>
        <v>7</v>
      </c>
    </row>
    <row r="43" spans="1:30" x14ac:dyDescent="0.3">
      <c r="A43" s="2" t="str">
        <f t="shared" si="1"/>
        <v xml:space="preserve"> </v>
      </c>
      <c r="B43">
        <f t="shared" si="2"/>
        <v>13</v>
      </c>
      <c r="C43">
        <f t="shared" si="3"/>
        <v>12</v>
      </c>
      <c r="D43">
        <f t="shared" si="4"/>
        <v>2</v>
      </c>
      <c r="E43" t="s">
        <v>81</v>
      </c>
      <c r="F43" t="s">
        <v>148</v>
      </c>
      <c r="H43" t="s">
        <v>158</v>
      </c>
      <c r="K43" t="s">
        <v>150</v>
      </c>
      <c r="L43" t="s">
        <v>151</v>
      </c>
      <c r="M43" t="s">
        <v>159</v>
      </c>
      <c r="N43" t="s">
        <v>152</v>
      </c>
      <c r="O43" t="s">
        <v>153</v>
      </c>
      <c r="P43" t="s">
        <v>160</v>
      </c>
      <c r="Q43" t="s">
        <v>167</v>
      </c>
      <c r="R43" t="s">
        <v>161</v>
      </c>
      <c r="T43" t="s">
        <v>177</v>
      </c>
      <c r="U43" t="s">
        <v>154</v>
      </c>
      <c r="V43" s="12" t="s">
        <v>162</v>
      </c>
      <c r="W43" t="s">
        <v>155</v>
      </c>
      <c r="X43">
        <v>1</v>
      </c>
      <c r="Y43" s="12" t="s">
        <v>169</v>
      </c>
      <c r="Z43" s="1">
        <f t="shared" si="5"/>
        <v>0</v>
      </c>
      <c r="AA43">
        <f t="shared" si="6"/>
        <v>1</v>
      </c>
      <c r="AB43" s="1">
        <f t="shared" si="7"/>
        <v>0.8125</v>
      </c>
      <c r="AD43" s="43">
        <f t="shared" si="8"/>
        <v>1</v>
      </c>
    </row>
    <row r="44" spans="1:30" x14ac:dyDescent="0.3">
      <c r="A44" s="2" t="str">
        <f t="shared" si="1"/>
        <v xml:space="preserve"> </v>
      </c>
      <c r="B44">
        <f t="shared" si="2"/>
        <v>8</v>
      </c>
      <c r="C44">
        <f t="shared" si="3"/>
        <v>7</v>
      </c>
      <c r="D44">
        <f t="shared" si="4"/>
        <v>31</v>
      </c>
      <c r="E44" t="s">
        <v>69</v>
      </c>
      <c r="F44" t="s">
        <v>148</v>
      </c>
      <c r="K44" t="s">
        <v>150</v>
      </c>
      <c r="M44" t="s">
        <v>159</v>
      </c>
      <c r="N44" t="s">
        <v>152</v>
      </c>
      <c r="O44" t="s">
        <v>153</v>
      </c>
      <c r="Q44" t="s">
        <v>167</v>
      </c>
      <c r="R44" t="s">
        <v>161</v>
      </c>
      <c r="V44" s="12" t="s">
        <v>164</v>
      </c>
      <c r="W44">
        <v>1</v>
      </c>
      <c r="X44" t="s">
        <v>182</v>
      </c>
      <c r="Y44" s="12" t="s">
        <v>183</v>
      </c>
      <c r="Z44" s="1">
        <f t="shared" si="5"/>
        <v>0</v>
      </c>
      <c r="AA44">
        <f t="shared" si="6"/>
        <v>6</v>
      </c>
      <c r="AB44" s="1">
        <f t="shared" si="7"/>
        <v>0.5</v>
      </c>
      <c r="AD44" s="43">
        <f t="shared" si="8"/>
        <v>6</v>
      </c>
    </row>
    <row r="45" spans="1:30" x14ac:dyDescent="0.3">
      <c r="AD45" s="10">
        <f>COUNTIF(AD10:AD44,0)</f>
        <v>1</v>
      </c>
    </row>
    <row r="46" spans="1:30" x14ac:dyDescent="0.3">
      <c r="AD46" s="43">
        <f>SUM(AD10:AD44)/AD45</f>
        <v>116</v>
      </c>
    </row>
  </sheetData>
  <autoFilter ref="A9:AB44" xr:uid="{00000000-0009-0000-0000-000003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70" priority="4" operator="equal">
      <formula>"W"</formula>
    </cfRule>
    <cfRule type="cellIs" dxfId="69" priority="5" operator="equal">
      <formula>"L"</formula>
    </cfRule>
  </conditionalFormatting>
  <conditionalFormatting sqref="AD10:AD46">
    <cfRule type="cellIs" dxfId="68" priority="1" stopIfTrue="1" operator="equal">
      <formula>0</formula>
    </cfRule>
  </conditionalFormatting>
  <dataValidations count="2">
    <dataValidation type="list" allowBlank="1" sqref="F6:U6" xr:uid="{00000000-0002-0000-03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300-000001000000}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6"/>
  <sheetViews>
    <sheetView topLeftCell="J1" zoomScale="71" workbookViewId="0">
      <selection activeCell="I8" sqref="I8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5" width="17.88671875" style="40" customWidth="1"/>
    <col min="16" max="16" width="23.5546875" style="40" bestFit="1" customWidth="1"/>
    <col min="17" max="20" width="17.88671875" style="40" customWidth="1"/>
    <col min="21" max="21" width="19.33203125" style="40" bestFit="1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187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 t="s">
        <v>188</v>
      </c>
      <c r="G4" s="5" t="s">
        <v>189</v>
      </c>
      <c r="H4" s="5" t="s">
        <v>190</v>
      </c>
      <c r="I4" s="5" t="s">
        <v>191</v>
      </c>
      <c r="J4" s="5" t="s">
        <v>192</v>
      </c>
      <c r="K4" s="5" t="s">
        <v>193</v>
      </c>
      <c r="L4" s="5" t="s">
        <v>194</v>
      </c>
      <c r="M4" s="5" t="s">
        <v>195</v>
      </c>
      <c r="N4" s="5" t="s">
        <v>196</v>
      </c>
      <c r="O4" s="5" t="s">
        <v>197</v>
      </c>
      <c r="P4" s="5" t="s">
        <v>198</v>
      </c>
      <c r="Q4" s="5" t="s">
        <v>199</v>
      </c>
      <c r="R4" s="5" t="s">
        <v>200</v>
      </c>
      <c r="S4" s="5" t="s">
        <v>201</v>
      </c>
      <c r="T4" s="5" t="s">
        <v>202</v>
      </c>
      <c r="U4" s="5" t="s">
        <v>203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204</v>
      </c>
      <c r="G5" s="5" t="s">
        <v>205</v>
      </c>
      <c r="H5" s="5" t="s">
        <v>206</v>
      </c>
      <c r="I5" s="5" t="s">
        <v>207</v>
      </c>
      <c r="J5" s="5" t="s">
        <v>208</v>
      </c>
      <c r="K5" s="5" t="s">
        <v>209</v>
      </c>
      <c r="L5" s="5" t="s">
        <v>210</v>
      </c>
      <c r="M5" s="5" t="s">
        <v>211</v>
      </c>
      <c r="N5" s="5" t="s">
        <v>212</v>
      </c>
      <c r="O5" s="5" t="s">
        <v>213</v>
      </c>
      <c r="P5" s="5" t="s">
        <v>214</v>
      </c>
      <c r="Q5" s="5" t="s">
        <v>215</v>
      </c>
      <c r="R5" s="5" t="s">
        <v>216</v>
      </c>
      <c r="S5" s="5" t="s">
        <v>217</v>
      </c>
      <c r="T5" s="5" t="s">
        <v>218</v>
      </c>
      <c r="U5" s="5" t="s">
        <v>219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188</v>
      </c>
      <c r="G6" s="6" t="s">
        <v>205</v>
      </c>
      <c r="H6" s="6" t="s">
        <v>206</v>
      </c>
      <c r="I6" s="6" t="s">
        <v>191</v>
      </c>
      <c r="J6" s="6" t="s">
        <v>192</v>
      </c>
      <c r="K6" s="6" t="s">
        <v>209</v>
      </c>
      <c r="L6" s="6" t="s">
        <v>210</v>
      </c>
      <c r="M6" s="6" t="s">
        <v>211</v>
      </c>
      <c r="N6" s="6" t="s">
        <v>212</v>
      </c>
      <c r="O6" s="6" t="s">
        <v>197</v>
      </c>
      <c r="P6" s="6" t="s">
        <v>214</v>
      </c>
      <c r="Q6" s="6" t="s">
        <v>199</v>
      </c>
      <c r="R6" s="6" t="s">
        <v>216</v>
      </c>
      <c r="S6" s="6" t="s">
        <v>201</v>
      </c>
      <c r="T6" s="6" t="s">
        <v>218</v>
      </c>
      <c r="U6" s="6" t="s">
        <v>203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K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220</v>
      </c>
      <c r="L8" t="s">
        <v>221</v>
      </c>
      <c r="M8" t="s">
        <v>222</v>
      </c>
      <c r="P8" t="s">
        <v>223</v>
      </c>
      <c r="S8" t="s">
        <v>224</v>
      </c>
      <c r="T8" t="s">
        <v>225</v>
      </c>
      <c r="U8" t="s">
        <v>226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10</v>
      </c>
      <c r="C10">
        <f t="shared" ref="C10:C44" si="3">COUNTA(F10:U10)</f>
        <v>9</v>
      </c>
      <c r="D10">
        <f t="shared" ref="D10:D44" si="4">_xlfn.RANK.EQ(B10,$B$10:$B$44,0)</f>
        <v>12</v>
      </c>
      <c r="E10" s="14" t="s">
        <v>17</v>
      </c>
      <c r="F10" s="35" t="s">
        <v>188</v>
      </c>
      <c r="G10" s="35" t="s">
        <v>228</v>
      </c>
      <c r="H10" s="35"/>
      <c r="I10" s="35" t="s">
        <v>229</v>
      </c>
      <c r="J10" s="35" t="s">
        <v>230</v>
      </c>
      <c r="K10" s="35" t="s">
        <v>231</v>
      </c>
      <c r="L10" s="35"/>
      <c r="M10" s="35"/>
      <c r="N10" s="35"/>
      <c r="O10" s="35" t="s">
        <v>232</v>
      </c>
      <c r="P10" s="35"/>
      <c r="Q10" s="35" t="s">
        <v>233</v>
      </c>
      <c r="R10" s="35" t="s">
        <v>234</v>
      </c>
      <c r="S10" s="36"/>
      <c r="T10" s="37"/>
      <c r="U10" s="35" t="s">
        <v>235</v>
      </c>
      <c r="V10" s="39" t="s">
        <v>162</v>
      </c>
      <c r="W10" s="39" t="s">
        <v>236</v>
      </c>
      <c r="X10" s="39">
        <v>1</v>
      </c>
      <c r="Y10" s="35" t="s">
        <v>183</v>
      </c>
      <c r="Z10" s="1">
        <v>0.75</v>
      </c>
      <c r="AA10">
        <f t="shared" ref="AA10:AA44" si="5">MAX($B$10:$B$44)-B10</f>
        <v>4</v>
      </c>
      <c r="AB10" s="1">
        <f t="shared" ref="AB10:AB44" si="6">IFERROR(B10/16,0)</f>
        <v>0.625</v>
      </c>
      <c r="AD10" s="43">
        <f t="shared" ref="AD10:AD44" si="7">MAX($B$7:$B$141)-B10</f>
        <v>4</v>
      </c>
    </row>
    <row r="11" spans="1:30" x14ac:dyDescent="0.3">
      <c r="A11" s="2" t="str">
        <f t="shared" si="1"/>
        <v/>
      </c>
      <c r="B11">
        <f t="shared" si="2"/>
        <v>11</v>
      </c>
      <c r="C11">
        <f t="shared" si="3"/>
        <v>10</v>
      </c>
      <c r="D11">
        <f t="shared" si="4"/>
        <v>5</v>
      </c>
      <c r="E11" s="13" t="s">
        <v>58</v>
      </c>
      <c r="F11" s="42" t="s">
        <v>188</v>
      </c>
      <c r="G11" s="42" t="s">
        <v>228</v>
      </c>
      <c r="H11" s="42"/>
      <c r="I11" s="42" t="s">
        <v>229</v>
      </c>
      <c r="J11" s="42" t="s">
        <v>230</v>
      </c>
      <c r="K11" s="42" t="s">
        <v>231</v>
      </c>
      <c r="L11" s="42" t="s">
        <v>237</v>
      </c>
      <c r="M11" s="42"/>
      <c r="N11" s="42"/>
      <c r="O11" s="42"/>
      <c r="P11" s="42" t="s">
        <v>238</v>
      </c>
      <c r="Q11" s="42" t="s">
        <v>233</v>
      </c>
      <c r="R11" s="42" t="s">
        <v>234</v>
      </c>
      <c r="S11" s="36"/>
      <c r="T11" s="37"/>
      <c r="U11" s="35" t="s">
        <v>235</v>
      </c>
      <c r="V11" s="39" t="s">
        <v>162</v>
      </c>
      <c r="W11" s="39">
        <v>1</v>
      </c>
      <c r="X11" s="39" t="s">
        <v>239</v>
      </c>
      <c r="Y11" s="35" t="s">
        <v>240</v>
      </c>
      <c r="Z11" s="1">
        <v>0.5625</v>
      </c>
      <c r="AA11">
        <f t="shared" si="5"/>
        <v>3</v>
      </c>
      <c r="AB11" s="1">
        <f t="shared" si="6"/>
        <v>0.6875</v>
      </c>
      <c r="AD11" s="43">
        <f t="shared" si="7"/>
        <v>3</v>
      </c>
    </row>
    <row r="12" spans="1:30" x14ac:dyDescent="0.3">
      <c r="A12" s="2">
        <f t="shared" si="1"/>
        <v>75.5</v>
      </c>
      <c r="B12">
        <f t="shared" si="2"/>
        <v>14</v>
      </c>
      <c r="C12">
        <f t="shared" si="3"/>
        <v>12</v>
      </c>
      <c r="D12">
        <f t="shared" si="4"/>
        <v>1</v>
      </c>
      <c r="E12" s="13" t="s">
        <v>18</v>
      </c>
      <c r="F12" s="42" t="s">
        <v>188</v>
      </c>
      <c r="G12" s="42" t="s">
        <v>228</v>
      </c>
      <c r="H12" s="42"/>
      <c r="I12" s="42" t="s">
        <v>229</v>
      </c>
      <c r="J12" s="42" t="s">
        <v>230</v>
      </c>
      <c r="K12" s="42" t="s">
        <v>231</v>
      </c>
      <c r="L12" s="42" t="s">
        <v>237</v>
      </c>
      <c r="M12" s="42" t="s">
        <v>166</v>
      </c>
      <c r="N12" s="42"/>
      <c r="O12" s="42" t="s">
        <v>232</v>
      </c>
      <c r="P12" s="42" t="s">
        <v>238</v>
      </c>
      <c r="Q12" s="42" t="s">
        <v>233</v>
      </c>
      <c r="R12" s="42" t="s">
        <v>234</v>
      </c>
      <c r="S12" s="36"/>
      <c r="T12" s="37" t="s">
        <v>241</v>
      </c>
      <c r="U12" s="35"/>
      <c r="V12" s="39">
        <v>1</v>
      </c>
      <c r="W12" s="39">
        <v>1</v>
      </c>
      <c r="X12" s="39" t="s">
        <v>186</v>
      </c>
      <c r="Y12" s="35" t="s">
        <v>185</v>
      </c>
      <c r="Z12" s="1">
        <v>0.4375</v>
      </c>
      <c r="AA12">
        <f t="shared" si="5"/>
        <v>0</v>
      </c>
      <c r="AB12" s="1">
        <f t="shared" si="6"/>
        <v>0.875</v>
      </c>
      <c r="AD12" s="43">
        <f t="shared" si="7"/>
        <v>0</v>
      </c>
    </row>
    <row r="13" spans="1:30" x14ac:dyDescent="0.3">
      <c r="A13" s="2" t="str">
        <f t="shared" si="1"/>
        <v/>
      </c>
      <c r="B13">
        <f t="shared" si="2"/>
        <v>7</v>
      </c>
      <c r="C13">
        <f t="shared" si="3"/>
        <v>6</v>
      </c>
      <c r="D13">
        <f t="shared" si="4"/>
        <v>31</v>
      </c>
      <c r="E13" s="13" t="s">
        <v>81</v>
      </c>
      <c r="F13" s="28" t="s">
        <v>188</v>
      </c>
      <c r="G13" s="28"/>
      <c r="H13" s="28"/>
      <c r="I13" s="28"/>
      <c r="J13" s="28" t="s">
        <v>230</v>
      </c>
      <c r="K13" s="28" t="s">
        <v>231</v>
      </c>
      <c r="L13" s="28"/>
      <c r="M13" s="28"/>
      <c r="N13" s="28"/>
      <c r="O13" s="28" t="s">
        <v>232</v>
      </c>
      <c r="P13" s="28"/>
      <c r="Q13" s="28" t="s">
        <v>233</v>
      </c>
      <c r="R13" s="28"/>
      <c r="S13" s="36" t="s">
        <v>242</v>
      </c>
      <c r="T13" s="37"/>
      <c r="U13" s="35"/>
      <c r="V13" s="39" t="s">
        <v>181</v>
      </c>
      <c r="W13" s="39" t="s">
        <v>236</v>
      </c>
      <c r="X13" s="39">
        <v>1</v>
      </c>
      <c r="Y13" s="35" t="s">
        <v>184</v>
      </c>
      <c r="Z13" s="1">
        <v>0.8125</v>
      </c>
      <c r="AA13">
        <f t="shared" si="5"/>
        <v>7</v>
      </c>
      <c r="AB13" s="1">
        <f t="shared" si="6"/>
        <v>0.4375</v>
      </c>
      <c r="AD13" s="43">
        <f t="shared" si="7"/>
        <v>7</v>
      </c>
    </row>
    <row r="14" spans="1:30" x14ac:dyDescent="0.3">
      <c r="A14" s="2" t="str">
        <f t="shared" si="1"/>
        <v/>
      </c>
      <c r="B14">
        <f t="shared" si="2"/>
        <v>11</v>
      </c>
      <c r="C14">
        <f t="shared" si="3"/>
        <v>10</v>
      </c>
      <c r="D14">
        <f t="shared" si="4"/>
        <v>5</v>
      </c>
      <c r="E14" s="13" t="s">
        <v>59</v>
      </c>
      <c r="F14" s="28" t="s">
        <v>188</v>
      </c>
      <c r="G14" s="28"/>
      <c r="H14" s="28"/>
      <c r="I14" s="28" t="s">
        <v>229</v>
      </c>
      <c r="J14" s="28" t="s">
        <v>230</v>
      </c>
      <c r="K14" s="28" t="s">
        <v>231</v>
      </c>
      <c r="L14" s="28" t="s">
        <v>237</v>
      </c>
      <c r="M14" s="28" t="s">
        <v>166</v>
      </c>
      <c r="N14" s="28"/>
      <c r="O14" s="28" t="s">
        <v>232</v>
      </c>
      <c r="P14" s="28"/>
      <c r="Q14" s="28" t="s">
        <v>233</v>
      </c>
      <c r="R14" s="28" t="s">
        <v>234</v>
      </c>
      <c r="S14" s="36" t="s">
        <v>242</v>
      </c>
      <c r="T14" s="37"/>
      <c r="U14" s="35"/>
      <c r="V14" s="39" t="s">
        <v>239</v>
      </c>
      <c r="W14" s="39" t="s">
        <v>156</v>
      </c>
      <c r="X14" s="39">
        <v>1</v>
      </c>
      <c r="Y14" s="35" t="s">
        <v>157</v>
      </c>
      <c r="Z14" s="1">
        <v>0.6875</v>
      </c>
      <c r="AA14">
        <f t="shared" si="5"/>
        <v>3</v>
      </c>
      <c r="AB14" s="1">
        <f t="shared" si="6"/>
        <v>0.6875</v>
      </c>
      <c r="AD14" s="43">
        <f t="shared" si="7"/>
        <v>3</v>
      </c>
    </row>
    <row r="15" spans="1:30" x14ac:dyDescent="0.3">
      <c r="A15" s="2" t="str">
        <f t="shared" si="1"/>
        <v/>
      </c>
      <c r="B15">
        <f t="shared" si="2"/>
        <v>9</v>
      </c>
      <c r="C15">
        <f t="shared" si="3"/>
        <v>8</v>
      </c>
      <c r="D15">
        <f t="shared" si="4"/>
        <v>21</v>
      </c>
      <c r="E15" s="13" t="s">
        <v>77</v>
      </c>
      <c r="F15" s="42" t="s">
        <v>188</v>
      </c>
      <c r="G15" s="42" t="s">
        <v>228</v>
      </c>
      <c r="H15" s="42"/>
      <c r="I15" s="42"/>
      <c r="J15" s="42" t="s">
        <v>230</v>
      </c>
      <c r="K15" s="42"/>
      <c r="L15" s="42"/>
      <c r="M15" s="42"/>
      <c r="N15" s="42"/>
      <c r="O15" s="42"/>
      <c r="P15" s="42" t="s">
        <v>238</v>
      </c>
      <c r="Q15" s="42" t="s">
        <v>233</v>
      </c>
      <c r="R15" s="42" t="s">
        <v>234</v>
      </c>
      <c r="S15" s="36" t="s">
        <v>242</v>
      </c>
      <c r="T15" s="37" t="s">
        <v>241</v>
      </c>
      <c r="U15" s="35"/>
      <c r="V15" s="39">
        <v>1</v>
      </c>
      <c r="W15" s="39" t="s">
        <v>181</v>
      </c>
      <c r="X15" s="39" t="s">
        <v>236</v>
      </c>
      <c r="Y15" s="35" t="s">
        <v>243</v>
      </c>
      <c r="Z15" s="1">
        <v>0.5625</v>
      </c>
      <c r="AA15">
        <f t="shared" si="5"/>
        <v>5</v>
      </c>
      <c r="AB15" s="1">
        <f t="shared" si="6"/>
        <v>0.5625</v>
      </c>
      <c r="AD15" s="43">
        <f t="shared" si="7"/>
        <v>5</v>
      </c>
    </row>
    <row r="16" spans="1:30" x14ac:dyDescent="0.3">
      <c r="A16" s="2" t="str">
        <f t="shared" si="1"/>
        <v/>
      </c>
      <c r="B16">
        <f t="shared" si="2"/>
        <v>11</v>
      </c>
      <c r="C16">
        <f t="shared" si="3"/>
        <v>10</v>
      </c>
      <c r="D16">
        <f t="shared" si="4"/>
        <v>5</v>
      </c>
      <c r="E16" s="13" t="s">
        <v>71</v>
      </c>
      <c r="F16" s="42" t="s">
        <v>188</v>
      </c>
      <c r="G16" s="42" t="s">
        <v>228</v>
      </c>
      <c r="H16" s="42"/>
      <c r="I16" s="42"/>
      <c r="J16" s="42" t="s">
        <v>230</v>
      </c>
      <c r="K16" s="42" t="s">
        <v>231</v>
      </c>
      <c r="L16" s="42"/>
      <c r="M16" s="42" t="s">
        <v>166</v>
      </c>
      <c r="N16" s="42" t="s">
        <v>244</v>
      </c>
      <c r="O16" s="42" t="s">
        <v>232</v>
      </c>
      <c r="P16" s="42" t="s">
        <v>238</v>
      </c>
      <c r="Q16" s="42"/>
      <c r="R16" s="42" t="s">
        <v>234</v>
      </c>
      <c r="S16" s="36" t="s">
        <v>242</v>
      </c>
      <c r="T16" s="37"/>
      <c r="U16" s="35"/>
      <c r="V16" s="39" t="s">
        <v>236</v>
      </c>
      <c r="W16" s="39" t="s">
        <v>181</v>
      </c>
      <c r="X16" s="39">
        <v>1</v>
      </c>
      <c r="Y16" s="35" t="s">
        <v>243</v>
      </c>
      <c r="Z16" s="1">
        <v>0.4375</v>
      </c>
      <c r="AA16">
        <f t="shared" si="5"/>
        <v>3</v>
      </c>
      <c r="AB16" s="1">
        <f t="shared" si="6"/>
        <v>0.6875</v>
      </c>
      <c r="AD16" s="43">
        <f t="shared" si="7"/>
        <v>3</v>
      </c>
    </row>
    <row r="17" spans="1:30" x14ac:dyDescent="0.3">
      <c r="A17" s="2" t="str">
        <f t="shared" si="1"/>
        <v/>
      </c>
      <c r="B17">
        <f t="shared" si="2"/>
        <v>9</v>
      </c>
      <c r="C17">
        <f t="shared" si="3"/>
        <v>8</v>
      </c>
      <c r="D17">
        <f t="shared" si="4"/>
        <v>21</v>
      </c>
      <c r="E17" s="13" t="s">
        <v>64</v>
      </c>
      <c r="F17" s="42" t="s">
        <v>188</v>
      </c>
      <c r="G17" s="42" t="s">
        <v>228</v>
      </c>
      <c r="H17" s="42"/>
      <c r="I17" s="42"/>
      <c r="J17" s="42" t="s">
        <v>230</v>
      </c>
      <c r="K17" s="42" t="s">
        <v>231</v>
      </c>
      <c r="L17" s="42"/>
      <c r="M17" s="42"/>
      <c r="N17" s="42"/>
      <c r="O17" s="42"/>
      <c r="P17" s="42"/>
      <c r="Q17" s="42" t="s">
        <v>233</v>
      </c>
      <c r="R17" s="42" t="s">
        <v>234</v>
      </c>
      <c r="S17" s="36" t="s">
        <v>242</v>
      </c>
      <c r="T17" s="37"/>
      <c r="U17" s="35" t="s">
        <v>235</v>
      </c>
      <c r="V17" s="39">
        <v>1</v>
      </c>
      <c r="W17" s="39" t="s">
        <v>236</v>
      </c>
      <c r="X17" s="39" t="s">
        <v>162</v>
      </c>
      <c r="Y17" s="35" t="s">
        <v>245</v>
      </c>
      <c r="Z17" s="1">
        <v>0.6875</v>
      </c>
      <c r="AA17">
        <f t="shared" si="5"/>
        <v>5</v>
      </c>
      <c r="AB17" s="1">
        <f t="shared" si="6"/>
        <v>0.5625</v>
      </c>
      <c r="AD17" s="43">
        <f t="shared" si="7"/>
        <v>5</v>
      </c>
    </row>
    <row r="18" spans="1:30" x14ac:dyDescent="0.3">
      <c r="A18" s="2" t="str">
        <f t="shared" si="1"/>
        <v/>
      </c>
      <c r="B18">
        <f t="shared" si="2"/>
        <v>5</v>
      </c>
      <c r="C18">
        <f t="shared" si="3"/>
        <v>5</v>
      </c>
      <c r="D18">
        <f t="shared" si="4"/>
        <v>35</v>
      </c>
      <c r="E18" s="13" t="s">
        <v>79</v>
      </c>
      <c r="F18" s="28" t="s">
        <v>188</v>
      </c>
      <c r="G18" s="28"/>
      <c r="H18" s="28"/>
      <c r="I18" s="28"/>
      <c r="J18" s="28" t="s">
        <v>230</v>
      </c>
      <c r="K18" s="28"/>
      <c r="L18" s="28"/>
      <c r="M18" s="28"/>
      <c r="N18" s="28" t="s">
        <v>244</v>
      </c>
      <c r="O18" s="28" t="s">
        <v>232</v>
      </c>
      <c r="P18" s="28"/>
      <c r="Q18" s="28"/>
      <c r="R18" s="28"/>
      <c r="S18" s="36"/>
      <c r="T18" s="37"/>
      <c r="U18" s="35" t="s">
        <v>235</v>
      </c>
      <c r="V18" s="39" t="s">
        <v>243</v>
      </c>
      <c r="W18" s="39" t="s">
        <v>181</v>
      </c>
      <c r="X18" s="39" t="s">
        <v>236</v>
      </c>
      <c r="Y18" s="35" t="s">
        <v>182</v>
      </c>
      <c r="Z18" s="1">
        <v>0.75</v>
      </c>
      <c r="AA18">
        <f t="shared" si="5"/>
        <v>9</v>
      </c>
      <c r="AB18" s="1">
        <f t="shared" si="6"/>
        <v>0.3125</v>
      </c>
      <c r="AD18" s="43">
        <f t="shared" si="7"/>
        <v>9</v>
      </c>
    </row>
    <row r="19" spans="1:30" x14ac:dyDescent="0.3">
      <c r="A19" s="2" t="str">
        <f t="shared" si="1"/>
        <v/>
      </c>
      <c r="B19">
        <f t="shared" si="2"/>
        <v>10</v>
      </c>
      <c r="C19">
        <f t="shared" si="3"/>
        <v>9</v>
      </c>
      <c r="D19">
        <f t="shared" si="4"/>
        <v>12</v>
      </c>
      <c r="E19" s="13" t="s">
        <v>63</v>
      </c>
      <c r="F19" s="42" t="s">
        <v>188</v>
      </c>
      <c r="G19" s="42" t="s">
        <v>228</v>
      </c>
      <c r="H19" s="42"/>
      <c r="I19" s="42" t="s">
        <v>229</v>
      </c>
      <c r="J19" s="42"/>
      <c r="K19" s="42" t="s">
        <v>231</v>
      </c>
      <c r="L19" s="42"/>
      <c r="M19" s="42"/>
      <c r="N19" s="42"/>
      <c r="O19" s="42" t="s">
        <v>232</v>
      </c>
      <c r="P19" s="42"/>
      <c r="Q19" s="42" t="s">
        <v>233</v>
      </c>
      <c r="R19" s="42" t="s">
        <v>234</v>
      </c>
      <c r="S19" s="36" t="s">
        <v>242</v>
      </c>
      <c r="T19" s="37"/>
      <c r="U19" s="35" t="s">
        <v>235</v>
      </c>
      <c r="V19" s="39">
        <v>1</v>
      </c>
      <c r="W19" s="39" t="s">
        <v>236</v>
      </c>
      <c r="X19" s="39" t="s">
        <v>181</v>
      </c>
      <c r="Y19" s="35" t="s">
        <v>245</v>
      </c>
      <c r="Z19" s="1">
        <v>0.75</v>
      </c>
      <c r="AA19">
        <f t="shared" si="5"/>
        <v>4</v>
      </c>
      <c r="AB19" s="1">
        <f t="shared" si="6"/>
        <v>0.625</v>
      </c>
      <c r="AD19" s="43">
        <f t="shared" si="7"/>
        <v>4</v>
      </c>
    </row>
    <row r="20" spans="1:30" x14ac:dyDescent="0.3">
      <c r="A20" s="2" t="str">
        <f t="shared" si="1"/>
        <v/>
      </c>
      <c r="B20">
        <f t="shared" si="2"/>
        <v>11</v>
      </c>
      <c r="C20">
        <f t="shared" si="3"/>
        <v>10</v>
      </c>
      <c r="D20">
        <f t="shared" si="4"/>
        <v>5</v>
      </c>
      <c r="E20" s="13" t="s">
        <v>19</v>
      </c>
      <c r="F20" s="42" t="s">
        <v>188</v>
      </c>
      <c r="G20" s="42" t="s">
        <v>228</v>
      </c>
      <c r="H20" s="42"/>
      <c r="I20" s="42"/>
      <c r="J20" s="42" t="s">
        <v>230</v>
      </c>
      <c r="K20" s="42" t="s">
        <v>231</v>
      </c>
      <c r="L20" s="42"/>
      <c r="M20" s="42" t="s">
        <v>166</v>
      </c>
      <c r="N20" s="42" t="s">
        <v>244</v>
      </c>
      <c r="O20" s="42"/>
      <c r="P20" s="42"/>
      <c r="Q20" s="42"/>
      <c r="R20" s="42" t="s">
        <v>234</v>
      </c>
      <c r="S20" s="36" t="s">
        <v>242</v>
      </c>
      <c r="T20" s="37" t="s">
        <v>241</v>
      </c>
      <c r="U20" s="35" t="s">
        <v>235</v>
      </c>
      <c r="V20" s="39">
        <v>1</v>
      </c>
      <c r="W20" s="39" t="s">
        <v>236</v>
      </c>
      <c r="X20" s="39" t="s">
        <v>181</v>
      </c>
      <c r="Y20" s="35" t="s">
        <v>246</v>
      </c>
      <c r="Z20" s="1">
        <v>0.4375</v>
      </c>
      <c r="AA20">
        <f t="shared" si="5"/>
        <v>3</v>
      </c>
      <c r="AB20" s="1">
        <f t="shared" si="6"/>
        <v>0.6875</v>
      </c>
      <c r="AD20" s="43">
        <f t="shared" si="7"/>
        <v>3</v>
      </c>
    </row>
    <row r="21" spans="1:30" x14ac:dyDescent="0.3">
      <c r="A21" s="2" t="str">
        <f t="shared" si="1"/>
        <v/>
      </c>
      <c r="B21">
        <f t="shared" si="2"/>
        <v>13</v>
      </c>
      <c r="C21">
        <f t="shared" si="3"/>
        <v>12</v>
      </c>
      <c r="D21">
        <f t="shared" si="4"/>
        <v>3</v>
      </c>
      <c r="E21" s="13" t="s">
        <v>74</v>
      </c>
      <c r="F21" s="42" t="s">
        <v>188</v>
      </c>
      <c r="G21" s="42" t="s">
        <v>228</v>
      </c>
      <c r="H21" s="42"/>
      <c r="I21" s="42"/>
      <c r="J21" s="42" t="s">
        <v>230</v>
      </c>
      <c r="K21" s="42" t="s">
        <v>231</v>
      </c>
      <c r="L21" s="42" t="s">
        <v>237</v>
      </c>
      <c r="M21" s="42" t="s">
        <v>166</v>
      </c>
      <c r="N21" s="42"/>
      <c r="O21" s="42" t="s">
        <v>232</v>
      </c>
      <c r="P21" s="42" t="s">
        <v>238</v>
      </c>
      <c r="Q21" s="42" t="s">
        <v>233</v>
      </c>
      <c r="R21" s="42" t="s">
        <v>234</v>
      </c>
      <c r="S21" s="36" t="s">
        <v>242</v>
      </c>
      <c r="T21" s="37" t="s">
        <v>241</v>
      </c>
      <c r="U21" s="35"/>
      <c r="V21" s="39">
        <v>1</v>
      </c>
      <c r="W21" s="39" t="s">
        <v>181</v>
      </c>
      <c r="X21" s="39" t="s">
        <v>162</v>
      </c>
      <c r="Y21" s="35" t="s">
        <v>157</v>
      </c>
      <c r="Z21" s="1">
        <v>0.4375</v>
      </c>
      <c r="AA21">
        <f t="shared" si="5"/>
        <v>1</v>
      </c>
      <c r="AB21" s="1">
        <f t="shared" si="6"/>
        <v>0.8125</v>
      </c>
      <c r="AD21" s="43">
        <f t="shared" si="7"/>
        <v>1</v>
      </c>
    </row>
    <row r="22" spans="1:30" x14ac:dyDescent="0.3">
      <c r="A22" s="2" t="str">
        <f t="shared" si="1"/>
        <v/>
      </c>
      <c r="B22">
        <f t="shared" si="2"/>
        <v>9</v>
      </c>
      <c r="C22">
        <f t="shared" si="3"/>
        <v>8</v>
      </c>
      <c r="D22">
        <f t="shared" si="4"/>
        <v>21</v>
      </c>
      <c r="E22" s="13" t="s">
        <v>67</v>
      </c>
      <c r="F22" s="42" t="s">
        <v>188</v>
      </c>
      <c r="G22" s="42" t="s">
        <v>228</v>
      </c>
      <c r="H22" s="42"/>
      <c r="I22" s="42"/>
      <c r="J22" s="42" t="s">
        <v>230</v>
      </c>
      <c r="K22" s="42"/>
      <c r="L22" s="42"/>
      <c r="M22" s="42" t="s">
        <v>166</v>
      </c>
      <c r="N22" s="42"/>
      <c r="O22" s="42" t="s">
        <v>232</v>
      </c>
      <c r="P22" s="42"/>
      <c r="Q22" s="42" t="s">
        <v>233</v>
      </c>
      <c r="R22" s="42"/>
      <c r="S22" s="36" t="s">
        <v>242</v>
      </c>
      <c r="T22" s="37"/>
      <c r="U22" s="35" t="s">
        <v>235</v>
      </c>
      <c r="V22" s="39" t="s">
        <v>236</v>
      </c>
      <c r="W22" s="39">
        <v>1</v>
      </c>
      <c r="X22" s="39" t="s">
        <v>156</v>
      </c>
      <c r="Y22" s="35" t="s">
        <v>183</v>
      </c>
      <c r="Z22" s="1">
        <v>0.8125</v>
      </c>
      <c r="AA22">
        <f t="shared" si="5"/>
        <v>5</v>
      </c>
      <c r="AB22" s="1">
        <f t="shared" si="6"/>
        <v>0.5625</v>
      </c>
      <c r="AD22" s="43">
        <f t="shared" si="7"/>
        <v>5</v>
      </c>
    </row>
    <row r="23" spans="1:30" x14ac:dyDescent="0.3">
      <c r="A23" s="2" t="str">
        <f t="shared" si="1"/>
        <v/>
      </c>
      <c r="B23">
        <f t="shared" si="2"/>
        <v>9</v>
      </c>
      <c r="C23">
        <f t="shared" si="3"/>
        <v>8</v>
      </c>
      <c r="D23">
        <f t="shared" si="4"/>
        <v>21</v>
      </c>
      <c r="E23" s="13" t="s">
        <v>20</v>
      </c>
      <c r="F23" s="42" t="s">
        <v>188</v>
      </c>
      <c r="G23" s="42" t="s">
        <v>228</v>
      </c>
      <c r="H23" s="42"/>
      <c r="I23" s="42"/>
      <c r="J23" s="42" t="s">
        <v>230</v>
      </c>
      <c r="K23" s="42" t="s">
        <v>231</v>
      </c>
      <c r="L23" s="42"/>
      <c r="M23" s="42"/>
      <c r="N23" s="42"/>
      <c r="O23" s="42" t="s">
        <v>232</v>
      </c>
      <c r="P23" s="42"/>
      <c r="Q23" s="42"/>
      <c r="R23" s="42" t="s">
        <v>234</v>
      </c>
      <c r="S23" s="36" t="s">
        <v>242</v>
      </c>
      <c r="T23" s="37"/>
      <c r="U23" s="35" t="s">
        <v>235</v>
      </c>
      <c r="V23" s="39" t="s">
        <v>162</v>
      </c>
      <c r="W23" s="39">
        <v>1</v>
      </c>
      <c r="X23" s="39" t="s">
        <v>239</v>
      </c>
      <c r="Y23" s="35" t="s">
        <v>245</v>
      </c>
      <c r="Z23" s="1">
        <v>0.6875</v>
      </c>
      <c r="AA23">
        <f t="shared" si="5"/>
        <v>5</v>
      </c>
      <c r="AB23" s="1">
        <f t="shared" si="6"/>
        <v>0.5625</v>
      </c>
      <c r="AD23" s="43">
        <f t="shared" si="7"/>
        <v>5</v>
      </c>
    </row>
    <row r="24" spans="1:30" x14ac:dyDescent="0.3">
      <c r="A24" s="2" t="str">
        <f t="shared" si="1"/>
        <v/>
      </c>
      <c r="B24">
        <f t="shared" si="2"/>
        <v>10</v>
      </c>
      <c r="C24">
        <f t="shared" si="3"/>
        <v>9</v>
      </c>
      <c r="D24">
        <f t="shared" si="4"/>
        <v>12</v>
      </c>
      <c r="E24" s="13" t="s">
        <v>76</v>
      </c>
      <c r="F24" s="42" t="s">
        <v>188</v>
      </c>
      <c r="G24" s="42" t="s">
        <v>228</v>
      </c>
      <c r="H24" s="42"/>
      <c r="I24" s="42"/>
      <c r="J24" s="42" t="s">
        <v>230</v>
      </c>
      <c r="K24" s="42" t="s">
        <v>231</v>
      </c>
      <c r="L24" s="42"/>
      <c r="M24" s="42"/>
      <c r="N24" s="42"/>
      <c r="O24" s="42" t="s">
        <v>232</v>
      </c>
      <c r="P24" s="42" t="s">
        <v>238</v>
      </c>
      <c r="Q24" s="42"/>
      <c r="R24" s="42" t="s">
        <v>234</v>
      </c>
      <c r="S24" s="36" t="s">
        <v>242</v>
      </c>
      <c r="T24" s="37" t="s">
        <v>241</v>
      </c>
      <c r="U24" s="35"/>
      <c r="V24" s="39" t="s">
        <v>181</v>
      </c>
      <c r="W24" s="39" t="s">
        <v>236</v>
      </c>
      <c r="X24" s="39">
        <v>1</v>
      </c>
      <c r="Y24" s="35" t="s">
        <v>184</v>
      </c>
      <c r="Z24" s="1">
        <v>0.5</v>
      </c>
      <c r="AA24">
        <f t="shared" si="5"/>
        <v>4</v>
      </c>
      <c r="AB24" s="1">
        <f t="shared" si="6"/>
        <v>0.625</v>
      </c>
      <c r="AD24" s="43">
        <f t="shared" si="7"/>
        <v>4</v>
      </c>
    </row>
    <row r="25" spans="1:30" x14ac:dyDescent="0.3">
      <c r="A25" s="2" t="str">
        <f t="shared" si="1"/>
        <v/>
      </c>
      <c r="B25">
        <f t="shared" si="2"/>
        <v>9</v>
      </c>
      <c r="C25">
        <f t="shared" si="3"/>
        <v>8</v>
      </c>
      <c r="D25">
        <f t="shared" si="4"/>
        <v>21</v>
      </c>
      <c r="E25" s="13" t="s">
        <v>55</v>
      </c>
      <c r="F25" s="42" t="s">
        <v>188</v>
      </c>
      <c r="G25" s="42" t="s">
        <v>228</v>
      </c>
      <c r="H25" s="42"/>
      <c r="I25" s="42"/>
      <c r="J25" s="42" t="s">
        <v>230</v>
      </c>
      <c r="K25" s="42" t="s">
        <v>231</v>
      </c>
      <c r="L25" s="42"/>
      <c r="M25" s="42"/>
      <c r="N25" s="42"/>
      <c r="O25" s="42" t="s">
        <v>232</v>
      </c>
      <c r="P25" s="42" t="s">
        <v>238</v>
      </c>
      <c r="Q25" s="42" t="s">
        <v>233</v>
      </c>
      <c r="R25" s="42"/>
      <c r="S25" s="36" t="s">
        <v>242</v>
      </c>
      <c r="T25" s="37"/>
      <c r="U25" s="35"/>
      <c r="V25" s="39" t="s">
        <v>236</v>
      </c>
      <c r="W25" s="39">
        <v>1</v>
      </c>
      <c r="X25" s="39" t="s">
        <v>181</v>
      </c>
      <c r="Y25" s="35" t="s">
        <v>246</v>
      </c>
      <c r="Z25" s="1">
        <v>0.6875</v>
      </c>
      <c r="AA25">
        <f t="shared" si="5"/>
        <v>5</v>
      </c>
      <c r="AB25" s="1">
        <f t="shared" si="6"/>
        <v>0.5625</v>
      </c>
      <c r="AD25" s="43">
        <f t="shared" si="7"/>
        <v>5</v>
      </c>
    </row>
    <row r="26" spans="1:30" x14ac:dyDescent="0.3">
      <c r="A26" s="2" t="str">
        <f t="shared" si="1"/>
        <v/>
      </c>
      <c r="B26">
        <f t="shared" si="2"/>
        <v>7</v>
      </c>
      <c r="C26">
        <f t="shared" si="3"/>
        <v>7</v>
      </c>
      <c r="D26">
        <f t="shared" si="4"/>
        <v>31</v>
      </c>
      <c r="E26" s="13" t="s">
        <v>57</v>
      </c>
      <c r="F26" s="28" t="s">
        <v>188</v>
      </c>
      <c r="G26" s="28"/>
      <c r="H26" s="28"/>
      <c r="I26" s="28"/>
      <c r="J26" s="28" t="s">
        <v>230</v>
      </c>
      <c r="K26" s="28" t="s">
        <v>231</v>
      </c>
      <c r="L26" s="28"/>
      <c r="M26" s="28"/>
      <c r="N26" s="28"/>
      <c r="O26" s="28" t="s">
        <v>232</v>
      </c>
      <c r="P26" s="28" t="s">
        <v>238</v>
      </c>
      <c r="Q26" s="28" t="s">
        <v>233</v>
      </c>
      <c r="R26" s="28" t="s">
        <v>234</v>
      </c>
      <c r="S26" s="36"/>
      <c r="T26" s="37"/>
      <c r="U26" s="35"/>
      <c r="V26" s="39" t="s">
        <v>243</v>
      </c>
      <c r="W26" s="39" t="s">
        <v>181</v>
      </c>
      <c r="X26" s="39" t="s">
        <v>162</v>
      </c>
      <c r="Y26" s="35" t="s">
        <v>174</v>
      </c>
      <c r="Z26" s="1">
        <v>0.625</v>
      </c>
      <c r="AA26">
        <f t="shared" si="5"/>
        <v>7</v>
      </c>
      <c r="AB26" s="1">
        <f t="shared" si="6"/>
        <v>0.4375</v>
      </c>
      <c r="AD26" s="43">
        <f t="shared" si="7"/>
        <v>7</v>
      </c>
    </row>
    <row r="27" spans="1:30" x14ac:dyDescent="0.3">
      <c r="A27" s="2" t="str">
        <f t="shared" si="1"/>
        <v/>
      </c>
      <c r="B27">
        <f t="shared" si="2"/>
        <v>8</v>
      </c>
      <c r="C27">
        <f t="shared" si="3"/>
        <v>7</v>
      </c>
      <c r="D27">
        <f t="shared" si="4"/>
        <v>28</v>
      </c>
      <c r="E27" s="13" t="s">
        <v>54</v>
      </c>
      <c r="F27" s="42"/>
      <c r="G27" s="42" t="s">
        <v>228</v>
      </c>
      <c r="H27" s="42"/>
      <c r="I27" s="42"/>
      <c r="J27" s="42"/>
      <c r="K27" s="42" t="s">
        <v>231</v>
      </c>
      <c r="L27" s="42"/>
      <c r="M27" s="42"/>
      <c r="N27" s="42"/>
      <c r="O27" s="42"/>
      <c r="P27" s="42" t="s">
        <v>238</v>
      </c>
      <c r="Q27" s="42" t="s">
        <v>233</v>
      </c>
      <c r="R27" s="42" t="s">
        <v>234</v>
      </c>
      <c r="S27" s="36" t="s">
        <v>242</v>
      </c>
      <c r="T27" s="37"/>
      <c r="U27" s="35" t="s">
        <v>235</v>
      </c>
      <c r="V27" s="39">
        <v>1</v>
      </c>
      <c r="W27" s="39" t="s">
        <v>236</v>
      </c>
      <c r="X27" s="39" t="s">
        <v>184</v>
      </c>
      <c r="Y27" s="35" t="s">
        <v>245</v>
      </c>
      <c r="Z27" s="1">
        <v>0.5</v>
      </c>
      <c r="AA27">
        <f t="shared" si="5"/>
        <v>6</v>
      </c>
      <c r="AB27" s="1">
        <f t="shared" si="6"/>
        <v>0.5</v>
      </c>
      <c r="AD27" s="43">
        <f t="shared" si="7"/>
        <v>6</v>
      </c>
    </row>
    <row r="28" spans="1:30" x14ac:dyDescent="0.3">
      <c r="A28" s="2" t="str">
        <f t="shared" si="1"/>
        <v/>
      </c>
      <c r="B28">
        <f t="shared" si="2"/>
        <v>10</v>
      </c>
      <c r="C28">
        <f t="shared" si="3"/>
        <v>10</v>
      </c>
      <c r="D28">
        <f t="shared" si="4"/>
        <v>12</v>
      </c>
      <c r="E28" s="13" t="s">
        <v>60</v>
      </c>
      <c r="F28" s="42" t="s">
        <v>188</v>
      </c>
      <c r="G28" s="42" t="s">
        <v>228</v>
      </c>
      <c r="H28" s="42"/>
      <c r="I28" s="42"/>
      <c r="J28" s="42" t="s">
        <v>230</v>
      </c>
      <c r="K28" s="42" t="s">
        <v>231</v>
      </c>
      <c r="L28" s="42" t="s">
        <v>237</v>
      </c>
      <c r="M28" s="42" t="s">
        <v>166</v>
      </c>
      <c r="N28" s="42"/>
      <c r="O28" s="42" t="s">
        <v>232</v>
      </c>
      <c r="P28" s="42" t="s">
        <v>238</v>
      </c>
      <c r="Q28" s="42"/>
      <c r="R28" s="42" t="s">
        <v>234</v>
      </c>
      <c r="S28" s="36"/>
      <c r="T28" s="37"/>
      <c r="U28" s="35" t="s">
        <v>235</v>
      </c>
      <c r="V28" s="39" t="s">
        <v>186</v>
      </c>
      <c r="W28" s="39" t="s">
        <v>236</v>
      </c>
      <c r="X28" s="39" t="s">
        <v>181</v>
      </c>
      <c r="Y28" s="35" t="s">
        <v>157</v>
      </c>
      <c r="Z28" s="1">
        <v>0.4375</v>
      </c>
      <c r="AA28">
        <f t="shared" si="5"/>
        <v>4</v>
      </c>
      <c r="AB28" s="1">
        <f t="shared" si="6"/>
        <v>0.625</v>
      </c>
      <c r="AD28" s="43">
        <f t="shared" si="7"/>
        <v>4</v>
      </c>
    </row>
    <row r="29" spans="1:30" x14ac:dyDescent="0.3">
      <c r="A29" s="2" t="str">
        <f t="shared" si="1"/>
        <v/>
      </c>
      <c r="B29">
        <f t="shared" si="2"/>
        <v>12</v>
      </c>
      <c r="C29">
        <f t="shared" si="3"/>
        <v>10</v>
      </c>
      <c r="D29">
        <f t="shared" si="4"/>
        <v>4</v>
      </c>
      <c r="E29" s="13" t="s">
        <v>68</v>
      </c>
      <c r="F29" s="28" t="s">
        <v>188</v>
      </c>
      <c r="G29" s="28"/>
      <c r="H29" s="28"/>
      <c r="I29" s="28" t="s">
        <v>229</v>
      </c>
      <c r="J29" s="28" t="s">
        <v>230</v>
      </c>
      <c r="K29" s="28" t="s">
        <v>231</v>
      </c>
      <c r="L29" s="28"/>
      <c r="M29" s="28"/>
      <c r="N29" s="28" t="s">
        <v>244</v>
      </c>
      <c r="O29" s="28" t="s">
        <v>232</v>
      </c>
      <c r="P29" s="28" t="s">
        <v>238</v>
      </c>
      <c r="Q29" s="28"/>
      <c r="R29" s="28" t="s">
        <v>234</v>
      </c>
      <c r="S29" s="36" t="s">
        <v>242</v>
      </c>
      <c r="T29" s="37"/>
      <c r="U29" s="35" t="s">
        <v>235</v>
      </c>
      <c r="V29" s="39" t="s">
        <v>236</v>
      </c>
      <c r="W29" s="39">
        <v>1</v>
      </c>
      <c r="X29" s="39">
        <v>1</v>
      </c>
      <c r="Y29" s="35" t="s">
        <v>246</v>
      </c>
      <c r="Z29" s="1">
        <v>0.6875</v>
      </c>
      <c r="AA29">
        <f t="shared" si="5"/>
        <v>2</v>
      </c>
      <c r="AB29" s="1">
        <f t="shared" si="6"/>
        <v>0.75</v>
      </c>
      <c r="AD29" s="43">
        <f t="shared" si="7"/>
        <v>2</v>
      </c>
    </row>
    <row r="30" spans="1:30" x14ac:dyDescent="0.3">
      <c r="A30" s="2" t="str">
        <f t="shared" si="1"/>
        <v/>
      </c>
      <c r="B30">
        <f t="shared" si="2"/>
        <v>10</v>
      </c>
      <c r="C30">
        <f t="shared" si="3"/>
        <v>9</v>
      </c>
      <c r="D30">
        <f t="shared" si="4"/>
        <v>12</v>
      </c>
      <c r="E30" s="13" t="s">
        <v>70</v>
      </c>
      <c r="F30" s="28" t="s">
        <v>188</v>
      </c>
      <c r="G30" s="28" t="s">
        <v>228</v>
      </c>
      <c r="H30" s="28"/>
      <c r="I30" s="28"/>
      <c r="J30" s="28" t="s">
        <v>230</v>
      </c>
      <c r="K30" s="28" t="s">
        <v>231</v>
      </c>
      <c r="L30" s="28"/>
      <c r="M30" s="28"/>
      <c r="N30" s="28"/>
      <c r="O30" s="28" t="s">
        <v>232</v>
      </c>
      <c r="P30" s="28" t="s">
        <v>238</v>
      </c>
      <c r="Q30" s="28" t="s">
        <v>233</v>
      </c>
      <c r="R30" s="28" t="s">
        <v>234</v>
      </c>
      <c r="S30" s="36" t="s">
        <v>242</v>
      </c>
      <c r="T30" s="37"/>
      <c r="U30" s="35"/>
      <c r="V30" s="39" t="s">
        <v>162</v>
      </c>
      <c r="W30" s="39">
        <v>1</v>
      </c>
      <c r="X30" s="39" t="s">
        <v>181</v>
      </c>
      <c r="Y30" s="35" t="s">
        <v>243</v>
      </c>
      <c r="Z30" s="1">
        <v>0.625</v>
      </c>
      <c r="AA30">
        <f t="shared" si="5"/>
        <v>4</v>
      </c>
      <c r="AB30" s="1">
        <f t="shared" si="6"/>
        <v>0.625</v>
      </c>
      <c r="AD30" s="43">
        <f t="shared" si="7"/>
        <v>4</v>
      </c>
    </row>
    <row r="31" spans="1:30" x14ac:dyDescent="0.3">
      <c r="A31" s="2" t="str">
        <f t="shared" si="1"/>
        <v/>
      </c>
      <c r="B31">
        <f t="shared" si="2"/>
        <v>8</v>
      </c>
      <c r="C31">
        <f t="shared" si="3"/>
        <v>7</v>
      </c>
      <c r="D31">
        <f t="shared" si="4"/>
        <v>28</v>
      </c>
      <c r="E31" s="13" t="s">
        <v>62</v>
      </c>
      <c r="F31" s="28" t="s">
        <v>188</v>
      </c>
      <c r="G31" s="28" t="s">
        <v>228</v>
      </c>
      <c r="H31" s="28"/>
      <c r="I31" s="28"/>
      <c r="J31" s="28"/>
      <c r="K31" s="28"/>
      <c r="L31" s="28"/>
      <c r="M31" s="28"/>
      <c r="N31" s="28"/>
      <c r="O31" s="28"/>
      <c r="P31" s="28" t="s">
        <v>238</v>
      </c>
      <c r="Q31" s="28" t="s">
        <v>233</v>
      </c>
      <c r="R31" s="28"/>
      <c r="S31" s="36" t="s">
        <v>242</v>
      </c>
      <c r="T31" s="37" t="s">
        <v>241</v>
      </c>
      <c r="U31" s="35" t="s">
        <v>235</v>
      </c>
      <c r="V31" s="39">
        <v>1</v>
      </c>
      <c r="W31" s="39" t="s">
        <v>247</v>
      </c>
      <c r="X31" s="39" t="s">
        <v>162</v>
      </c>
      <c r="Y31" s="35" t="s">
        <v>245</v>
      </c>
      <c r="Z31" s="1">
        <v>0.625</v>
      </c>
      <c r="AA31">
        <f t="shared" si="5"/>
        <v>6</v>
      </c>
      <c r="AB31" s="1">
        <f t="shared" si="6"/>
        <v>0.5</v>
      </c>
      <c r="AD31" s="43">
        <f t="shared" si="7"/>
        <v>6</v>
      </c>
    </row>
    <row r="32" spans="1:30" x14ac:dyDescent="0.3">
      <c r="A32" s="2" t="str">
        <f t="shared" si="1"/>
        <v/>
      </c>
      <c r="B32">
        <f t="shared" si="2"/>
        <v>10</v>
      </c>
      <c r="C32">
        <f t="shared" si="3"/>
        <v>9</v>
      </c>
      <c r="D32">
        <f t="shared" si="4"/>
        <v>12</v>
      </c>
      <c r="E32" s="13" t="s">
        <v>21</v>
      </c>
      <c r="F32" s="28" t="s">
        <v>188</v>
      </c>
      <c r="G32" s="28" t="s">
        <v>228</v>
      </c>
      <c r="H32" s="28"/>
      <c r="I32" s="28"/>
      <c r="J32" s="28"/>
      <c r="K32" s="28" t="s">
        <v>231</v>
      </c>
      <c r="L32" s="28"/>
      <c r="M32" s="28"/>
      <c r="N32" s="28" t="s">
        <v>244</v>
      </c>
      <c r="O32" s="28"/>
      <c r="P32" s="28" t="s">
        <v>238</v>
      </c>
      <c r="Q32" s="28" t="s">
        <v>233</v>
      </c>
      <c r="R32" s="28" t="s">
        <v>234</v>
      </c>
      <c r="S32" s="36" t="s">
        <v>242</v>
      </c>
      <c r="T32" s="37"/>
      <c r="U32" s="35" t="s">
        <v>235</v>
      </c>
      <c r="V32" s="39" t="s">
        <v>181</v>
      </c>
      <c r="W32" s="39">
        <v>1</v>
      </c>
      <c r="X32" s="39" t="s">
        <v>186</v>
      </c>
      <c r="Y32" s="35" t="s">
        <v>246</v>
      </c>
      <c r="Z32" s="1">
        <v>0.5</v>
      </c>
      <c r="AA32">
        <f t="shared" si="5"/>
        <v>4</v>
      </c>
      <c r="AB32" s="1">
        <f t="shared" si="6"/>
        <v>0.625</v>
      </c>
      <c r="AD32" s="43">
        <f t="shared" si="7"/>
        <v>4</v>
      </c>
    </row>
    <row r="33" spans="1:30" x14ac:dyDescent="0.3">
      <c r="A33" s="2" t="str">
        <f t="shared" si="1"/>
        <v/>
      </c>
      <c r="B33">
        <f t="shared" si="2"/>
        <v>11</v>
      </c>
      <c r="C33">
        <f t="shared" si="3"/>
        <v>9</v>
      </c>
      <c r="D33">
        <f t="shared" si="4"/>
        <v>5</v>
      </c>
      <c r="E33" s="13" t="s">
        <v>52</v>
      </c>
      <c r="F33" s="28" t="s">
        <v>188</v>
      </c>
      <c r="G33" s="28" t="s">
        <v>228</v>
      </c>
      <c r="H33" s="28"/>
      <c r="I33" s="28"/>
      <c r="J33" s="28" t="s">
        <v>230</v>
      </c>
      <c r="K33" s="28" t="s">
        <v>231</v>
      </c>
      <c r="L33" s="28"/>
      <c r="M33" s="28"/>
      <c r="N33" s="28"/>
      <c r="O33" s="28" t="s">
        <v>232</v>
      </c>
      <c r="P33" s="28"/>
      <c r="Q33" s="28" t="s">
        <v>233</v>
      </c>
      <c r="R33" s="28" t="s">
        <v>234</v>
      </c>
      <c r="S33" s="36" t="s">
        <v>242</v>
      </c>
      <c r="T33" s="37"/>
      <c r="U33" s="35" t="s">
        <v>235</v>
      </c>
      <c r="V33" s="39">
        <v>1</v>
      </c>
      <c r="W33" s="39" t="s">
        <v>236</v>
      </c>
      <c r="X33" s="39">
        <v>1</v>
      </c>
      <c r="Y33" s="35" t="s">
        <v>181</v>
      </c>
      <c r="Z33" s="1">
        <v>0.75</v>
      </c>
      <c r="AA33">
        <f t="shared" si="5"/>
        <v>3</v>
      </c>
      <c r="AB33" s="1">
        <f t="shared" si="6"/>
        <v>0.6875</v>
      </c>
      <c r="AD33" s="43">
        <f t="shared" si="7"/>
        <v>3</v>
      </c>
    </row>
    <row r="34" spans="1:30" x14ac:dyDescent="0.3">
      <c r="A34" s="2" t="str">
        <f t="shared" si="1"/>
        <v/>
      </c>
      <c r="B34">
        <f t="shared" si="2"/>
        <v>6</v>
      </c>
      <c r="C34">
        <f t="shared" si="3"/>
        <v>6</v>
      </c>
      <c r="D34">
        <f t="shared" si="4"/>
        <v>34</v>
      </c>
      <c r="E34" s="13" t="s">
        <v>73</v>
      </c>
      <c r="F34" s="28" t="s">
        <v>188</v>
      </c>
      <c r="G34" s="42" t="s">
        <v>228</v>
      </c>
      <c r="H34" s="42"/>
      <c r="I34" s="42"/>
      <c r="J34" s="42" t="s">
        <v>230</v>
      </c>
      <c r="K34" s="42" t="s">
        <v>231</v>
      </c>
      <c r="L34" s="42"/>
      <c r="M34" s="42"/>
      <c r="N34" s="42"/>
      <c r="O34" s="42"/>
      <c r="P34" s="42" t="s">
        <v>238</v>
      </c>
      <c r="Q34" s="42"/>
      <c r="R34" s="42" t="s">
        <v>234</v>
      </c>
      <c r="S34" s="36"/>
      <c r="T34" s="37"/>
      <c r="U34" s="35"/>
      <c r="V34" s="39" t="s">
        <v>236</v>
      </c>
      <c r="W34" s="39" t="s">
        <v>181</v>
      </c>
      <c r="X34" s="39" t="s">
        <v>162</v>
      </c>
      <c r="Y34" s="35" t="s">
        <v>245</v>
      </c>
      <c r="Z34" s="1">
        <v>0.4375</v>
      </c>
      <c r="AA34">
        <f t="shared" si="5"/>
        <v>8</v>
      </c>
      <c r="AB34" s="1">
        <f t="shared" si="6"/>
        <v>0.375</v>
      </c>
      <c r="AD34" s="43">
        <f t="shared" si="7"/>
        <v>8</v>
      </c>
    </row>
    <row r="35" spans="1:30" x14ac:dyDescent="0.3">
      <c r="A35" s="2" t="str">
        <f t="shared" si="1"/>
        <v/>
      </c>
      <c r="B35">
        <f t="shared" si="2"/>
        <v>10</v>
      </c>
      <c r="C35">
        <f t="shared" si="3"/>
        <v>9</v>
      </c>
      <c r="D35">
        <f t="shared" si="4"/>
        <v>12</v>
      </c>
      <c r="E35" s="13" t="s">
        <v>61</v>
      </c>
      <c r="F35" s="42" t="s">
        <v>188</v>
      </c>
      <c r="G35" s="42" t="s">
        <v>228</v>
      </c>
      <c r="H35" s="42"/>
      <c r="I35" s="42"/>
      <c r="J35" s="42" t="s">
        <v>230</v>
      </c>
      <c r="K35" s="42" t="s">
        <v>231</v>
      </c>
      <c r="L35" s="42"/>
      <c r="M35" s="42"/>
      <c r="N35" s="42" t="s">
        <v>244</v>
      </c>
      <c r="O35" s="42" t="s">
        <v>232</v>
      </c>
      <c r="P35" s="42"/>
      <c r="Q35" s="42"/>
      <c r="R35" s="42" t="s">
        <v>234</v>
      </c>
      <c r="S35" s="36" t="s">
        <v>242</v>
      </c>
      <c r="T35" s="37"/>
      <c r="U35" s="35" t="s">
        <v>235</v>
      </c>
      <c r="V35" s="39">
        <v>1</v>
      </c>
      <c r="W35" s="39" t="s">
        <v>236</v>
      </c>
      <c r="X35" s="39" t="s">
        <v>162</v>
      </c>
      <c r="Y35" s="35" t="s">
        <v>174</v>
      </c>
      <c r="Z35" s="1">
        <v>0.625</v>
      </c>
      <c r="AA35">
        <f t="shared" si="5"/>
        <v>4</v>
      </c>
      <c r="AB35" s="1">
        <f t="shared" si="6"/>
        <v>0.625</v>
      </c>
      <c r="AD35" s="43">
        <f t="shared" si="7"/>
        <v>4</v>
      </c>
    </row>
    <row r="36" spans="1:30" x14ac:dyDescent="0.3">
      <c r="A36" s="2" t="str">
        <f t="shared" si="1"/>
        <v/>
      </c>
      <c r="B36">
        <f t="shared" si="2"/>
        <v>9</v>
      </c>
      <c r="C36">
        <f t="shared" si="3"/>
        <v>8</v>
      </c>
      <c r="D36">
        <f t="shared" si="4"/>
        <v>21</v>
      </c>
      <c r="E36" s="13" t="s">
        <v>66</v>
      </c>
      <c r="F36" s="42" t="s">
        <v>188</v>
      </c>
      <c r="G36" s="42" t="s">
        <v>228</v>
      </c>
      <c r="H36" s="42"/>
      <c r="I36" s="42"/>
      <c r="J36" s="42" t="s">
        <v>230</v>
      </c>
      <c r="K36" s="28"/>
      <c r="L36" s="42"/>
      <c r="M36" s="42" t="s">
        <v>166</v>
      </c>
      <c r="N36" s="42"/>
      <c r="O36" s="42"/>
      <c r="P36" s="42"/>
      <c r="Q36" s="42" t="s">
        <v>233</v>
      </c>
      <c r="R36" s="42" t="s">
        <v>234</v>
      </c>
      <c r="S36" s="36" t="s">
        <v>242</v>
      </c>
      <c r="T36" s="37"/>
      <c r="U36" s="35" t="s">
        <v>235</v>
      </c>
      <c r="V36" s="39" t="s">
        <v>239</v>
      </c>
      <c r="W36" s="39" t="s">
        <v>181</v>
      </c>
      <c r="X36" s="39">
        <v>1</v>
      </c>
      <c r="Y36" s="35" t="s">
        <v>174</v>
      </c>
      <c r="Z36" s="1">
        <v>0.6875</v>
      </c>
      <c r="AA36">
        <f t="shared" si="5"/>
        <v>5</v>
      </c>
      <c r="AB36" s="1">
        <f t="shared" si="6"/>
        <v>0.5625</v>
      </c>
      <c r="AD36" s="43">
        <f t="shared" si="7"/>
        <v>5</v>
      </c>
    </row>
    <row r="37" spans="1:30" x14ac:dyDescent="0.3">
      <c r="A37" s="2" t="str">
        <f t="shared" si="1"/>
        <v/>
      </c>
      <c r="B37">
        <f t="shared" si="2"/>
        <v>11</v>
      </c>
      <c r="C37">
        <f t="shared" si="3"/>
        <v>10</v>
      </c>
      <c r="D37">
        <f t="shared" si="4"/>
        <v>5</v>
      </c>
      <c r="E37" s="13" t="s">
        <v>75</v>
      </c>
      <c r="F37" s="28" t="s">
        <v>188</v>
      </c>
      <c r="G37" s="28" t="s">
        <v>228</v>
      </c>
      <c r="H37" s="28"/>
      <c r="I37" s="28"/>
      <c r="J37" s="28" t="s">
        <v>230</v>
      </c>
      <c r="K37" s="28" t="s">
        <v>231</v>
      </c>
      <c r="L37" s="28"/>
      <c r="M37" s="28"/>
      <c r="N37" s="28"/>
      <c r="O37" s="28" t="s">
        <v>232</v>
      </c>
      <c r="P37" s="28" t="s">
        <v>238</v>
      </c>
      <c r="Q37" s="28" t="s">
        <v>233</v>
      </c>
      <c r="R37" s="28" t="s">
        <v>234</v>
      </c>
      <c r="S37" s="36" t="s">
        <v>242</v>
      </c>
      <c r="T37" s="37"/>
      <c r="U37" s="35" t="s">
        <v>235</v>
      </c>
      <c r="V37" s="39" t="s">
        <v>236</v>
      </c>
      <c r="W37" s="39">
        <v>1</v>
      </c>
      <c r="X37" s="39" t="s">
        <v>181</v>
      </c>
      <c r="Y37" s="35" t="s">
        <v>245</v>
      </c>
      <c r="Z37" s="1">
        <v>0.6875</v>
      </c>
      <c r="AA37">
        <f t="shared" si="5"/>
        <v>3</v>
      </c>
      <c r="AB37" s="1">
        <f t="shared" si="6"/>
        <v>0.6875</v>
      </c>
      <c r="AD37" s="43">
        <f t="shared" si="7"/>
        <v>3</v>
      </c>
    </row>
    <row r="38" spans="1:30" x14ac:dyDescent="0.3">
      <c r="A38" s="2" t="str">
        <f t="shared" si="1"/>
        <v/>
      </c>
      <c r="B38">
        <f t="shared" si="2"/>
        <v>9</v>
      </c>
      <c r="C38">
        <f t="shared" si="3"/>
        <v>9</v>
      </c>
      <c r="D38">
        <f t="shared" si="4"/>
        <v>21</v>
      </c>
      <c r="E38" s="13" t="s">
        <v>78</v>
      </c>
      <c r="F38" s="28" t="s">
        <v>188</v>
      </c>
      <c r="G38" s="28" t="s">
        <v>228</v>
      </c>
      <c r="H38" s="28"/>
      <c r="I38" s="28"/>
      <c r="J38" s="28" t="s">
        <v>230</v>
      </c>
      <c r="K38" s="28" t="s">
        <v>231</v>
      </c>
      <c r="L38" s="28"/>
      <c r="M38" s="28"/>
      <c r="N38" s="28" t="s">
        <v>244</v>
      </c>
      <c r="O38" s="28"/>
      <c r="P38" s="28" t="s">
        <v>238</v>
      </c>
      <c r="Q38" s="28" t="s">
        <v>233</v>
      </c>
      <c r="R38" s="28" t="s">
        <v>234</v>
      </c>
      <c r="S38" s="36"/>
      <c r="T38" s="37"/>
      <c r="U38" s="35" t="s">
        <v>235</v>
      </c>
      <c r="V38" s="39" t="s">
        <v>181</v>
      </c>
      <c r="W38" s="39" t="s">
        <v>236</v>
      </c>
      <c r="X38" s="39" t="s">
        <v>239</v>
      </c>
      <c r="Y38" s="35" t="s">
        <v>245</v>
      </c>
      <c r="Z38" s="1">
        <v>0.5</v>
      </c>
      <c r="AA38">
        <f t="shared" si="5"/>
        <v>5</v>
      </c>
      <c r="AB38" s="1">
        <f t="shared" si="6"/>
        <v>0.5625</v>
      </c>
      <c r="AD38" s="43">
        <f t="shared" si="7"/>
        <v>5</v>
      </c>
    </row>
    <row r="39" spans="1:30" x14ac:dyDescent="0.3">
      <c r="A39" s="2">
        <f t="shared" si="1"/>
        <v>75.5</v>
      </c>
      <c r="B39">
        <f t="shared" si="2"/>
        <v>14</v>
      </c>
      <c r="C39">
        <f t="shared" si="3"/>
        <v>12</v>
      </c>
      <c r="D39">
        <f t="shared" si="4"/>
        <v>1</v>
      </c>
      <c r="E39" s="13" t="s">
        <v>80</v>
      </c>
      <c r="F39" s="38" t="s">
        <v>188</v>
      </c>
      <c r="G39" s="38" t="s">
        <v>228</v>
      </c>
      <c r="H39" s="38"/>
      <c r="I39" s="38"/>
      <c r="J39" s="38" t="s">
        <v>230</v>
      </c>
      <c r="K39" s="38" t="s">
        <v>231</v>
      </c>
      <c r="L39" s="38" t="s">
        <v>237</v>
      </c>
      <c r="M39" s="38"/>
      <c r="N39" s="38"/>
      <c r="O39" s="38" t="s">
        <v>232</v>
      </c>
      <c r="P39" s="38" t="s">
        <v>238</v>
      </c>
      <c r="Q39" s="38" t="s">
        <v>233</v>
      </c>
      <c r="R39" s="38" t="s">
        <v>234</v>
      </c>
      <c r="S39" s="36" t="s">
        <v>242</v>
      </c>
      <c r="T39" s="37" t="s">
        <v>241</v>
      </c>
      <c r="U39" s="36" t="s">
        <v>235</v>
      </c>
      <c r="V39" s="39">
        <v>1</v>
      </c>
      <c r="W39" s="39" t="s">
        <v>181</v>
      </c>
      <c r="X39" s="39">
        <v>1</v>
      </c>
      <c r="Y39" s="36" t="s">
        <v>183</v>
      </c>
      <c r="Z39" s="1">
        <v>0.5625</v>
      </c>
      <c r="AA39">
        <f t="shared" si="5"/>
        <v>0</v>
      </c>
      <c r="AB39" s="1">
        <f t="shared" si="6"/>
        <v>0.875</v>
      </c>
      <c r="AD39" s="43">
        <f t="shared" si="7"/>
        <v>0</v>
      </c>
    </row>
    <row r="40" spans="1:30" x14ac:dyDescent="0.3">
      <c r="A40" s="2" t="str">
        <f t="shared" si="1"/>
        <v/>
      </c>
      <c r="B40">
        <f t="shared" si="2"/>
        <v>7</v>
      </c>
      <c r="C40">
        <f t="shared" si="3"/>
        <v>7</v>
      </c>
      <c r="D40">
        <f t="shared" si="4"/>
        <v>31</v>
      </c>
      <c r="E40" s="13" t="s">
        <v>65</v>
      </c>
      <c r="F40" s="37" t="s">
        <v>188</v>
      </c>
      <c r="G40" s="37"/>
      <c r="H40" s="37"/>
      <c r="I40" s="37"/>
      <c r="J40" s="37" t="s">
        <v>230</v>
      </c>
      <c r="K40" s="37" t="s">
        <v>231</v>
      </c>
      <c r="L40" s="37"/>
      <c r="M40" s="37"/>
      <c r="N40" s="37" t="s">
        <v>244</v>
      </c>
      <c r="O40" s="37"/>
      <c r="P40" s="37" t="s">
        <v>238</v>
      </c>
      <c r="Q40" s="37"/>
      <c r="R40" s="37" t="s">
        <v>234</v>
      </c>
      <c r="S40" s="36"/>
      <c r="T40" s="37"/>
      <c r="U40" s="35" t="s">
        <v>235</v>
      </c>
      <c r="V40" s="39" t="s">
        <v>236</v>
      </c>
      <c r="W40" s="39" t="s">
        <v>156</v>
      </c>
      <c r="X40" s="39" t="s">
        <v>181</v>
      </c>
      <c r="Y40" s="35" t="s">
        <v>245</v>
      </c>
      <c r="Z40" s="1">
        <v>0.5</v>
      </c>
      <c r="AA40">
        <f t="shared" si="5"/>
        <v>7</v>
      </c>
      <c r="AB40" s="1">
        <f t="shared" si="6"/>
        <v>0.4375</v>
      </c>
      <c r="AD40" s="43">
        <f t="shared" si="7"/>
        <v>7</v>
      </c>
    </row>
    <row r="41" spans="1:30" x14ac:dyDescent="0.3">
      <c r="A41" s="2" t="str">
        <f t="shared" si="1"/>
        <v/>
      </c>
      <c r="B41">
        <f t="shared" si="2"/>
        <v>8</v>
      </c>
      <c r="C41">
        <f t="shared" si="3"/>
        <v>7</v>
      </c>
      <c r="D41">
        <f t="shared" si="4"/>
        <v>28</v>
      </c>
      <c r="E41" s="13" t="s">
        <v>53</v>
      </c>
      <c r="F41" s="37" t="s">
        <v>188</v>
      </c>
      <c r="G41" s="37" t="s">
        <v>228</v>
      </c>
      <c r="H41" s="37"/>
      <c r="I41" s="37"/>
      <c r="J41" s="37" t="s">
        <v>230</v>
      </c>
      <c r="K41" s="37" t="s">
        <v>231</v>
      </c>
      <c r="L41" s="37"/>
      <c r="M41" s="37"/>
      <c r="N41" s="37"/>
      <c r="O41" s="37"/>
      <c r="P41" s="37"/>
      <c r="Q41" s="37"/>
      <c r="R41" s="37" t="s">
        <v>234</v>
      </c>
      <c r="S41" s="36"/>
      <c r="T41" s="37" t="s">
        <v>241</v>
      </c>
      <c r="U41" s="36" t="s">
        <v>235</v>
      </c>
      <c r="V41" s="39" t="s">
        <v>181</v>
      </c>
      <c r="W41" s="39">
        <v>1</v>
      </c>
      <c r="X41" s="39" t="s">
        <v>236</v>
      </c>
      <c r="Y41" s="36" t="s">
        <v>245</v>
      </c>
      <c r="Z41" s="1">
        <v>0.5</v>
      </c>
      <c r="AA41">
        <f t="shared" si="5"/>
        <v>6</v>
      </c>
      <c r="AB41" s="1">
        <f t="shared" si="6"/>
        <v>0.5</v>
      </c>
      <c r="AD41" s="43">
        <f t="shared" si="7"/>
        <v>6</v>
      </c>
    </row>
    <row r="42" spans="1:30" x14ac:dyDescent="0.3">
      <c r="A42" s="2" t="str">
        <f t="shared" si="1"/>
        <v/>
      </c>
      <c r="B42">
        <f t="shared" si="2"/>
        <v>10</v>
      </c>
      <c r="C42">
        <f t="shared" si="3"/>
        <v>8</v>
      </c>
      <c r="D42">
        <f t="shared" si="4"/>
        <v>12</v>
      </c>
      <c r="E42" s="13" t="s">
        <v>69</v>
      </c>
      <c r="F42" s="37" t="s">
        <v>188</v>
      </c>
      <c r="G42" s="37" t="s">
        <v>228</v>
      </c>
      <c r="H42" s="37"/>
      <c r="I42" s="37"/>
      <c r="J42" s="37" t="s">
        <v>230</v>
      </c>
      <c r="K42" s="37" t="s">
        <v>231</v>
      </c>
      <c r="L42" s="37"/>
      <c r="M42" s="37"/>
      <c r="N42" s="37"/>
      <c r="O42" s="37"/>
      <c r="P42" s="37" t="s">
        <v>238</v>
      </c>
      <c r="Q42" s="37"/>
      <c r="R42" s="37" t="s">
        <v>234</v>
      </c>
      <c r="S42" s="36" t="s">
        <v>242</v>
      </c>
      <c r="T42" s="37"/>
      <c r="U42" s="36" t="s">
        <v>235</v>
      </c>
      <c r="V42" s="39">
        <v>1</v>
      </c>
      <c r="W42" s="39" t="s">
        <v>181</v>
      </c>
      <c r="X42" s="39">
        <v>1</v>
      </c>
      <c r="Y42" s="36" t="s">
        <v>163</v>
      </c>
      <c r="Z42" s="1">
        <v>0.5625</v>
      </c>
      <c r="AA42">
        <f t="shared" si="5"/>
        <v>4</v>
      </c>
      <c r="AB42" s="1">
        <f t="shared" si="6"/>
        <v>0.625</v>
      </c>
      <c r="AD42" s="43">
        <f t="shared" si="7"/>
        <v>4</v>
      </c>
    </row>
    <row r="43" spans="1:30" x14ac:dyDescent="0.3">
      <c r="A43" s="2" t="str">
        <f t="shared" si="1"/>
        <v/>
      </c>
      <c r="B43">
        <f t="shared" si="2"/>
        <v>11</v>
      </c>
      <c r="C43">
        <f t="shared" si="3"/>
        <v>10</v>
      </c>
      <c r="D43">
        <f t="shared" si="4"/>
        <v>5</v>
      </c>
      <c r="E43" s="13" t="s">
        <v>72</v>
      </c>
      <c r="F43" s="37" t="s">
        <v>188</v>
      </c>
      <c r="G43" s="37" t="s">
        <v>228</v>
      </c>
      <c r="H43" s="37"/>
      <c r="I43" s="37"/>
      <c r="J43" s="37" t="s">
        <v>230</v>
      </c>
      <c r="K43" s="37" t="s">
        <v>231</v>
      </c>
      <c r="L43" s="37"/>
      <c r="M43" s="37"/>
      <c r="N43" s="37" t="s">
        <v>244</v>
      </c>
      <c r="O43" s="37" t="s">
        <v>232</v>
      </c>
      <c r="P43" s="37"/>
      <c r="Q43" s="37" t="s">
        <v>233</v>
      </c>
      <c r="R43" s="37" t="s">
        <v>234</v>
      </c>
      <c r="S43" s="36" t="s">
        <v>242</v>
      </c>
      <c r="T43" s="37"/>
      <c r="U43" s="36" t="s">
        <v>235</v>
      </c>
      <c r="V43" s="39">
        <v>1</v>
      </c>
      <c r="W43" s="39" t="s">
        <v>185</v>
      </c>
      <c r="X43" s="39" t="s">
        <v>162</v>
      </c>
      <c r="Y43" s="36" t="s">
        <v>245</v>
      </c>
      <c r="Z43" s="1">
        <v>0.6875</v>
      </c>
      <c r="AA43">
        <f t="shared" si="5"/>
        <v>3</v>
      </c>
      <c r="AB43" s="1">
        <f t="shared" si="6"/>
        <v>0.6875</v>
      </c>
      <c r="AD43" s="43">
        <f t="shared" si="7"/>
        <v>3</v>
      </c>
    </row>
    <row r="44" spans="1:30" ht="15" customHeight="1" x14ac:dyDescent="0.3">
      <c r="A44" s="2" t="str">
        <f t="shared" si="1"/>
        <v/>
      </c>
      <c r="B44">
        <f t="shared" si="2"/>
        <v>10</v>
      </c>
      <c r="C44">
        <f t="shared" si="3"/>
        <v>9</v>
      </c>
      <c r="D44">
        <f t="shared" si="4"/>
        <v>12</v>
      </c>
      <c r="E44" s="13" t="s">
        <v>56</v>
      </c>
      <c r="F44" s="37" t="s">
        <v>188</v>
      </c>
      <c r="G44" s="37" t="s">
        <v>228</v>
      </c>
      <c r="H44" s="37"/>
      <c r="I44" s="37"/>
      <c r="J44" s="37" t="s">
        <v>230</v>
      </c>
      <c r="K44" s="37" t="s">
        <v>231</v>
      </c>
      <c r="L44" s="37"/>
      <c r="M44" s="37"/>
      <c r="N44" s="37"/>
      <c r="O44" s="37"/>
      <c r="P44" s="37" t="s">
        <v>238</v>
      </c>
      <c r="Q44" s="37" t="s">
        <v>233</v>
      </c>
      <c r="R44" s="37" t="s">
        <v>234</v>
      </c>
      <c r="S44" s="36" t="s">
        <v>242</v>
      </c>
      <c r="T44" s="37" t="s">
        <v>241</v>
      </c>
      <c r="U44" s="36"/>
      <c r="V44" s="39">
        <v>1</v>
      </c>
      <c r="W44" s="39" t="s">
        <v>162</v>
      </c>
      <c r="X44" s="39" t="s">
        <v>236</v>
      </c>
      <c r="Y44" s="36" t="s">
        <v>245</v>
      </c>
      <c r="Z44" s="1">
        <v>0.5</v>
      </c>
      <c r="AA44">
        <f t="shared" si="5"/>
        <v>4</v>
      </c>
      <c r="AB44" s="1">
        <f t="shared" si="6"/>
        <v>0.625</v>
      </c>
      <c r="AD44" s="43">
        <f t="shared" si="7"/>
        <v>4</v>
      </c>
    </row>
    <row r="45" spans="1:30" ht="15" customHeight="1" x14ac:dyDescent="0.3">
      <c r="V45" s="39"/>
      <c r="W45" s="39"/>
      <c r="X45" s="39"/>
      <c r="AD45" s="10">
        <f>COUNTIF(AD10:AD44,0)</f>
        <v>2</v>
      </c>
    </row>
    <row r="46" spans="1:30" x14ac:dyDescent="0.3">
      <c r="AD46" s="43">
        <f>SUM(AD10:AD44)/AD45</f>
        <v>75.5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M16:U16 F17:U44">
    <cfRule type="cellIs" dxfId="67" priority="4" operator="equal">
      <formula>"W"</formula>
    </cfRule>
    <cfRule type="cellIs" dxfId="66" priority="5" operator="equal">
      <formula>"L"</formula>
    </cfRule>
  </conditionalFormatting>
  <conditionalFormatting sqref="AD10:AD46">
    <cfRule type="cellIs" dxfId="65" priority="1" stopIfTrue="1" operator="equal">
      <formula>0</formula>
    </cfRule>
  </conditionalFormatting>
  <dataValidations count="2">
    <dataValidation type="list" allowBlank="1" sqref="F6:U6" xr:uid="{00000000-0002-0000-04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15 F16:K16 F17:U44 M16:U16" xr:uid="{00000000-0002-0000-0400-000001000000}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AD46"/>
  <sheetViews>
    <sheetView tabSelected="1" topLeftCell="C1" zoomScale="61" workbookViewId="0">
      <selection activeCell="G8" sqref="G8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18.88671875" style="40" bestFit="1" customWidth="1"/>
    <col min="6" max="6" width="13.21875" style="40" bestFit="1" customWidth="1"/>
    <col min="7" max="7" width="26.88671875" style="40" bestFit="1" customWidth="1"/>
    <col min="8" max="8" width="12.6640625" style="40" bestFit="1" customWidth="1"/>
    <col min="9" max="9" width="17.44140625" style="40" bestFit="1" customWidth="1"/>
    <col min="10" max="10" width="15.5546875" style="40" bestFit="1" customWidth="1"/>
    <col min="11" max="11" width="15" style="40" bestFit="1" customWidth="1"/>
    <col min="12" max="12" width="20.33203125" style="40" bestFit="1" customWidth="1"/>
    <col min="13" max="13" width="13.44140625" style="40" bestFit="1" customWidth="1"/>
    <col min="14" max="14" width="15.21875" style="40" bestFit="1" customWidth="1"/>
    <col min="15" max="15" width="16.5546875" style="40" bestFit="1" customWidth="1"/>
    <col min="16" max="16" width="17.77734375" style="40" bestFit="1" customWidth="1"/>
    <col min="17" max="17" width="14.109375" style="40" bestFit="1" customWidth="1"/>
    <col min="18" max="18" width="12.109375" style="40" bestFit="1" customWidth="1"/>
    <col min="19" max="19" width="15.77734375" style="40" bestFit="1" customWidth="1"/>
    <col min="20" max="20" width="22.6640625" style="40" customWidth="1"/>
    <col min="21" max="21" width="16" style="40" bestFit="1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 t="s">
        <v>116</v>
      </c>
      <c r="G4" s="5" t="s">
        <v>114</v>
      </c>
      <c r="H4" s="5" t="s">
        <v>113</v>
      </c>
      <c r="I4" s="5" t="s">
        <v>91</v>
      </c>
      <c r="J4" s="5" t="s">
        <v>93</v>
      </c>
      <c r="K4" s="5" t="s">
        <v>115</v>
      </c>
      <c r="L4" s="5" t="s">
        <v>102</v>
      </c>
      <c r="M4" s="5" t="s">
        <v>94</v>
      </c>
      <c r="N4" s="5" t="s">
        <v>117</v>
      </c>
      <c r="O4" s="5" t="s">
        <v>96</v>
      </c>
      <c r="P4" s="5" t="s">
        <v>106</v>
      </c>
      <c r="Q4" s="5" t="s">
        <v>107</v>
      </c>
      <c r="R4" s="5" t="s">
        <v>119</v>
      </c>
      <c r="S4" s="5" t="s">
        <v>108</v>
      </c>
      <c r="T4" s="5" t="s">
        <v>120</v>
      </c>
      <c r="U4" s="5" t="s">
        <v>112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111</v>
      </c>
      <c r="G5" s="5" t="s">
        <v>101</v>
      </c>
      <c r="H5" s="5" t="s">
        <v>95</v>
      </c>
      <c r="I5" s="5" t="s">
        <v>109</v>
      </c>
      <c r="J5" s="5" t="s">
        <v>97</v>
      </c>
      <c r="K5" s="5" t="s">
        <v>103</v>
      </c>
      <c r="L5" s="5" t="s">
        <v>92</v>
      </c>
      <c r="M5" s="5" t="s">
        <v>90</v>
      </c>
      <c r="N5" s="5" t="s">
        <v>88</v>
      </c>
      <c r="O5" s="5" t="s">
        <v>105</v>
      </c>
      <c r="P5" s="5" t="s">
        <v>118</v>
      </c>
      <c r="Q5" s="5" t="s">
        <v>99</v>
      </c>
      <c r="R5" s="5" t="s">
        <v>110</v>
      </c>
      <c r="S5" s="5" t="s">
        <v>98</v>
      </c>
      <c r="T5" s="5" t="s">
        <v>89</v>
      </c>
      <c r="U5" s="5" t="s">
        <v>100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111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>COUNTIF(F10:F44, F$4)/COUNTA(F10:F44)</f>
        <v>0</v>
      </c>
      <c r="G7" s="8">
        <f>COUNTIF(G10:G44, G$4)/COUNTA(G10:G44)</f>
        <v>0</v>
      </c>
      <c r="H7" s="8">
        <f t="shared" ref="G7:U7" si="0">COUNTIF(H10:H44, H$4)/COUNTA(H10:H44)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F8" t="s">
        <v>249</v>
      </c>
      <c r="G8" t="s">
        <v>250</v>
      </c>
      <c r="I8" t="s">
        <v>251</v>
      </c>
      <c r="K8" t="s">
        <v>252</v>
      </c>
      <c r="N8" t="s">
        <v>253</v>
      </c>
      <c r="P8" t="s">
        <v>254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_xlfn.IFNA(IF(AD10=0,$AD$46,""),"")</f>
        <v>4.416666666666667</v>
      </c>
      <c r="B10">
        <f t="shared" ref="B10:B44" si="2">SUM(V10:X10)+C10</f>
        <v>16</v>
      </c>
      <c r="C10">
        <f t="shared" ref="C10:C44" si="3">COUNTA(F10:U10)</f>
        <v>16</v>
      </c>
      <c r="D10">
        <f t="shared" ref="D10:D44" si="4">_xlfn.RANK.EQ(B10,$B$10:$B$44,0)</f>
        <v>1</v>
      </c>
      <c r="E10" s="56" t="s">
        <v>18</v>
      </c>
      <c r="F10" s="35" t="s">
        <v>256</v>
      </c>
      <c r="G10" s="35" t="s">
        <v>257</v>
      </c>
      <c r="H10" s="35" t="s">
        <v>228</v>
      </c>
      <c r="I10" s="35" t="s">
        <v>149</v>
      </c>
      <c r="J10" s="35" t="s">
        <v>258</v>
      </c>
      <c r="K10" s="35" t="s">
        <v>259</v>
      </c>
      <c r="L10" s="35" t="s">
        <v>177</v>
      </c>
      <c r="M10" s="35" t="s">
        <v>244</v>
      </c>
      <c r="N10" s="35" t="s">
        <v>260</v>
      </c>
      <c r="O10" s="35" t="s">
        <v>261</v>
      </c>
      <c r="P10" s="35" t="s">
        <v>172</v>
      </c>
      <c r="Q10" s="35" t="s">
        <v>262</v>
      </c>
      <c r="R10" s="35" t="s">
        <v>150</v>
      </c>
      <c r="S10" s="36" t="s">
        <v>263</v>
      </c>
      <c r="T10" s="37" t="s">
        <v>264</v>
      </c>
      <c r="U10" s="35" t="s">
        <v>265</v>
      </c>
      <c r="V10" s="37" t="s">
        <v>175</v>
      </c>
      <c r="W10" s="35" t="s">
        <v>183</v>
      </c>
      <c r="X10" s="37" t="s">
        <v>168</v>
      </c>
      <c r="Y10" s="35" t="s">
        <v>266</v>
      </c>
      <c r="Z10" s="37">
        <v>0.3125</v>
      </c>
      <c r="AA10" s="56" t="s">
        <v>18</v>
      </c>
      <c r="AB10" s="1">
        <f t="shared" ref="AB10:AB44" si="5">IFERROR(B10/16,0)</f>
        <v>1</v>
      </c>
      <c r="AD10" s="43">
        <f t="shared" ref="AD10:AD44" si="6">MAX($B$7:$B$141)-B10</f>
        <v>0</v>
      </c>
    </row>
    <row r="11" spans="1:30" x14ac:dyDescent="0.3">
      <c r="A11" s="2">
        <f t="shared" si="1"/>
        <v>4.416666666666667</v>
      </c>
      <c r="B11">
        <f t="shared" si="2"/>
        <v>16</v>
      </c>
      <c r="C11">
        <f t="shared" si="3"/>
        <v>16</v>
      </c>
      <c r="D11">
        <f t="shared" si="4"/>
        <v>1</v>
      </c>
      <c r="E11" s="56" t="s">
        <v>267</v>
      </c>
      <c r="F11" s="44" t="s">
        <v>256</v>
      </c>
      <c r="G11" s="44" t="s">
        <v>257</v>
      </c>
      <c r="H11" s="44" t="s">
        <v>228</v>
      </c>
      <c r="I11" s="44" t="s">
        <v>149</v>
      </c>
      <c r="J11" s="44" t="s">
        <v>258</v>
      </c>
      <c r="K11" s="44" t="s">
        <v>268</v>
      </c>
      <c r="L11" s="44" t="s">
        <v>177</v>
      </c>
      <c r="M11" s="44" t="s">
        <v>244</v>
      </c>
      <c r="N11" s="44" t="s">
        <v>269</v>
      </c>
      <c r="O11" s="44" t="s">
        <v>261</v>
      </c>
      <c r="P11" s="44" t="s">
        <v>242</v>
      </c>
      <c r="Q11" s="44" t="s">
        <v>262</v>
      </c>
      <c r="R11" s="44" t="s">
        <v>150</v>
      </c>
      <c r="S11" s="36" t="s">
        <v>263</v>
      </c>
      <c r="T11" s="37" t="s">
        <v>264</v>
      </c>
      <c r="U11" s="35" t="s">
        <v>265</v>
      </c>
      <c r="V11" s="37" t="s">
        <v>168</v>
      </c>
      <c r="W11" s="35" t="s">
        <v>164</v>
      </c>
      <c r="X11" s="37" t="s">
        <v>155</v>
      </c>
      <c r="Y11" s="35" t="s">
        <v>182</v>
      </c>
      <c r="Z11" s="37">
        <v>0.25</v>
      </c>
      <c r="AA11" s="56" t="s">
        <v>267</v>
      </c>
      <c r="AB11" s="1">
        <f t="shared" si="5"/>
        <v>1</v>
      </c>
      <c r="AD11" s="43">
        <f t="shared" si="6"/>
        <v>0</v>
      </c>
    </row>
    <row r="12" spans="1:30" x14ac:dyDescent="0.3">
      <c r="A12" s="2" t="str">
        <f t="shared" si="1"/>
        <v/>
      </c>
      <c r="B12">
        <f t="shared" si="2"/>
        <v>15</v>
      </c>
      <c r="C12">
        <f t="shared" si="3"/>
        <v>15</v>
      </c>
      <c r="D12">
        <f t="shared" si="4"/>
        <v>13</v>
      </c>
      <c r="E12" s="56" t="s">
        <v>17</v>
      </c>
      <c r="F12" s="44"/>
      <c r="G12" s="44" t="s">
        <v>279</v>
      </c>
      <c r="H12" s="44" t="s">
        <v>228</v>
      </c>
      <c r="I12" s="44" t="s">
        <v>270</v>
      </c>
      <c r="J12" s="44" t="s">
        <v>258</v>
      </c>
      <c r="K12" s="44" t="s">
        <v>268</v>
      </c>
      <c r="L12" s="44" t="s">
        <v>271</v>
      </c>
      <c r="M12" s="44" t="s">
        <v>244</v>
      </c>
      <c r="N12" s="44" t="s">
        <v>269</v>
      </c>
      <c r="O12" s="44" t="s">
        <v>261</v>
      </c>
      <c r="P12" s="44" t="s">
        <v>242</v>
      </c>
      <c r="Q12" s="44" t="s">
        <v>262</v>
      </c>
      <c r="R12" s="44" t="s">
        <v>150</v>
      </c>
      <c r="S12" s="36" t="s">
        <v>263</v>
      </c>
      <c r="T12" s="37" t="s">
        <v>264</v>
      </c>
      <c r="U12" s="35" t="s">
        <v>265</v>
      </c>
      <c r="V12" s="37" t="s">
        <v>155</v>
      </c>
      <c r="W12" s="35" t="s">
        <v>164</v>
      </c>
      <c r="X12" s="37" t="s">
        <v>168</v>
      </c>
      <c r="Y12" s="35" t="s">
        <v>245</v>
      </c>
      <c r="Z12" s="37">
        <v>0.375</v>
      </c>
      <c r="AA12" s="56" t="s">
        <v>17</v>
      </c>
      <c r="AB12" s="1">
        <f t="shared" si="5"/>
        <v>0.9375</v>
      </c>
      <c r="AD12" s="43">
        <f t="shared" si="6"/>
        <v>1</v>
      </c>
    </row>
    <row r="13" spans="1:30" x14ac:dyDescent="0.3">
      <c r="A13" s="2">
        <f t="shared" si="1"/>
        <v>4.416666666666667</v>
      </c>
      <c r="B13">
        <f t="shared" si="2"/>
        <v>16</v>
      </c>
      <c r="C13">
        <f t="shared" si="3"/>
        <v>16</v>
      </c>
      <c r="D13">
        <f t="shared" si="4"/>
        <v>1</v>
      </c>
      <c r="E13" s="56" t="s">
        <v>58</v>
      </c>
      <c r="F13" s="28" t="s">
        <v>256</v>
      </c>
      <c r="G13" s="28" t="s">
        <v>257</v>
      </c>
      <c r="H13" s="28" t="s">
        <v>228</v>
      </c>
      <c r="I13" s="28" t="s">
        <v>270</v>
      </c>
      <c r="J13" s="28" t="s">
        <v>258</v>
      </c>
      <c r="K13" s="28" t="s">
        <v>259</v>
      </c>
      <c r="L13" s="28" t="s">
        <v>271</v>
      </c>
      <c r="M13" s="28" t="s">
        <v>244</v>
      </c>
      <c r="N13" s="28" t="s">
        <v>269</v>
      </c>
      <c r="O13" s="28" t="s">
        <v>261</v>
      </c>
      <c r="P13" s="28" t="s">
        <v>172</v>
      </c>
      <c r="Q13" s="28" t="s">
        <v>272</v>
      </c>
      <c r="R13" s="28" t="s">
        <v>150</v>
      </c>
      <c r="S13" s="36" t="s">
        <v>263</v>
      </c>
      <c r="T13" s="37" t="s">
        <v>264</v>
      </c>
      <c r="U13" s="35" t="s">
        <v>265</v>
      </c>
      <c r="V13" s="37" t="s">
        <v>164</v>
      </c>
      <c r="W13" s="35" t="s">
        <v>186</v>
      </c>
      <c r="X13" s="37" t="s">
        <v>168</v>
      </c>
      <c r="Y13" s="35" t="s">
        <v>245</v>
      </c>
      <c r="Z13" s="37">
        <v>0.3125</v>
      </c>
      <c r="AA13" s="56" t="s">
        <v>58</v>
      </c>
      <c r="AB13" s="1">
        <f t="shared" si="5"/>
        <v>1</v>
      </c>
      <c r="AD13" s="43">
        <f t="shared" si="6"/>
        <v>0</v>
      </c>
    </row>
    <row r="14" spans="1:30" x14ac:dyDescent="0.3">
      <c r="A14" s="2" t="str">
        <f t="shared" si="1"/>
        <v/>
      </c>
      <c r="B14">
        <f t="shared" si="2"/>
        <v>15</v>
      </c>
      <c r="C14">
        <f t="shared" si="3"/>
        <v>15</v>
      </c>
      <c r="D14">
        <f t="shared" si="4"/>
        <v>13</v>
      </c>
      <c r="E14" s="56" t="s">
        <v>59</v>
      </c>
      <c r="F14" s="28"/>
      <c r="G14" s="28" t="s">
        <v>279</v>
      </c>
      <c r="H14" s="28" t="s">
        <v>228</v>
      </c>
      <c r="I14" s="28" t="s">
        <v>270</v>
      </c>
      <c r="J14" s="28" t="s">
        <v>273</v>
      </c>
      <c r="K14" s="28" t="s">
        <v>268</v>
      </c>
      <c r="L14" s="28" t="s">
        <v>271</v>
      </c>
      <c r="M14" s="28" t="s">
        <v>244</v>
      </c>
      <c r="N14" s="28" t="s">
        <v>269</v>
      </c>
      <c r="O14" s="28" t="s">
        <v>261</v>
      </c>
      <c r="P14" s="28" t="s">
        <v>242</v>
      </c>
      <c r="Q14" s="28" t="s">
        <v>262</v>
      </c>
      <c r="R14" s="28" t="s">
        <v>150</v>
      </c>
      <c r="S14" s="36" t="s">
        <v>238</v>
      </c>
      <c r="T14" s="37" t="s">
        <v>264</v>
      </c>
      <c r="U14" s="35" t="s">
        <v>265</v>
      </c>
      <c r="V14" s="37" t="s">
        <v>155</v>
      </c>
      <c r="W14" s="35" t="s">
        <v>171</v>
      </c>
      <c r="X14" s="37" t="s">
        <v>168</v>
      </c>
      <c r="Y14" s="35" t="s">
        <v>163</v>
      </c>
      <c r="Z14" s="37">
        <v>0.375</v>
      </c>
      <c r="AA14" s="56" t="s">
        <v>59</v>
      </c>
      <c r="AB14" s="1">
        <f t="shared" si="5"/>
        <v>0.9375</v>
      </c>
      <c r="AD14" s="43">
        <f t="shared" si="6"/>
        <v>1</v>
      </c>
    </row>
    <row r="15" spans="1:30" x14ac:dyDescent="0.3">
      <c r="A15" s="2" t="str">
        <f t="shared" si="1"/>
        <v/>
      </c>
      <c r="B15">
        <f t="shared" si="2"/>
        <v>0</v>
      </c>
      <c r="C15">
        <f t="shared" si="3"/>
        <v>0</v>
      </c>
      <c r="D15">
        <f t="shared" si="4"/>
        <v>34</v>
      </c>
      <c r="E15" s="56" t="s">
        <v>71</v>
      </c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36"/>
      <c r="T15" s="37"/>
      <c r="U15" s="35"/>
      <c r="V15" s="37"/>
      <c r="W15" s="35"/>
      <c r="X15" s="37"/>
      <c r="Y15" s="35"/>
      <c r="Z15" s="37">
        <v>0</v>
      </c>
      <c r="AA15" s="56" t="s">
        <v>71</v>
      </c>
      <c r="AB15" s="1">
        <f t="shared" si="5"/>
        <v>0</v>
      </c>
      <c r="AD15" s="43">
        <f t="shared" si="6"/>
        <v>16</v>
      </c>
    </row>
    <row r="16" spans="1:30" x14ac:dyDescent="0.3">
      <c r="A16" s="2" t="str">
        <f t="shared" si="1"/>
        <v/>
      </c>
      <c r="B16">
        <f t="shared" si="2"/>
        <v>15</v>
      </c>
      <c r="C16">
        <f t="shared" si="3"/>
        <v>15</v>
      </c>
      <c r="D16">
        <f t="shared" si="4"/>
        <v>13</v>
      </c>
      <c r="E16" s="56" t="s">
        <v>19</v>
      </c>
      <c r="F16" s="44"/>
      <c r="G16" s="44" t="s">
        <v>279</v>
      </c>
      <c r="H16" s="44" t="s">
        <v>228</v>
      </c>
      <c r="I16" s="44" t="s">
        <v>270</v>
      </c>
      <c r="J16" s="44" t="s">
        <v>258</v>
      </c>
      <c r="K16" s="44" t="s">
        <v>268</v>
      </c>
      <c r="L16" s="44" t="s">
        <v>271</v>
      </c>
      <c r="M16" s="44" t="s">
        <v>244</v>
      </c>
      <c r="N16" s="44" t="s">
        <v>269</v>
      </c>
      <c r="O16" s="44" t="s">
        <v>261</v>
      </c>
      <c r="P16" s="44" t="s">
        <v>172</v>
      </c>
      <c r="Q16" s="44" t="s">
        <v>262</v>
      </c>
      <c r="R16" s="44" t="s">
        <v>150</v>
      </c>
      <c r="S16" s="36" t="s">
        <v>263</v>
      </c>
      <c r="T16" s="37" t="s">
        <v>232</v>
      </c>
      <c r="U16" s="35" t="s">
        <v>265</v>
      </c>
      <c r="V16" s="37" t="s">
        <v>175</v>
      </c>
      <c r="W16" s="35" t="s">
        <v>168</v>
      </c>
      <c r="X16" s="37" t="s">
        <v>155</v>
      </c>
      <c r="Y16" s="35" t="s">
        <v>163</v>
      </c>
      <c r="Z16" s="37">
        <v>0.375</v>
      </c>
      <c r="AA16" s="56" t="s">
        <v>19</v>
      </c>
      <c r="AB16" s="1">
        <f t="shared" si="5"/>
        <v>0.9375</v>
      </c>
      <c r="AD16" s="43">
        <f t="shared" si="6"/>
        <v>1</v>
      </c>
    </row>
    <row r="17" spans="1:30" x14ac:dyDescent="0.3">
      <c r="A17" s="2">
        <f t="shared" si="1"/>
        <v>4.416666666666667</v>
      </c>
      <c r="B17">
        <f t="shared" si="2"/>
        <v>16</v>
      </c>
      <c r="C17">
        <f t="shared" si="3"/>
        <v>16</v>
      </c>
      <c r="D17">
        <f t="shared" si="4"/>
        <v>1</v>
      </c>
      <c r="E17" s="56" t="s">
        <v>68</v>
      </c>
      <c r="F17" s="44" t="s">
        <v>256</v>
      </c>
      <c r="G17" s="44" t="s">
        <v>279</v>
      </c>
      <c r="H17" s="44" t="s">
        <v>228</v>
      </c>
      <c r="I17" s="44" t="s">
        <v>270</v>
      </c>
      <c r="J17" s="44" t="s">
        <v>258</v>
      </c>
      <c r="K17" s="44" t="s">
        <v>259</v>
      </c>
      <c r="L17" s="44" t="s">
        <v>177</v>
      </c>
      <c r="M17" s="44" t="s">
        <v>151</v>
      </c>
      <c r="N17" s="44" t="s">
        <v>260</v>
      </c>
      <c r="O17" s="44" t="s">
        <v>274</v>
      </c>
      <c r="P17" s="44" t="s">
        <v>172</v>
      </c>
      <c r="Q17" s="44" t="s">
        <v>272</v>
      </c>
      <c r="R17" s="44" t="s">
        <v>150</v>
      </c>
      <c r="S17" s="36" t="s">
        <v>263</v>
      </c>
      <c r="T17" s="37" t="s">
        <v>232</v>
      </c>
      <c r="U17" s="35" t="s">
        <v>265</v>
      </c>
      <c r="V17" s="37" t="s">
        <v>247</v>
      </c>
      <c r="W17" s="35" t="s">
        <v>186</v>
      </c>
      <c r="X17" s="37" t="s">
        <v>171</v>
      </c>
      <c r="Y17" s="35" t="s">
        <v>178</v>
      </c>
      <c r="Z17" s="37">
        <v>0.5625</v>
      </c>
      <c r="AA17" s="56" t="s">
        <v>68</v>
      </c>
      <c r="AB17" s="1">
        <f t="shared" si="5"/>
        <v>1</v>
      </c>
      <c r="AD17" s="43">
        <f t="shared" si="6"/>
        <v>0</v>
      </c>
    </row>
    <row r="18" spans="1:30" x14ac:dyDescent="0.3">
      <c r="A18" s="2" t="str">
        <f t="shared" si="1"/>
        <v/>
      </c>
      <c r="B18">
        <f t="shared" si="2"/>
        <v>0</v>
      </c>
      <c r="C18">
        <f t="shared" si="3"/>
        <v>0</v>
      </c>
      <c r="D18">
        <f t="shared" si="4"/>
        <v>34</v>
      </c>
      <c r="E18" s="56" t="s">
        <v>80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36"/>
      <c r="T18" s="37"/>
      <c r="U18" s="35"/>
      <c r="V18" s="37"/>
      <c r="W18" s="35"/>
      <c r="X18" s="37"/>
      <c r="Y18" s="35"/>
      <c r="Z18" s="37">
        <v>6.25E-2</v>
      </c>
      <c r="AA18" s="56" t="s">
        <v>80</v>
      </c>
      <c r="AB18" s="1">
        <f t="shared" si="5"/>
        <v>0</v>
      </c>
      <c r="AD18" s="43">
        <f t="shared" si="6"/>
        <v>16</v>
      </c>
    </row>
    <row r="19" spans="1:30" x14ac:dyDescent="0.3">
      <c r="A19" s="2" t="str">
        <f t="shared" si="1"/>
        <v/>
      </c>
      <c r="B19">
        <f t="shared" si="2"/>
        <v>15</v>
      </c>
      <c r="C19">
        <f t="shared" si="3"/>
        <v>15</v>
      </c>
      <c r="D19">
        <f t="shared" si="4"/>
        <v>13</v>
      </c>
      <c r="E19" s="56" t="s">
        <v>63</v>
      </c>
      <c r="F19" s="44"/>
      <c r="G19" s="44" t="s">
        <v>279</v>
      </c>
      <c r="H19" s="44" t="s">
        <v>228</v>
      </c>
      <c r="I19" s="44" t="s">
        <v>270</v>
      </c>
      <c r="J19" s="44" t="s">
        <v>258</v>
      </c>
      <c r="K19" s="44" t="s">
        <v>259</v>
      </c>
      <c r="L19" s="44" t="s">
        <v>271</v>
      </c>
      <c r="M19" s="44" t="s">
        <v>151</v>
      </c>
      <c r="N19" s="44" t="s">
        <v>269</v>
      </c>
      <c r="O19" s="44" t="s">
        <v>261</v>
      </c>
      <c r="P19" s="44" t="s">
        <v>242</v>
      </c>
      <c r="Q19" s="44" t="s">
        <v>272</v>
      </c>
      <c r="R19" s="44" t="s">
        <v>233</v>
      </c>
      <c r="S19" s="36" t="s">
        <v>263</v>
      </c>
      <c r="T19" s="37" t="s">
        <v>232</v>
      </c>
      <c r="U19" s="35" t="s">
        <v>265</v>
      </c>
      <c r="V19" s="37" t="s">
        <v>155</v>
      </c>
      <c r="W19" s="35" t="s">
        <v>164</v>
      </c>
      <c r="X19" s="37" t="s">
        <v>186</v>
      </c>
      <c r="Y19" s="35" t="s">
        <v>245</v>
      </c>
      <c r="Z19" s="37">
        <v>0.6875</v>
      </c>
      <c r="AA19" s="56" t="s">
        <v>63</v>
      </c>
      <c r="AB19" s="1">
        <f t="shared" si="5"/>
        <v>0.9375</v>
      </c>
      <c r="AD19" s="43">
        <f t="shared" si="6"/>
        <v>1</v>
      </c>
    </row>
    <row r="20" spans="1:30" x14ac:dyDescent="0.3">
      <c r="A20" s="2" t="str">
        <f t="shared" si="1"/>
        <v/>
      </c>
      <c r="B20">
        <f t="shared" si="2"/>
        <v>15</v>
      </c>
      <c r="C20">
        <f t="shared" si="3"/>
        <v>15</v>
      </c>
      <c r="D20">
        <f t="shared" si="4"/>
        <v>13</v>
      </c>
      <c r="E20" s="56" t="s">
        <v>77</v>
      </c>
      <c r="F20" s="44"/>
      <c r="G20" s="44" t="s">
        <v>279</v>
      </c>
      <c r="H20" s="44" t="s">
        <v>228</v>
      </c>
      <c r="I20" s="44" t="s">
        <v>149</v>
      </c>
      <c r="J20" s="44" t="s">
        <v>273</v>
      </c>
      <c r="K20" s="44" t="s">
        <v>268</v>
      </c>
      <c r="L20" s="44" t="s">
        <v>271</v>
      </c>
      <c r="M20" s="44" t="s">
        <v>244</v>
      </c>
      <c r="N20" s="44" t="s">
        <v>269</v>
      </c>
      <c r="O20" s="44" t="s">
        <v>261</v>
      </c>
      <c r="P20" s="44" t="s">
        <v>242</v>
      </c>
      <c r="Q20" s="44" t="s">
        <v>262</v>
      </c>
      <c r="R20" s="44" t="s">
        <v>150</v>
      </c>
      <c r="S20" s="36" t="s">
        <v>263</v>
      </c>
      <c r="T20" s="37" t="s">
        <v>232</v>
      </c>
      <c r="U20" s="35" t="s">
        <v>265</v>
      </c>
      <c r="V20" s="37" t="s">
        <v>175</v>
      </c>
      <c r="W20" s="35" t="s">
        <v>168</v>
      </c>
      <c r="X20" s="37" t="s">
        <v>155</v>
      </c>
      <c r="Y20" s="35" t="s">
        <v>157</v>
      </c>
      <c r="Z20" s="37">
        <v>0.4375</v>
      </c>
      <c r="AA20" s="56" t="s">
        <v>77</v>
      </c>
      <c r="AB20" s="1">
        <f t="shared" si="5"/>
        <v>0.9375</v>
      </c>
      <c r="AD20" s="43">
        <f t="shared" si="6"/>
        <v>1</v>
      </c>
    </row>
    <row r="21" spans="1:30" x14ac:dyDescent="0.3">
      <c r="A21" s="2" t="str">
        <f t="shared" si="1"/>
        <v/>
      </c>
      <c r="B21">
        <f t="shared" si="2"/>
        <v>15</v>
      </c>
      <c r="C21">
        <f t="shared" si="3"/>
        <v>15</v>
      </c>
      <c r="D21">
        <f t="shared" si="4"/>
        <v>13</v>
      </c>
      <c r="E21" s="56" t="s">
        <v>64</v>
      </c>
      <c r="F21" s="44"/>
      <c r="G21" s="44" t="s">
        <v>279</v>
      </c>
      <c r="H21" s="44" t="s">
        <v>228</v>
      </c>
      <c r="I21" s="44" t="s">
        <v>270</v>
      </c>
      <c r="J21" s="44" t="s">
        <v>273</v>
      </c>
      <c r="K21" s="44" t="s">
        <v>268</v>
      </c>
      <c r="L21" s="44" t="s">
        <v>271</v>
      </c>
      <c r="M21" s="44" t="s">
        <v>244</v>
      </c>
      <c r="N21" s="44" t="s">
        <v>269</v>
      </c>
      <c r="O21" s="44" t="s">
        <v>261</v>
      </c>
      <c r="P21" s="44" t="s">
        <v>242</v>
      </c>
      <c r="Q21" s="44" t="s">
        <v>262</v>
      </c>
      <c r="R21" s="44" t="s">
        <v>150</v>
      </c>
      <c r="S21" s="36" t="s">
        <v>263</v>
      </c>
      <c r="T21" s="37" t="s">
        <v>264</v>
      </c>
      <c r="U21" s="35" t="s">
        <v>265</v>
      </c>
      <c r="V21" s="37" t="s">
        <v>168</v>
      </c>
      <c r="W21" s="35" t="s">
        <v>155</v>
      </c>
      <c r="X21" s="37" t="s">
        <v>164</v>
      </c>
      <c r="Y21" s="35" t="s">
        <v>245</v>
      </c>
      <c r="Z21" s="37">
        <v>0.4375</v>
      </c>
      <c r="AA21" s="56" t="s">
        <v>64</v>
      </c>
      <c r="AB21" s="1">
        <f t="shared" si="5"/>
        <v>0.9375</v>
      </c>
      <c r="AD21" s="43">
        <f t="shared" si="6"/>
        <v>1</v>
      </c>
    </row>
    <row r="22" spans="1:30" x14ac:dyDescent="0.3">
      <c r="A22" s="2">
        <f t="shared" si="1"/>
        <v>4.416666666666667</v>
      </c>
      <c r="B22">
        <f t="shared" si="2"/>
        <v>16</v>
      </c>
      <c r="C22">
        <f t="shared" si="3"/>
        <v>16</v>
      </c>
      <c r="D22">
        <f t="shared" si="4"/>
        <v>1</v>
      </c>
      <c r="E22" s="56" t="s">
        <v>76</v>
      </c>
      <c r="F22" s="44" t="s">
        <v>256</v>
      </c>
      <c r="G22" s="44" t="s">
        <v>279</v>
      </c>
      <c r="H22" s="44" t="s">
        <v>228</v>
      </c>
      <c r="I22" s="44" t="s">
        <v>149</v>
      </c>
      <c r="J22" s="44" t="s">
        <v>273</v>
      </c>
      <c r="K22" s="44" t="s">
        <v>268</v>
      </c>
      <c r="L22" s="44" t="s">
        <v>177</v>
      </c>
      <c r="M22" s="44" t="s">
        <v>151</v>
      </c>
      <c r="N22" s="44" t="s">
        <v>260</v>
      </c>
      <c r="O22" s="44" t="s">
        <v>274</v>
      </c>
      <c r="P22" s="44" t="s">
        <v>242</v>
      </c>
      <c r="Q22" s="44" t="s">
        <v>272</v>
      </c>
      <c r="R22" s="44" t="s">
        <v>233</v>
      </c>
      <c r="S22" s="36" t="s">
        <v>238</v>
      </c>
      <c r="T22" s="37" t="s">
        <v>264</v>
      </c>
      <c r="U22" s="35" t="s">
        <v>265</v>
      </c>
      <c r="V22" s="37" t="s">
        <v>155</v>
      </c>
      <c r="W22" s="35" t="s">
        <v>168</v>
      </c>
      <c r="X22" s="37" t="s">
        <v>171</v>
      </c>
      <c r="Y22" s="35" t="s">
        <v>163</v>
      </c>
      <c r="Z22" s="37">
        <v>0.5</v>
      </c>
      <c r="AA22" s="56" t="s">
        <v>76</v>
      </c>
      <c r="AB22" s="1">
        <f t="shared" si="5"/>
        <v>1</v>
      </c>
      <c r="AD22" s="43">
        <f t="shared" si="6"/>
        <v>0</v>
      </c>
    </row>
    <row r="23" spans="1:30" x14ac:dyDescent="0.3">
      <c r="A23" s="2">
        <f t="shared" si="1"/>
        <v>4.416666666666667</v>
      </c>
      <c r="B23">
        <f t="shared" si="2"/>
        <v>16</v>
      </c>
      <c r="C23">
        <f t="shared" si="3"/>
        <v>16</v>
      </c>
      <c r="D23">
        <f t="shared" si="4"/>
        <v>1</v>
      </c>
      <c r="E23" s="56" t="s">
        <v>60</v>
      </c>
      <c r="F23" s="44" t="s">
        <v>256</v>
      </c>
      <c r="G23" s="44" t="s">
        <v>257</v>
      </c>
      <c r="H23" s="44" t="s">
        <v>228</v>
      </c>
      <c r="I23" s="44" t="s">
        <v>270</v>
      </c>
      <c r="J23" s="44" t="s">
        <v>258</v>
      </c>
      <c r="K23" s="44" t="s">
        <v>268</v>
      </c>
      <c r="L23" s="44" t="s">
        <v>177</v>
      </c>
      <c r="M23" s="44" t="s">
        <v>244</v>
      </c>
      <c r="N23" s="44" t="s">
        <v>269</v>
      </c>
      <c r="O23" s="44" t="s">
        <v>261</v>
      </c>
      <c r="P23" s="44" t="s">
        <v>172</v>
      </c>
      <c r="Q23" s="44" t="s">
        <v>262</v>
      </c>
      <c r="R23" s="44" t="s">
        <v>150</v>
      </c>
      <c r="S23" s="36" t="s">
        <v>263</v>
      </c>
      <c r="T23" s="37" t="s">
        <v>232</v>
      </c>
      <c r="U23" s="35" t="s">
        <v>265</v>
      </c>
      <c r="V23" s="37" t="s">
        <v>173</v>
      </c>
      <c r="W23" s="35" t="s">
        <v>168</v>
      </c>
      <c r="X23" s="37" t="s">
        <v>155</v>
      </c>
      <c r="Y23" s="35" t="s">
        <v>169</v>
      </c>
      <c r="Z23" s="37">
        <v>0.3125</v>
      </c>
      <c r="AA23" s="56" t="s">
        <v>60</v>
      </c>
      <c r="AB23" s="1">
        <f t="shared" si="5"/>
        <v>1</v>
      </c>
      <c r="AD23" s="43">
        <f t="shared" si="6"/>
        <v>0</v>
      </c>
    </row>
    <row r="24" spans="1:30" x14ac:dyDescent="0.3">
      <c r="A24" s="2" t="str">
        <f t="shared" si="1"/>
        <v/>
      </c>
      <c r="B24">
        <f t="shared" si="2"/>
        <v>15</v>
      </c>
      <c r="C24">
        <f t="shared" si="3"/>
        <v>15</v>
      </c>
      <c r="D24">
        <f t="shared" si="4"/>
        <v>13</v>
      </c>
      <c r="E24" s="56" t="s">
        <v>70</v>
      </c>
      <c r="F24" s="44"/>
      <c r="G24" s="44" t="s">
        <v>279</v>
      </c>
      <c r="H24" s="44" t="s">
        <v>228</v>
      </c>
      <c r="I24" s="44" t="s">
        <v>270</v>
      </c>
      <c r="J24" s="44" t="s">
        <v>258</v>
      </c>
      <c r="K24" s="44" t="s">
        <v>268</v>
      </c>
      <c r="L24" s="44" t="s">
        <v>177</v>
      </c>
      <c r="M24" s="44" t="s">
        <v>244</v>
      </c>
      <c r="N24" s="44" t="s">
        <v>269</v>
      </c>
      <c r="O24" s="44" t="s">
        <v>261</v>
      </c>
      <c r="P24" s="44" t="s">
        <v>242</v>
      </c>
      <c r="Q24" s="44" t="s">
        <v>262</v>
      </c>
      <c r="R24" s="44" t="s">
        <v>150</v>
      </c>
      <c r="S24" s="36" t="s">
        <v>263</v>
      </c>
      <c r="T24" s="37" t="s">
        <v>264</v>
      </c>
      <c r="U24" s="35" t="s">
        <v>265</v>
      </c>
      <c r="V24" s="37" t="s">
        <v>168</v>
      </c>
      <c r="W24" s="35" t="s">
        <v>171</v>
      </c>
      <c r="X24" s="37" t="s">
        <v>164</v>
      </c>
      <c r="Y24" s="35" t="s">
        <v>163</v>
      </c>
      <c r="Z24" s="37">
        <v>0.4375</v>
      </c>
      <c r="AA24" s="56" t="s">
        <v>70</v>
      </c>
      <c r="AB24" s="1">
        <f t="shared" si="5"/>
        <v>0.9375</v>
      </c>
      <c r="AD24" s="43">
        <f t="shared" si="6"/>
        <v>1</v>
      </c>
    </row>
    <row r="25" spans="1:30" x14ac:dyDescent="0.3">
      <c r="A25" s="2" t="str">
        <f t="shared" si="1"/>
        <v/>
      </c>
      <c r="B25">
        <f t="shared" si="2"/>
        <v>15</v>
      </c>
      <c r="C25">
        <f t="shared" si="3"/>
        <v>15</v>
      </c>
      <c r="D25">
        <f t="shared" si="4"/>
        <v>13</v>
      </c>
      <c r="E25" s="56" t="s">
        <v>52</v>
      </c>
      <c r="F25" s="44"/>
      <c r="G25" s="44" t="s">
        <v>279</v>
      </c>
      <c r="H25" s="44" t="s">
        <v>228</v>
      </c>
      <c r="I25" s="44" t="s">
        <v>270</v>
      </c>
      <c r="J25" s="44" t="s">
        <v>258</v>
      </c>
      <c r="K25" s="44" t="s">
        <v>268</v>
      </c>
      <c r="L25" s="44" t="s">
        <v>271</v>
      </c>
      <c r="M25" s="44" t="s">
        <v>244</v>
      </c>
      <c r="N25" s="44" t="s">
        <v>269</v>
      </c>
      <c r="O25" s="44" t="s">
        <v>274</v>
      </c>
      <c r="P25" s="44" t="s">
        <v>242</v>
      </c>
      <c r="Q25" s="44" t="s">
        <v>262</v>
      </c>
      <c r="R25" s="44" t="s">
        <v>150</v>
      </c>
      <c r="S25" s="36" t="s">
        <v>263</v>
      </c>
      <c r="T25" s="37" t="s">
        <v>264</v>
      </c>
      <c r="U25" s="35" t="s">
        <v>265</v>
      </c>
      <c r="V25" s="37" t="s">
        <v>155</v>
      </c>
      <c r="W25" s="35" t="s">
        <v>236</v>
      </c>
      <c r="X25" s="37" t="s">
        <v>156</v>
      </c>
      <c r="Y25" s="35" t="s">
        <v>183</v>
      </c>
      <c r="Z25" s="37">
        <v>0.3125</v>
      </c>
      <c r="AA25" s="56" t="s">
        <v>52</v>
      </c>
      <c r="AB25" s="1">
        <f t="shared" si="5"/>
        <v>0.9375</v>
      </c>
      <c r="AD25" s="43">
        <f t="shared" si="6"/>
        <v>1</v>
      </c>
    </row>
    <row r="26" spans="1:30" x14ac:dyDescent="0.3">
      <c r="A26" s="2" t="str">
        <f t="shared" si="1"/>
        <v/>
      </c>
      <c r="B26">
        <f t="shared" si="2"/>
        <v>15</v>
      </c>
      <c r="C26">
        <f t="shared" si="3"/>
        <v>15</v>
      </c>
      <c r="D26">
        <f t="shared" si="4"/>
        <v>13</v>
      </c>
      <c r="E26" s="56" t="s">
        <v>75</v>
      </c>
      <c r="F26" s="28"/>
      <c r="G26" s="28" t="s">
        <v>279</v>
      </c>
      <c r="H26" s="28" t="s">
        <v>275</v>
      </c>
      <c r="I26" s="28" t="s">
        <v>270</v>
      </c>
      <c r="J26" s="28" t="s">
        <v>273</v>
      </c>
      <c r="K26" s="28" t="s">
        <v>268</v>
      </c>
      <c r="L26" s="28" t="s">
        <v>177</v>
      </c>
      <c r="M26" s="28" t="s">
        <v>244</v>
      </c>
      <c r="N26" s="28" t="s">
        <v>269</v>
      </c>
      <c r="O26" s="28" t="s">
        <v>274</v>
      </c>
      <c r="P26" s="28" t="s">
        <v>172</v>
      </c>
      <c r="Q26" s="28" t="s">
        <v>272</v>
      </c>
      <c r="R26" s="28" t="s">
        <v>150</v>
      </c>
      <c r="S26" s="36" t="s">
        <v>263</v>
      </c>
      <c r="T26" s="37" t="s">
        <v>264</v>
      </c>
      <c r="U26" s="35" t="s">
        <v>265</v>
      </c>
      <c r="V26" s="37" t="s">
        <v>175</v>
      </c>
      <c r="W26" s="35" t="s">
        <v>168</v>
      </c>
      <c r="X26" s="37" t="s">
        <v>164</v>
      </c>
      <c r="Y26" s="35" t="s">
        <v>245</v>
      </c>
      <c r="Z26" s="37">
        <v>0.5</v>
      </c>
      <c r="AA26" s="56" t="s">
        <v>75</v>
      </c>
      <c r="AB26" s="1">
        <f t="shared" si="5"/>
        <v>0.9375</v>
      </c>
      <c r="AD26" s="43">
        <f t="shared" si="6"/>
        <v>1</v>
      </c>
    </row>
    <row r="27" spans="1:30" x14ac:dyDescent="0.3">
      <c r="A27" s="2">
        <f t="shared" si="1"/>
        <v>4.416666666666667</v>
      </c>
      <c r="B27">
        <f t="shared" si="2"/>
        <v>16</v>
      </c>
      <c r="C27">
        <f t="shared" si="3"/>
        <v>16</v>
      </c>
      <c r="D27">
        <f t="shared" si="4"/>
        <v>1</v>
      </c>
      <c r="E27" s="56" t="s">
        <v>81</v>
      </c>
      <c r="F27" s="44" t="s">
        <v>256</v>
      </c>
      <c r="G27" s="44" t="s">
        <v>279</v>
      </c>
      <c r="H27" s="44" t="s">
        <v>228</v>
      </c>
      <c r="I27" s="44" t="s">
        <v>270</v>
      </c>
      <c r="J27" s="44" t="s">
        <v>273</v>
      </c>
      <c r="K27" s="44" t="s">
        <v>268</v>
      </c>
      <c r="L27" s="44" t="s">
        <v>177</v>
      </c>
      <c r="M27" s="44" t="s">
        <v>151</v>
      </c>
      <c r="N27" s="44" t="s">
        <v>269</v>
      </c>
      <c r="O27" s="44" t="s">
        <v>261</v>
      </c>
      <c r="P27" s="44" t="s">
        <v>172</v>
      </c>
      <c r="Q27" s="44" t="s">
        <v>262</v>
      </c>
      <c r="R27" s="44" t="s">
        <v>150</v>
      </c>
      <c r="S27" s="36" t="s">
        <v>238</v>
      </c>
      <c r="T27" s="37" t="s">
        <v>264</v>
      </c>
      <c r="U27" s="35" t="s">
        <v>265</v>
      </c>
      <c r="V27" s="37" t="s">
        <v>186</v>
      </c>
      <c r="W27" s="35" t="s">
        <v>168</v>
      </c>
      <c r="X27" s="37" t="s">
        <v>164</v>
      </c>
      <c r="Y27" s="35" t="s">
        <v>165</v>
      </c>
      <c r="Z27" s="37">
        <v>0.375</v>
      </c>
      <c r="AA27" s="56" t="s">
        <v>81</v>
      </c>
      <c r="AB27" s="1">
        <f t="shared" si="5"/>
        <v>1</v>
      </c>
      <c r="AD27" s="43">
        <f t="shared" si="6"/>
        <v>0</v>
      </c>
    </row>
    <row r="28" spans="1:30" x14ac:dyDescent="0.3">
      <c r="A28" s="2" t="str">
        <f t="shared" si="1"/>
        <v/>
      </c>
      <c r="B28">
        <f t="shared" si="2"/>
        <v>15</v>
      </c>
      <c r="C28">
        <f t="shared" si="3"/>
        <v>15</v>
      </c>
      <c r="D28">
        <f t="shared" si="4"/>
        <v>13</v>
      </c>
      <c r="E28" s="56" t="s">
        <v>67</v>
      </c>
      <c r="F28" s="44"/>
      <c r="G28" s="44" t="s">
        <v>257</v>
      </c>
      <c r="H28" s="44" t="s">
        <v>228</v>
      </c>
      <c r="I28" s="44" t="s">
        <v>270</v>
      </c>
      <c r="J28" s="44" t="s">
        <v>258</v>
      </c>
      <c r="K28" s="44" t="s">
        <v>268</v>
      </c>
      <c r="L28" s="44" t="s">
        <v>177</v>
      </c>
      <c r="M28" s="44" t="s">
        <v>244</v>
      </c>
      <c r="N28" s="44" t="s">
        <v>269</v>
      </c>
      <c r="O28" s="44" t="s">
        <v>261</v>
      </c>
      <c r="P28" s="44" t="s">
        <v>242</v>
      </c>
      <c r="Q28" s="44" t="s">
        <v>272</v>
      </c>
      <c r="R28" s="44" t="s">
        <v>150</v>
      </c>
      <c r="S28" s="36" t="s">
        <v>263</v>
      </c>
      <c r="T28" s="37" t="s">
        <v>264</v>
      </c>
      <c r="U28" s="35" t="s">
        <v>265</v>
      </c>
      <c r="V28" s="37" t="s">
        <v>175</v>
      </c>
      <c r="W28" s="35" t="s">
        <v>186</v>
      </c>
      <c r="X28" s="37" t="s">
        <v>168</v>
      </c>
      <c r="Y28" s="35" t="s">
        <v>245</v>
      </c>
      <c r="Z28" s="37">
        <v>0.4375</v>
      </c>
      <c r="AA28" s="56" t="s">
        <v>67</v>
      </c>
      <c r="AB28" s="1">
        <f t="shared" si="5"/>
        <v>0.9375</v>
      </c>
      <c r="AD28" s="43">
        <f t="shared" si="6"/>
        <v>1</v>
      </c>
    </row>
    <row r="29" spans="1:30" x14ac:dyDescent="0.3">
      <c r="A29" s="2" t="str">
        <f t="shared" si="1"/>
        <v/>
      </c>
      <c r="B29">
        <f t="shared" si="2"/>
        <v>15</v>
      </c>
      <c r="C29">
        <f t="shared" si="3"/>
        <v>15</v>
      </c>
      <c r="D29">
        <f t="shared" si="4"/>
        <v>13</v>
      </c>
      <c r="E29" s="56" t="s">
        <v>20</v>
      </c>
      <c r="F29" s="28"/>
      <c r="G29" s="28" t="s">
        <v>279</v>
      </c>
      <c r="H29" s="28" t="s">
        <v>228</v>
      </c>
      <c r="I29" s="28" t="s">
        <v>270</v>
      </c>
      <c r="J29" s="28" t="s">
        <v>258</v>
      </c>
      <c r="K29" s="28" t="s">
        <v>268</v>
      </c>
      <c r="L29" s="28" t="s">
        <v>177</v>
      </c>
      <c r="M29" s="28" t="s">
        <v>244</v>
      </c>
      <c r="N29" s="28" t="s">
        <v>269</v>
      </c>
      <c r="O29" s="28" t="s">
        <v>261</v>
      </c>
      <c r="P29" s="28" t="s">
        <v>242</v>
      </c>
      <c r="Q29" s="28" t="s">
        <v>262</v>
      </c>
      <c r="R29" s="28" t="s">
        <v>150</v>
      </c>
      <c r="S29" s="36" t="s">
        <v>263</v>
      </c>
      <c r="T29" s="37" t="s">
        <v>264</v>
      </c>
      <c r="U29" s="35" t="s">
        <v>265</v>
      </c>
      <c r="V29" s="37" t="s">
        <v>155</v>
      </c>
      <c r="W29" s="35" t="s">
        <v>168</v>
      </c>
      <c r="X29" s="37" t="s">
        <v>185</v>
      </c>
      <c r="Y29" s="35" t="s">
        <v>245</v>
      </c>
      <c r="Z29" s="37">
        <v>0.4375</v>
      </c>
      <c r="AA29" s="56" t="s">
        <v>20</v>
      </c>
      <c r="AB29" s="1">
        <f t="shared" si="5"/>
        <v>0.9375</v>
      </c>
      <c r="AD29" s="43">
        <f t="shared" si="6"/>
        <v>1</v>
      </c>
    </row>
    <row r="30" spans="1:30" x14ac:dyDescent="0.3">
      <c r="A30" s="2" t="str">
        <f t="shared" si="1"/>
        <v/>
      </c>
      <c r="B30">
        <f t="shared" si="2"/>
        <v>15</v>
      </c>
      <c r="C30">
        <f t="shared" si="3"/>
        <v>15</v>
      </c>
      <c r="D30">
        <f t="shared" si="4"/>
        <v>13</v>
      </c>
      <c r="E30" s="56" t="s">
        <v>55</v>
      </c>
      <c r="F30" s="28"/>
      <c r="G30" s="28" t="s">
        <v>279</v>
      </c>
      <c r="H30" s="28" t="s">
        <v>228</v>
      </c>
      <c r="I30" s="28" t="s">
        <v>270</v>
      </c>
      <c r="J30" s="28" t="s">
        <v>258</v>
      </c>
      <c r="K30" s="28" t="s">
        <v>268</v>
      </c>
      <c r="L30" s="28" t="s">
        <v>177</v>
      </c>
      <c r="M30" s="28" t="s">
        <v>244</v>
      </c>
      <c r="N30" s="28" t="s">
        <v>269</v>
      </c>
      <c r="O30" s="28" t="s">
        <v>274</v>
      </c>
      <c r="P30" s="28" t="s">
        <v>242</v>
      </c>
      <c r="Q30" s="28" t="s">
        <v>262</v>
      </c>
      <c r="R30" s="28" t="s">
        <v>150</v>
      </c>
      <c r="S30" s="36" t="s">
        <v>263</v>
      </c>
      <c r="T30" s="37" t="s">
        <v>264</v>
      </c>
      <c r="U30" s="35" t="s">
        <v>265</v>
      </c>
      <c r="V30" s="37" t="s">
        <v>155</v>
      </c>
      <c r="W30" s="35" t="s">
        <v>175</v>
      </c>
      <c r="X30" s="37" t="s">
        <v>168</v>
      </c>
      <c r="Y30" s="35" t="s">
        <v>163</v>
      </c>
      <c r="Z30" s="37">
        <v>0.375</v>
      </c>
      <c r="AA30" s="56" t="s">
        <v>55</v>
      </c>
      <c r="AB30" s="1">
        <f t="shared" si="5"/>
        <v>0.9375</v>
      </c>
      <c r="AD30" s="43">
        <f t="shared" si="6"/>
        <v>1</v>
      </c>
    </row>
    <row r="31" spans="1:30" x14ac:dyDescent="0.3">
      <c r="A31" s="2" t="str">
        <f t="shared" si="1"/>
        <v/>
      </c>
      <c r="B31">
        <f t="shared" si="2"/>
        <v>15</v>
      </c>
      <c r="C31">
        <f t="shared" si="3"/>
        <v>15</v>
      </c>
      <c r="D31">
        <f t="shared" si="4"/>
        <v>13</v>
      </c>
      <c r="E31" s="56" t="s">
        <v>21</v>
      </c>
      <c r="F31" s="28"/>
      <c r="G31" s="28" t="s">
        <v>279</v>
      </c>
      <c r="H31" s="28" t="s">
        <v>228</v>
      </c>
      <c r="I31" s="28" t="s">
        <v>270</v>
      </c>
      <c r="J31" s="28" t="s">
        <v>258</v>
      </c>
      <c r="K31" s="28" t="s">
        <v>268</v>
      </c>
      <c r="L31" s="28" t="s">
        <v>177</v>
      </c>
      <c r="M31" s="28" t="s">
        <v>244</v>
      </c>
      <c r="N31" s="28" t="s">
        <v>269</v>
      </c>
      <c r="O31" s="28" t="s">
        <v>261</v>
      </c>
      <c r="P31" s="28" t="s">
        <v>242</v>
      </c>
      <c r="Q31" s="28" t="s">
        <v>262</v>
      </c>
      <c r="R31" s="28" t="s">
        <v>233</v>
      </c>
      <c r="S31" s="36" t="s">
        <v>263</v>
      </c>
      <c r="T31" s="37" t="s">
        <v>264</v>
      </c>
      <c r="U31" s="35" t="s">
        <v>265</v>
      </c>
      <c r="V31" s="37" t="s">
        <v>276</v>
      </c>
      <c r="W31" s="35" t="s">
        <v>168</v>
      </c>
      <c r="X31" s="37" t="s">
        <v>236</v>
      </c>
      <c r="Y31" s="35" t="s">
        <v>165</v>
      </c>
      <c r="Z31" s="37">
        <v>0.5</v>
      </c>
      <c r="AA31" s="56" t="s">
        <v>21</v>
      </c>
      <c r="AB31" s="1">
        <f t="shared" si="5"/>
        <v>0.9375</v>
      </c>
      <c r="AD31" s="43">
        <f t="shared" si="6"/>
        <v>1</v>
      </c>
    </row>
    <row r="32" spans="1:30" x14ac:dyDescent="0.3">
      <c r="A32" s="2" t="str">
        <f t="shared" si="1"/>
        <v/>
      </c>
      <c r="B32">
        <f t="shared" si="2"/>
        <v>15</v>
      </c>
      <c r="C32">
        <f t="shared" si="3"/>
        <v>15</v>
      </c>
      <c r="D32">
        <f t="shared" si="4"/>
        <v>13</v>
      </c>
      <c r="E32" s="56" t="s">
        <v>61</v>
      </c>
      <c r="F32" s="28"/>
      <c r="G32" s="28" t="s">
        <v>279</v>
      </c>
      <c r="H32" s="28" t="s">
        <v>275</v>
      </c>
      <c r="I32" s="28" t="s">
        <v>270</v>
      </c>
      <c r="J32" s="28" t="s">
        <v>273</v>
      </c>
      <c r="K32" s="28" t="s">
        <v>268</v>
      </c>
      <c r="L32" s="28" t="s">
        <v>271</v>
      </c>
      <c r="M32" s="28" t="s">
        <v>151</v>
      </c>
      <c r="N32" s="28" t="s">
        <v>260</v>
      </c>
      <c r="O32" s="28" t="s">
        <v>274</v>
      </c>
      <c r="P32" s="28" t="s">
        <v>242</v>
      </c>
      <c r="Q32" s="28" t="s">
        <v>262</v>
      </c>
      <c r="R32" s="28" t="s">
        <v>233</v>
      </c>
      <c r="S32" s="36" t="s">
        <v>238</v>
      </c>
      <c r="T32" s="37" t="s">
        <v>264</v>
      </c>
      <c r="U32" s="35" t="s">
        <v>265</v>
      </c>
      <c r="V32" s="37" t="s">
        <v>168</v>
      </c>
      <c r="W32" s="35" t="s">
        <v>186</v>
      </c>
      <c r="X32" s="37" t="s">
        <v>171</v>
      </c>
      <c r="Y32" s="35" t="s">
        <v>236</v>
      </c>
      <c r="Z32" s="37">
        <v>0.5625</v>
      </c>
      <c r="AA32" s="56" t="s">
        <v>61</v>
      </c>
      <c r="AB32" s="1">
        <f t="shared" si="5"/>
        <v>0.9375</v>
      </c>
      <c r="AD32" s="43">
        <f t="shared" si="6"/>
        <v>1</v>
      </c>
    </row>
    <row r="33" spans="1:30" x14ac:dyDescent="0.3">
      <c r="A33" s="2" t="str">
        <f t="shared" si="1"/>
        <v/>
      </c>
      <c r="B33">
        <f t="shared" si="2"/>
        <v>15</v>
      </c>
      <c r="C33">
        <f t="shared" si="3"/>
        <v>15</v>
      </c>
      <c r="D33">
        <f t="shared" si="4"/>
        <v>13</v>
      </c>
      <c r="E33" s="56" t="s">
        <v>54</v>
      </c>
      <c r="F33" s="28"/>
      <c r="G33" s="28" t="s">
        <v>279</v>
      </c>
      <c r="H33" s="28" t="s">
        <v>228</v>
      </c>
      <c r="I33" s="28" t="s">
        <v>270</v>
      </c>
      <c r="J33" s="28" t="s">
        <v>258</v>
      </c>
      <c r="K33" s="28" t="s">
        <v>268</v>
      </c>
      <c r="L33" s="28" t="s">
        <v>271</v>
      </c>
      <c r="M33" s="28" t="s">
        <v>244</v>
      </c>
      <c r="N33" s="28" t="s">
        <v>269</v>
      </c>
      <c r="O33" s="28" t="s">
        <v>261</v>
      </c>
      <c r="P33" s="28" t="s">
        <v>242</v>
      </c>
      <c r="Q33" s="28" t="s">
        <v>262</v>
      </c>
      <c r="R33" s="28" t="s">
        <v>233</v>
      </c>
      <c r="S33" s="36" t="s">
        <v>238</v>
      </c>
      <c r="T33" s="37" t="s">
        <v>264</v>
      </c>
      <c r="U33" s="35" t="s">
        <v>265</v>
      </c>
      <c r="V33" s="37" t="s">
        <v>155</v>
      </c>
      <c r="W33" s="35" t="s">
        <v>168</v>
      </c>
      <c r="X33" s="37" t="s">
        <v>164</v>
      </c>
      <c r="Y33" s="35" t="s">
        <v>277</v>
      </c>
      <c r="Z33" s="37">
        <v>0.375</v>
      </c>
      <c r="AA33" s="56" t="s">
        <v>54</v>
      </c>
      <c r="AB33" s="1">
        <f t="shared" si="5"/>
        <v>0.9375</v>
      </c>
      <c r="AD33" s="43">
        <f t="shared" si="6"/>
        <v>1</v>
      </c>
    </row>
    <row r="34" spans="1:30" x14ac:dyDescent="0.3">
      <c r="A34" s="2" t="str">
        <f t="shared" si="1"/>
        <v/>
      </c>
      <c r="B34">
        <f t="shared" si="2"/>
        <v>15</v>
      </c>
      <c r="C34">
        <f t="shared" si="3"/>
        <v>15</v>
      </c>
      <c r="D34">
        <f t="shared" si="4"/>
        <v>13</v>
      </c>
      <c r="E34" s="56" t="s">
        <v>66</v>
      </c>
      <c r="F34" s="28"/>
      <c r="G34" s="44" t="s">
        <v>257</v>
      </c>
      <c r="H34" s="44" t="s">
        <v>228</v>
      </c>
      <c r="I34" s="44" t="s">
        <v>149</v>
      </c>
      <c r="J34" s="44" t="s">
        <v>258</v>
      </c>
      <c r="K34" s="44" t="s">
        <v>268</v>
      </c>
      <c r="L34" s="44" t="s">
        <v>177</v>
      </c>
      <c r="M34" s="44" t="s">
        <v>244</v>
      </c>
      <c r="N34" s="44" t="s">
        <v>269</v>
      </c>
      <c r="O34" s="44" t="s">
        <v>274</v>
      </c>
      <c r="P34" s="44" t="s">
        <v>242</v>
      </c>
      <c r="Q34" s="44" t="s">
        <v>272</v>
      </c>
      <c r="R34" s="44" t="s">
        <v>150</v>
      </c>
      <c r="S34" s="36" t="s">
        <v>263</v>
      </c>
      <c r="T34" s="37" t="s">
        <v>232</v>
      </c>
      <c r="U34" s="35" t="s">
        <v>265</v>
      </c>
      <c r="V34" s="37" t="s">
        <v>168</v>
      </c>
      <c r="W34" s="35" t="s">
        <v>164</v>
      </c>
      <c r="X34" s="37" t="s">
        <v>155</v>
      </c>
      <c r="Y34" s="35" t="s">
        <v>243</v>
      </c>
      <c r="Z34" s="37">
        <v>0.375</v>
      </c>
      <c r="AA34" s="56" t="s">
        <v>66</v>
      </c>
      <c r="AB34" s="1">
        <f t="shared" si="5"/>
        <v>0.9375</v>
      </c>
      <c r="AD34" s="43">
        <f t="shared" si="6"/>
        <v>1</v>
      </c>
    </row>
    <row r="35" spans="1:30" x14ac:dyDescent="0.3">
      <c r="A35" s="2" t="str">
        <f t="shared" si="1"/>
        <v/>
      </c>
      <c r="B35">
        <f t="shared" si="2"/>
        <v>15</v>
      </c>
      <c r="C35">
        <f t="shared" si="3"/>
        <v>15</v>
      </c>
      <c r="D35">
        <f t="shared" si="4"/>
        <v>13</v>
      </c>
      <c r="E35" s="56" t="s">
        <v>57</v>
      </c>
      <c r="F35" s="44"/>
      <c r="G35" s="44" t="s">
        <v>279</v>
      </c>
      <c r="H35" s="44" t="s">
        <v>228</v>
      </c>
      <c r="I35" s="44" t="s">
        <v>270</v>
      </c>
      <c r="J35" s="44" t="s">
        <v>273</v>
      </c>
      <c r="K35" s="44" t="s">
        <v>268</v>
      </c>
      <c r="L35" s="44" t="s">
        <v>177</v>
      </c>
      <c r="M35" s="44" t="s">
        <v>151</v>
      </c>
      <c r="N35" s="44" t="s">
        <v>260</v>
      </c>
      <c r="O35" s="44" t="s">
        <v>274</v>
      </c>
      <c r="P35" s="44" t="s">
        <v>242</v>
      </c>
      <c r="Q35" s="44" t="s">
        <v>262</v>
      </c>
      <c r="R35" s="44" t="s">
        <v>150</v>
      </c>
      <c r="S35" s="36" t="s">
        <v>238</v>
      </c>
      <c r="T35" s="37" t="s">
        <v>232</v>
      </c>
      <c r="U35" s="35" t="s">
        <v>265</v>
      </c>
      <c r="V35" s="37" t="s">
        <v>180</v>
      </c>
      <c r="W35" s="35" t="s">
        <v>236</v>
      </c>
      <c r="X35" s="37" t="s">
        <v>165</v>
      </c>
      <c r="Y35" s="35" t="s">
        <v>156</v>
      </c>
      <c r="Z35" s="37">
        <v>0.5625</v>
      </c>
      <c r="AA35" s="56" t="s">
        <v>57</v>
      </c>
      <c r="AB35" s="1">
        <f t="shared" si="5"/>
        <v>0.9375</v>
      </c>
      <c r="AD35" s="43">
        <f t="shared" si="6"/>
        <v>1</v>
      </c>
    </row>
    <row r="36" spans="1:30" x14ac:dyDescent="0.3">
      <c r="A36" s="2" t="str">
        <f t="shared" si="1"/>
        <v/>
      </c>
      <c r="B36">
        <f t="shared" si="2"/>
        <v>15</v>
      </c>
      <c r="C36">
        <f t="shared" si="3"/>
        <v>15</v>
      </c>
      <c r="D36">
        <f t="shared" si="4"/>
        <v>13</v>
      </c>
      <c r="E36" s="56" t="s">
        <v>62</v>
      </c>
      <c r="F36" s="44"/>
      <c r="G36" s="44" t="s">
        <v>279</v>
      </c>
      <c r="H36" s="44" t="s">
        <v>228</v>
      </c>
      <c r="I36" s="44" t="s">
        <v>270</v>
      </c>
      <c r="J36" s="44" t="s">
        <v>273</v>
      </c>
      <c r="K36" s="28" t="s">
        <v>268</v>
      </c>
      <c r="L36" s="44" t="s">
        <v>271</v>
      </c>
      <c r="M36" s="44" t="s">
        <v>151</v>
      </c>
      <c r="N36" s="44" t="s">
        <v>269</v>
      </c>
      <c r="O36" s="44" t="s">
        <v>274</v>
      </c>
      <c r="P36" s="44" t="s">
        <v>172</v>
      </c>
      <c r="Q36" s="44" t="s">
        <v>262</v>
      </c>
      <c r="R36" s="44" t="s">
        <v>150</v>
      </c>
      <c r="S36" s="36" t="s">
        <v>263</v>
      </c>
      <c r="T36" s="37" t="s">
        <v>264</v>
      </c>
      <c r="U36" s="35" t="s">
        <v>265</v>
      </c>
      <c r="V36" s="37" t="s">
        <v>168</v>
      </c>
      <c r="W36" s="35" t="s">
        <v>171</v>
      </c>
      <c r="X36" s="37" t="s">
        <v>183</v>
      </c>
      <c r="Y36" s="35" t="s">
        <v>245</v>
      </c>
      <c r="Z36" s="37">
        <v>0.375</v>
      </c>
      <c r="AA36" s="56" t="s">
        <v>62</v>
      </c>
      <c r="AB36" s="1">
        <f t="shared" si="5"/>
        <v>0.9375</v>
      </c>
      <c r="AD36" s="43">
        <f t="shared" si="6"/>
        <v>1</v>
      </c>
    </row>
    <row r="37" spans="1:30" x14ac:dyDescent="0.3">
      <c r="A37" s="2">
        <f t="shared" si="1"/>
        <v>4.416666666666667</v>
      </c>
      <c r="B37">
        <f t="shared" si="2"/>
        <v>16</v>
      </c>
      <c r="C37">
        <f t="shared" si="3"/>
        <v>16</v>
      </c>
      <c r="D37">
        <f t="shared" si="4"/>
        <v>1</v>
      </c>
      <c r="E37" s="56" t="s">
        <v>78</v>
      </c>
      <c r="F37" s="28" t="s">
        <v>256</v>
      </c>
      <c r="G37" s="28" t="s">
        <v>279</v>
      </c>
      <c r="H37" s="28" t="s">
        <v>275</v>
      </c>
      <c r="I37" s="28" t="s">
        <v>270</v>
      </c>
      <c r="J37" s="28" t="s">
        <v>258</v>
      </c>
      <c r="K37" s="28" t="s">
        <v>268</v>
      </c>
      <c r="L37" s="28" t="s">
        <v>271</v>
      </c>
      <c r="M37" s="28" t="s">
        <v>244</v>
      </c>
      <c r="N37" s="28" t="s">
        <v>269</v>
      </c>
      <c r="O37" s="28" t="s">
        <v>261</v>
      </c>
      <c r="P37" s="28" t="s">
        <v>242</v>
      </c>
      <c r="Q37" s="28" t="s">
        <v>262</v>
      </c>
      <c r="R37" s="28" t="s">
        <v>150</v>
      </c>
      <c r="S37" s="36" t="s">
        <v>238</v>
      </c>
      <c r="T37" s="37" t="s">
        <v>264</v>
      </c>
      <c r="U37" s="35" t="s">
        <v>265</v>
      </c>
      <c r="V37" s="37" t="s">
        <v>171</v>
      </c>
      <c r="W37" s="35" t="s">
        <v>168</v>
      </c>
      <c r="X37" s="37" t="s">
        <v>164</v>
      </c>
      <c r="Y37" s="35" t="s">
        <v>245</v>
      </c>
      <c r="Z37" s="37">
        <v>0.3125</v>
      </c>
      <c r="AA37" s="56" t="s">
        <v>78</v>
      </c>
      <c r="AB37" s="1">
        <f t="shared" si="5"/>
        <v>1</v>
      </c>
      <c r="AD37" s="43">
        <f t="shared" si="6"/>
        <v>0</v>
      </c>
    </row>
    <row r="38" spans="1:30" x14ac:dyDescent="0.3">
      <c r="A38" s="2">
        <f t="shared" si="1"/>
        <v>4.416666666666667</v>
      </c>
      <c r="B38">
        <f t="shared" si="2"/>
        <v>16</v>
      </c>
      <c r="C38">
        <f t="shared" si="3"/>
        <v>16</v>
      </c>
      <c r="D38">
        <f t="shared" si="4"/>
        <v>1</v>
      </c>
      <c r="E38" s="57" t="s">
        <v>69</v>
      </c>
      <c r="F38" s="28" t="s">
        <v>256</v>
      </c>
      <c r="G38" s="28" t="s">
        <v>279</v>
      </c>
      <c r="H38" s="28" t="s">
        <v>228</v>
      </c>
      <c r="I38" s="28" t="s">
        <v>270</v>
      </c>
      <c r="J38" s="28" t="s">
        <v>258</v>
      </c>
      <c r="K38" s="28" t="s">
        <v>268</v>
      </c>
      <c r="L38" s="28" t="s">
        <v>177</v>
      </c>
      <c r="M38" s="28" t="s">
        <v>244</v>
      </c>
      <c r="N38" s="28" t="s">
        <v>269</v>
      </c>
      <c r="O38" s="28" t="s">
        <v>274</v>
      </c>
      <c r="P38" s="28" t="s">
        <v>242</v>
      </c>
      <c r="Q38" s="28" t="s">
        <v>262</v>
      </c>
      <c r="R38" s="28" t="s">
        <v>150</v>
      </c>
      <c r="S38" s="36" t="s">
        <v>263</v>
      </c>
      <c r="T38" s="37" t="s">
        <v>264</v>
      </c>
      <c r="U38" s="35" t="s">
        <v>265</v>
      </c>
      <c r="V38" s="37" t="s">
        <v>155</v>
      </c>
      <c r="W38" s="35" t="s">
        <v>168</v>
      </c>
      <c r="X38" s="37" t="s">
        <v>171</v>
      </c>
      <c r="Y38" s="35" t="s">
        <v>245</v>
      </c>
      <c r="Z38" s="37">
        <v>0.3125</v>
      </c>
      <c r="AA38" s="56" t="s">
        <v>69</v>
      </c>
      <c r="AB38" s="1">
        <f t="shared" si="5"/>
        <v>1</v>
      </c>
      <c r="AD38" s="43">
        <f t="shared" si="6"/>
        <v>0</v>
      </c>
    </row>
    <row r="39" spans="1:30" x14ac:dyDescent="0.3">
      <c r="A39" s="2" t="str">
        <f t="shared" si="1"/>
        <v/>
      </c>
      <c r="B39">
        <f t="shared" si="2"/>
        <v>15</v>
      </c>
      <c r="C39">
        <f t="shared" si="3"/>
        <v>15</v>
      </c>
      <c r="D39">
        <f t="shared" si="4"/>
        <v>13</v>
      </c>
      <c r="E39" s="57" t="s">
        <v>72</v>
      </c>
      <c r="F39" s="38"/>
      <c r="G39" s="38" t="s">
        <v>279</v>
      </c>
      <c r="H39" s="38" t="s">
        <v>228</v>
      </c>
      <c r="I39" s="38" t="s">
        <v>270</v>
      </c>
      <c r="J39" s="38" t="s">
        <v>273</v>
      </c>
      <c r="K39" s="38" t="s">
        <v>268</v>
      </c>
      <c r="L39" s="38" t="s">
        <v>177</v>
      </c>
      <c r="M39" s="38" t="s">
        <v>244</v>
      </c>
      <c r="N39" s="38" t="s">
        <v>269</v>
      </c>
      <c r="O39" s="38" t="s">
        <v>274</v>
      </c>
      <c r="P39" s="38" t="s">
        <v>242</v>
      </c>
      <c r="Q39" s="38" t="s">
        <v>272</v>
      </c>
      <c r="R39" s="38" t="s">
        <v>233</v>
      </c>
      <c r="S39" s="36" t="s">
        <v>263</v>
      </c>
      <c r="T39" s="37" t="s">
        <v>232</v>
      </c>
      <c r="U39" s="36" t="s">
        <v>265</v>
      </c>
      <c r="V39" s="37" t="s">
        <v>168</v>
      </c>
      <c r="W39" s="36" t="s">
        <v>155</v>
      </c>
      <c r="X39" s="37" t="s">
        <v>164</v>
      </c>
      <c r="Y39" s="36" t="s">
        <v>245</v>
      </c>
      <c r="Z39" s="37">
        <v>0.625</v>
      </c>
      <c r="AA39" s="57" t="s">
        <v>72</v>
      </c>
      <c r="AB39" s="1">
        <f t="shared" si="5"/>
        <v>0.9375</v>
      </c>
      <c r="AD39" s="43">
        <f t="shared" si="6"/>
        <v>1</v>
      </c>
    </row>
    <row r="40" spans="1:30" x14ac:dyDescent="0.3">
      <c r="A40" s="2" t="str">
        <f t="shared" si="1"/>
        <v/>
      </c>
      <c r="B40">
        <f t="shared" si="2"/>
        <v>15</v>
      </c>
      <c r="C40">
        <f t="shared" si="3"/>
        <v>15</v>
      </c>
      <c r="D40">
        <f t="shared" si="4"/>
        <v>13</v>
      </c>
      <c r="E40" s="57" t="s">
        <v>79</v>
      </c>
      <c r="F40" s="37"/>
      <c r="G40" s="37" t="s">
        <v>279</v>
      </c>
      <c r="H40" s="37" t="s">
        <v>228</v>
      </c>
      <c r="I40" s="37" t="s">
        <v>270</v>
      </c>
      <c r="J40" s="37" t="s">
        <v>258</v>
      </c>
      <c r="K40" s="37" t="s">
        <v>268</v>
      </c>
      <c r="L40" s="37" t="s">
        <v>271</v>
      </c>
      <c r="M40" s="37" t="s">
        <v>244</v>
      </c>
      <c r="N40" s="37" t="s">
        <v>269</v>
      </c>
      <c r="O40" s="37" t="s">
        <v>261</v>
      </c>
      <c r="P40" s="37" t="s">
        <v>242</v>
      </c>
      <c r="Q40" s="37" t="s">
        <v>272</v>
      </c>
      <c r="R40" s="37" t="s">
        <v>150</v>
      </c>
      <c r="S40" s="36" t="s">
        <v>263</v>
      </c>
      <c r="T40" s="37" t="s">
        <v>264</v>
      </c>
      <c r="U40" s="35" t="s">
        <v>265</v>
      </c>
      <c r="V40" s="37" t="s">
        <v>176</v>
      </c>
      <c r="W40" s="35" t="s">
        <v>183</v>
      </c>
      <c r="X40" s="37" t="s">
        <v>168</v>
      </c>
      <c r="Y40" s="35" t="s">
        <v>245</v>
      </c>
      <c r="Z40" s="37">
        <v>0.4375</v>
      </c>
      <c r="AA40" s="56" t="s">
        <v>79</v>
      </c>
      <c r="AB40" s="1">
        <f t="shared" si="5"/>
        <v>0.9375</v>
      </c>
      <c r="AD40" s="43">
        <f t="shared" si="6"/>
        <v>1</v>
      </c>
    </row>
    <row r="41" spans="1:30" x14ac:dyDescent="0.3">
      <c r="A41" s="2" t="str">
        <f t="shared" si="1"/>
        <v/>
      </c>
      <c r="B41">
        <f t="shared" si="2"/>
        <v>15</v>
      </c>
      <c r="C41">
        <f t="shared" si="3"/>
        <v>15</v>
      </c>
      <c r="D41">
        <f t="shared" si="4"/>
        <v>13</v>
      </c>
      <c r="E41" s="57" t="s">
        <v>56</v>
      </c>
      <c r="F41" s="37"/>
      <c r="G41" s="37" t="s">
        <v>279</v>
      </c>
      <c r="H41" s="37" t="s">
        <v>228</v>
      </c>
      <c r="I41" s="37" t="s">
        <v>270</v>
      </c>
      <c r="J41" s="37" t="s">
        <v>273</v>
      </c>
      <c r="K41" s="37" t="s">
        <v>268</v>
      </c>
      <c r="L41" s="37" t="s">
        <v>177</v>
      </c>
      <c r="M41" s="37" t="s">
        <v>244</v>
      </c>
      <c r="N41" s="37" t="s">
        <v>269</v>
      </c>
      <c r="O41" s="37" t="s">
        <v>261</v>
      </c>
      <c r="P41" s="37" t="s">
        <v>242</v>
      </c>
      <c r="Q41" s="37" t="s">
        <v>262</v>
      </c>
      <c r="R41" s="37" t="s">
        <v>150</v>
      </c>
      <c r="S41" s="36" t="s">
        <v>263</v>
      </c>
      <c r="T41" s="37" t="s">
        <v>264</v>
      </c>
      <c r="U41" s="36" t="s">
        <v>265</v>
      </c>
      <c r="V41" s="37" t="s">
        <v>164</v>
      </c>
      <c r="W41" s="36" t="s">
        <v>155</v>
      </c>
      <c r="X41" s="37" t="s">
        <v>168</v>
      </c>
      <c r="Y41" s="36" t="s">
        <v>245</v>
      </c>
      <c r="Z41" s="37">
        <v>0.5</v>
      </c>
      <c r="AA41" s="57" t="s">
        <v>56</v>
      </c>
      <c r="AB41" s="1">
        <f t="shared" si="5"/>
        <v>0.9375</v>
      </c>
      <c r="AD41" s="43">
        <f t="shared" si="6"/>
        <v>1</v>
      </c>
    </row>
    <row r="42" spans="1:30" x14ac:dyDescent="0.3">
      <c r="A42" s="2">
        <f t="shared" si="1"/>
        <v>4.416666666666667</v>
      </c>
      <c r="B42">
        <f t="shared" si="2"/>
        <v>16</v>
      </c>
      <c r="C42">
        <f t="shared" si="3"/>
        <v>16</v>
      </c>
      <c r="D42">
        <f t="shared" si="4"/>
        <v>1</v>
      </c>
      <c r="E42" s="57" t="s">
        <v>73</v>
      </c>
      <c r="F42" s="37" t="s">
        <v>256</v>
      </c>
      <c r="G42" s="37" t="s">
        <v>257</v>
      </c>
      <c r="H42" s="37" t="s">
        <v>228</v>
      </c>
      <c r="I42" s="37" t="s">
        <v>149</v>
      </c>
      <c r="J42" s="37" t="s">
        <v>273</v>
      </c>
      <c r="K42" s="37" t="s">
        <v>268</v>
      </c>
      <c r="L42" s="37" t="s">
        <v>271</v>
      </c>
      <c r="M42" s="37" t="s">
        <v>244</v>
      </c>
      <c r="N42" s="37" t="s">
        <v>269</v>
      </c>
      <c r="O42" s="37" t="s">
        <v>261</v>
      </c>
      <c r="P42" s="37" t="s">
        <v>242</v>
      </c>
      <c r="Q42" s="37" t="s">
        <v>272</v>
      </c>
      <c r="R42" s="37" t="s">
        <v>150</v>
      </c>
      <c r="S42" s="36" t="s">
        <v>263</v>
      </c>
      <c r="T42" s="37" t="s">
        <v>264</v>
      </c>
      <c r="U42" s="36" t="s">
        <v>265</v>
      </c>
      <c r="V42" s="37" t="s">
        <v>168</v>
      </c>
      <c r="W42" s="36" t="s">
        <v>155</v>
      </c>
      <c r="X42" s="37" t="s">
        <v>164</v>
      </c>
      <c r="Y42" s="36" t="s">
        <v>245</v>
      </c>
      <c r="Z42" s="37">
        <v>0.3125</v>
      </c>
      <c r="AA42" s="57" t="s">
        <v>73</v>
      </c>
      <c r="AB42" s="1">
        <f t="shared" si="5"/>
        <v>1</v>
      </c>
      <c r="AD42" s="43">
        <f t="shared" si="6"/>
        <v>0</v>
      </c>
    </row>
    <row r="43" spans="1:30" x14ac:dyDescent="0.3">
      <c r="A43" s="2">
        <f t="shared" si="1"/>
        <v>4.416666666666667</v>
      </c>
      <c r="B43">
        <f t="shared" si="2"/>
        <v>16</v>
      </c>
      <c r="C43">
        <f t="shared" si="3"/>
        <v>16</v>
      </c>
      <c r="D43">
        <f t="shared" si="4"/>
        <v>1</v>
      </c>
      <c r="E43" s="57" t="s">
        <v>53</v>
      </c>
      <c r="F43" s="37" t="s">
        <v>256</v>
      </c>
      <c r="G43" s="37" t="s">
        <v>257</v>
      </c>
      <c r="H43" s="37" t="s">
        <v>228</v>
      </c>
      <c r="I43" s="37" t="s">
        <v>270</v>
      </c>
      <c r="J43" s="37" t="s">
        <v>258</v>
      </c>
      <c r="K43" s="37" t="s">
        <v>259</v>
      </c>
      <c r="L43" s="37" t="s">
        <v>271</v>
      </c>
      <c r="M43" s="37" t="s">
        <v>244</v>
      </c>
      <c r="N43" s="37" t="s">
        <v>269</v>
      </c>
      <c r="O43" s="37" t="s">
        <v>261</v>
      </c>
      <c r="P43" s="37" t="s">
        <v>242</v>
      </c>
      <c r="Q43" s="37" t="s">
        <v>262</v>
      </c>
      <c r="R43" s="37" t="s">
        <v>150</v>
      </c>
      <c r="S43" s="36" t="s">
        <v>263</v>
      </c>
      <c r="T43" s="37" t="s">
        <v>264</v>
      </c>
      <c r="U43" s="36" t="s">
        <v>265</v>
      </c>
      <c r="V43" s="37" t="s">
        <v>164</v>
      </c>
      <c r="W43" s="36" t="s">
        <v>186</v>
      </c>
      <c r="X43" s="37" t="s">
        <v>173</v>
      </c>
      <c r="Y43" s="36" t="s">
        <v>245</v>
      </c>
      <c r="Z43" s="37">
        <v>0.3125</v>
      </c>
      <c r="AA43" s="57" t="s">
        <v>53</v>
      </c>
      <c r="AB43" s="1">
        <f t="shared" si="5"/>
        <v>1</v>
      </c>
      <c r="AD43" s="43">
        <f t="shared" si="6"/>
        <v>0</v>
      </c>
    </row>
    <row r="44" spans="1:30" x14ac:dyDescent="0.3">
      <c r="A44" s="2">
        <f t="shared" si="1"/>
        <v>4.416666666666667</v>
      </c>
      <c r="B44">
        <f t="shared" si="2"/>
        <v>16</v>
      </c>
      <c r="C44">
        <f t="shared" si="3"/>
        <v>16</v>
      </c>
      <c r="D44">
        <f t="shared" si="4"/>
        <v>1</v>
      </c>
      <c r="E44" s="57" t="s">
        <v>65</v>
      </c>
      <c r="F44" s="37" t="s">
        <v>256</v>
      </c>
      <c r="G44" s="37" t="s">
        <v>279</v>
      </c>
      <c r="H44" s="37" t="s">
        <v>275</v>
      </c>
      <c r="I44" s="37" t="s">
        <v>270</v>
      </c>
      <c r="J44" s="37" t="s">
        <v>258</v>
      </c>
      <c r="K44" s="37" t="s">
        <v>268</v>
      </c>
      <c r="L44" s="37" t="s">
        <v>271</v>
      </c>
      <c r="M44" s="37" t="s">
        <v>244</v>
      </c>
      <c r="N44" s="37" t="s">
        <v>269</v>
      </c>
      <c r="O44" s="37" t="s">
        <v>261</v>
      </c>
      <c r="P44" s="37" t="s">
        <v>172</v>
      </c>
      <c r="Q44" s="37" t="s">
        <v>272</v>
      </c>
      <c r="R44" s="37" t="s">
        <v>150</v>
      </c>
      <c r="S44" s="36" t="s">
        <v>238</v>
      </c>
      <c r="T44" s="37" t="s">
        <v>232</v>
      </c>
      <c r="U44" s="36" t="s">
        <v>278</v>
      </c>
      <c r="V44" s="37" t="s">
        <v>168</v>
      </c>
      <c r="W44" s="36" t="s">
        <v>155</v>
      </c>
      <c r="X44" s="37" t="s">
        <v>155</v>
      </c>
      <c r="Y44" s="36" t="s">
        <v>245</v>
      </c>
      <c r="Z44" s="37">
        <v>0.4375</v>
      </c>
      <c r="AA44" s="57" t="s">
        <v>65</v>
      </c>
      <c r="AB44" s="1">
        <f t="shared" si="5"/>
        <v>1</v>
      </c>
      <c r="AD44" s="43">
        <f t="shared" si="6"/>
        <v>0</v>
      </c>
    </row>
    <row r="45" spans="1:30" x14ac:dyDescent="0.3">
      <c r="AD45" s="10">
        <f>COUNTIF(AD10:AD44,0)</f>
        <v>12</v>
      </c>
    </row>
    <row r="46" spans="1:30" x14ac:dyDescent="0.3">
      <c r="AD46" s="43">
        <f>SUM(AD10:AD44)/AD45</f>
        <v>4.416666666666667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64" priority="4" operator="equal">
      <formula>"W"</formula>
    </cfRule>
    <cfRule type="cellIs" dxfId="63" priority="5" operator="equal">
      <formula>"L"</formula>
    </cfRule>
  </conditionalFormatting>
  <conditionalFormatting sqref="AD10:AD46">
    <cfRule type="cellIs" dxfId="62" priority="1" stopIfTrue="1" operator="equal">
      <formula>0</formula>
    </cfRule>
  </conditionalFormatting>
  <dataValidations count="2">
    <dataValidation type="list" allowBlank="1" sqref="F10:U44" xr:uid="{00000000-0002-0000-0500-000000000000}">
      <formula1>"W,L"</formula1>
    </dataValidation>
    <dataValidation type="list" allowBlank="1" sqref="F6:U6" xr:uid="{00000000-0002-0000-0500-000001000000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6"/>
  <sheetViews>
    <sheetView workbookViewId="0">
      <selection activeCell="A10" sqref="A10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61" priority="4" operator="equal">
      <formula>"W"</formula>
    </cfRule>
    <cfRule type="cellIs" dxfId="60" priority="5" operator="equal">
      <formula>"L"</formula>
    </cfRule>
  </conditionalFormatting>
  <conditionalFormatting sqref="AD10:AD46">
    <cfRule type="cellIs" dxfId="59" priority="1" stopIfTrue="1" operator="equal">
      <formula>0</formula>
    </cfRule>
  </conditionalFormatting>
  <dataValidations count="2">
    <dataValidation type="list" allowBlank="1" sqref="F6:U6" xr:uid="{00000000-0002-0000-06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600-000001000000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8" priority="4" operator="equal">
      <formula>"W"</formula>
    </cfRule>
    <cfRule type="cellIs" dxfId="57" priority="5" operator="equal">
      <formula>"L"</formula>
    </cfRule>
  </conditionalFormatting>
  <conditionalFormatting sqref="AD10:AD46">
    <cfRule type="cellIs" dxfId="56" priority="1" stopIfTrue="1" operator="equal">
      <formula>0</formula>
    </cfRule>
  </conditionalFormatting>
  <dataValidations count="2">
    <dataValidation type="list" allowBlank="1" sqref="F6:U6" xr:uid="{00000000-0002-0000-07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700-000001000000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5" priority="4" operator="equal">
      <formula>"W"</formula>
    </cfRule>
    <cfRule type="cellIs" dxfId="54" priority="5" operator="equal">
      <formula>"L"</formula>
    </cfRule>
  </conditionalFormatting>
  <conditionalFormatting sqref="AD10:AD46">
    <cfRule type="cellIs" dxfId="53" priority="1" stopIfTrue="1" operator="equal">
      <formula>0</formula>
    </cfRule>
  </conditionalFormatting>
  <dataValidations count="2">
    <dataValidation type="list" allowBlank="1" sqref="F6:U6" xr:uid="{00000000-0002-0000-08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800-000001000000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2" priority="4" operator="equal">
      <formula>"W"</formula>
    </cfRule>
    <cfRule type="cellIs" dxfId="51" priority="5" operator="equal">
      <formula>"L"</formula>
    </cfRule>
  </conditionalFormatting>
  <conditionalFormatting sqref="AD10:AD46">
    <cfRule type="cellIs" dxfId="50" priority="1" stopIfTrue="1" operator="equal">
      <formula>0</formula>
    </cfRule>
  </conditionalFormatting>
  <dataValidations count="2">
    <dataValidation type="list" allowBlank="1" sqref="F6:U6" xr:uid="{00000000-0002-0000-09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900-000001000000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9" priority="4" operator="equal">
      <formula>"W"</formula>
    </cfRule>
    <cfRule type="cellIs" dxfId="48" priority="5" operator="equal">
      <formula>"L"</formula>
    </cfRule>
  </conditionalFormatting>
  <conditionalFormatting sqref="AD10:AD46">
    <cfRule type="cellIs" dxfId="47" priority="1" stopIfTrue="1" operator="equal">
      <formula>0</formula>
    </cfRule>
  </conditionalFormatting>
  <dataValidations count="2">
    <dataValidation type="list" allowBlank="1" sqref="F6:U6" xr:uid="{00000000-0002-0000-0A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A00-000001000000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6" priority="4" operator="equal">
      <formula>"W"</formula>
    </cfRule>
    <cfRule type="cellIs" dxfId="45" priority="5" operator="equal">
      <formula>"L"</formula>
    </cfRule>
  </conditionalFormatting>
  <conditionalFormatting sqref="AD10:AD46">
    <cfRule type="cellIs" dxfId="44" priority="1" stopIfTrue="1" operator="equal">
      <formula>0</formula>
    </cfRule>
  </conditionalFormatting>
  <dataValidations count="2">
    <dataValidation type="list" allowBlank="1" sqref="F6:U6" xr:uid="{00000000-0002-0000-0B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B00-000001000000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3" priority="4" operator="equal">
      <formula>"W"</formula>
    </cfRule>
    <cfRule type="cellIs" dxfId="42" priority="5" operator="equal">
      <formula>"L"</formula>
    </cfRule>
  </conditionalFormatting>
  <conditionalFormatting sqref="AD10:AD46">
    <cfRule type="cellIs" dxfId="41" priority="1" stopIfTrue="1" operator="equal">
      <formula>0</formula>
    </cfRule>
  </conditionalFormatting>
  <dataValidations count="2">
    <dataValidation type="list" allowBlank="1" sqref="F6:U6" xr:uid="{00000000-0002-0000-0C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C00-000001000000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0" priority="4" operator="equal">
      <formula>"W"</formula>
    </cfRule>
    <cfRule type="cellIs" dxfId="39" priority="5" operator="equal">
      <formula>"L"</formula>
    </cfRule>
  </conditionalFormatting>
  <conditionalFormatting sqref="AD10:AD46">
    <cfRule type="cellIs" dxfId="38" priority="1" stopIfTrue="1" operator="equal">
      <formula>0</formula>
    </cfRule>
  </conditionalFormatting>
  <dataValidations count="2">
    <dataValidation type="list" allowBlank="1" sqref="F6:U6" xr:uid="{00000000-0002-0000-0D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D00-000001000000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7" priority="4" operator="equal">
      <formula>"W"</formula>
    </cfRule>
    <cfRule type="cellIs" dxfId="36" priority="5" operator="equal">
      <formula>"L"</formula>
    </cfRule>
  </conditionalFormatting>
  <conditionalFormatting sqref="AD10:AD46">
    <cfRule type="cellIs" dxfId="35" priority="1" stopIfTrue="1" operator="equal">
      <formula>0</formula>
    </cfRule>
  </conditionalFormatting>
  <dataValidations count="2">
    <dataValidation type="list" allowBlank="1" sqref="F6:U6" xr:uid="{00000000-0002-0000-0E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E00-000001000000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4" priority="4" operator="equal">
      <formula>"W"</formula>
    </cfRule>
    <cfRule type="cellIs" dxfId="33" priority="5" operator="equal">
      <formula>"L"</formula>
    </cfRule>
  </conditionalFormatting>
  <conditionalFormatting sqref="AD10:AD46">
    <cfRule type="cellIs" dxfId="32" priority="1" stopIfTrue="1" operator="equal">
      <formula>0</formula>
    </cfRule>
  </conditionalFormatting>
  <dataValidations count="2">
    <dataValidation type="list" allowBlank="1" sqref="F6:U6" xr:uid="{00000000-0002-0000-0F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F00-000001000000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1" priority="4" operator="equal">
      <formula>"W"</formula>
    </cfRule>
    <cfRule type="cellIs" dxfId="30" priority="5" operator="equal">
      <formula>"L"</formula>
    </cfRule>
  </conditionalFormatting>
  <conditionalFormatting sqref="AD10:AD46">
    <cfRule type="cellIs" dxfId="29" priority="1" stopIfTrue="1" operator="equal">
      <formula>0</formula>
    </cfRule>
  </conditionalFormatting>
  <dataValidations count="2">
    <dataValidation type="list" allowBlank="1" sqref="F6:U6" xr:uid="{00000000-0002-0000-10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000-000001000000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8" priority="4" operator="equal">
      <formula>"W"</formula>
    </cfRule>
    <cfRule type="cellIs" dxfId="27" priority="5" operator="equal">
      <formula>"L"</formula>
    </cfRule>
  </conditionalFormatting>
  <conditionalFormatting sqref="AD10:AD46">
    <cfRule type="cellIs" dxfId="26" priority="1" stopIfTrue="1" operator="equal">
      <formula>0</formula>
    </cfRule>
  </conditionalFormatting>
  <dataValidations count="2">
    <dataValidation type="list" allowBlank="1" sqref="F6:U6" xr:uid="{00000000-0002-0000-1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100-000001000000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5" t="s">
        <v>248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30" x14ac:dyDescent="0.3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5" priority="4" operator="equal">
      <formula>"W"</formula>
    </cfRule>
    <cfRule type="cellIs" dxfId="24" priority="5" operator="equal">
      <formula>"L"</formula>
    </cfRule>
  </conditionalFormatting>
  <conditionalFormatting sqref="AD10:AD46">
    <cfRule type="cellIs" dxfId="23" priority="1" stopIfTrue="1" operator="equal">
      <formula>0</formula>
    </cfRule>
  </conditionalFormatting>
  <dataValidations count="2">
    <dataValidation type="list" allowBlank="1" sqref="F6:U6" xr:uid="{00000000-0002-0000-12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200-000001000000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2026-09-25T03:10:26Z</dcterms:modified>
</cp:coreProperties>
</file>