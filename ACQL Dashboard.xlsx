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2.xml" ContentType="application/vnd.openxmlformats-officedocument.spreadsheetml.worksheet+xml"/>
  <Override PartName="/xl/tables/table6.xml" ContentType="application/vnd.openxmlformats-officedocument.spreadsheetml.table+xml"/>
  <Override PartName="/xl/worksheets/sheet3.xml" ContentType="application/vnd.openxmlformats-officedocument.spreadsheetml.worksheet+xml"/>
  <Override PartName="/xl/tables/table7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7" autoFilterDateGrouping="1"/>
  </bookViews>
  <sheets>
    <sheet name="Dashboard" sheetId="1" state="visible" r:id="rId1"/>
    <sheet name="Season" sheetId="2" state="visible" r:id="rId2"/>
    <sheet name="Winnings" sheetId="3" state="visible" r:id="rId3"/>
    <sheet name="Week 1" sheetId="4" state="visible" r:id="rId4"/>
    <sheet name="Week 2" sheetId="5" state="visible" r:id="rId5"/>
    <sheet name="Week 3" sheetId="6" state="visible" r:id="rId6"/>
    <sheet name="Week 4" sheetId="7" state="visible" r:id="rId7"/>
    <sheet name="Week 5" sheetId="8" state="visible" r:id="rId8"/>
    <sheet name="Week 6" sheetId="9" state="visible" r:id="rId9"/>
    <sheet name="Week 7" sheetId="10" state="visible" r:id="rId10"/>
    <sheet name="Week 8" sheetId="11" state="visible" r:id="rId11"/>
    <sheet name="Week 9" sheetId="12" state="visible" r:id="rId12"/>
    <sheet name="Week 10" sheetId="13" state="visible" r:id="rId13"/>
    <sheet name="Week 11" sheetId="14" state="visible" r:id="rId14"/>
    <sheet name="Week 12" sheetId="15" state="visible" r:id="rId15"/>
    <sheet name="Week 13" sheetId="16" state="visible" r:id="rId16"/>
    <sheet name="Week 14" sheetId="17" state="visible" r:id="rId17"/>
    <sheet name="Week 15" sheetId="18" state="visible" r:id="rId18"/>
    <sheet name="Week 16" sheetId="19" state="visible" r:id="rId19"/>
    <sheet name="Week 17" sheetId="20" state="visible" r:id="rId20"/>
    <sheet name="Week 18" sheetId="21" state="visible" r:id="rId21"/>
  </sheets>
  <definedNames>
    <definedName name="_xlnm._FilterDatabase" localSheetId="3" hidden="1">'Week 1'!$A$9:$AB$44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\$0.00"/>
    <numFmt numFmtId="166" formatCode="0.0"/>
    <numFmt numFmtId="167" formatCode="_(* #,##0_);_(* \(#,##0\);_(* &quot;-&quot;??_);_(@_)"/>
    <numFmt numFmtId="168" formatCode="&quot;$&quot;#,##0.00"/>
    <numFmt numFmtId="169" formatCode="_(&quot;$&quot;* #,##0.00_);_(&quot;$&quot;* \(#,##0.00\);_(&quot;$&quot;* &quot;-&quot;??_);_(@_)"/>
  </numFmts>
  <fonts count="14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22"/>
    </font>
    <font>
      <name val="Calibri"/>
      <family val="2"/>
      <b val="1"/>
      <sz val="11"/>
    </font>
    <font>
      <name val="Calibri"/>
      <family val="2"/>
      <color theme="1"/>
      <sz val="11"/>
      <scheme val="minor"/>
    </font>
    <font>
      <name val="Calibri"/>
      <family val="2"/>
      <b val="1"/>
      <sz val="20"/>
    </font>
    <font>
      <name val="Calibri"/>
      <family val="2"/>
      <b val="1"/>
      <sz val="22"/>
    </font>
    <font>
      <name val="Calibri"/>
      <family val="2"/>
      <b val="1"/>
      <color rgb="FFFFFFFF"/>
      <sz val="28"/>
    </font>
    <font>
      <name val="Calibri"/>
      <family val="2"/>
      <b val="1"/>
      <color rgb="FFFFFFFF"/>
      <sz val="36"/>
    </font>
    <font>
      <name val="Calibri"/>
      <family val="2"/>
      <sz val="11"/>
      <scheme val="minor"/>
    </font>
    <font>
      <name val="Arial"/>
      <family val="2"/>
      <sz val="10"/>
    </font>
    <font>
      <name val="Arial"/>
      <family val="2"/>
      <b val="1"/>
      <sz val="10"/>
    </font>
    <font>
      <name val="Times New Roman"/>
      <family val="1"/>
      <color theme="1"/>
      <sz val="11"/>
    </font>
    <font>
      <name val="Arial"/>
      <sz val="10"/>
    </font>
  </fonts>
  <fills count="14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5B9BD5"/>
      </patternFill>
    </fill>
    <fill>
      <patternFill patternType="solid">
        <fgColor rgb="FFD9EAF7"/>
      </patternFill>
    </fill>
    <fill>
      <patternFill patternType="solid">
        <fgColor rgb="FFFFC000"/>
      </patternFill>
    </fill>
    <fill>
      <patternFill patternType="solid">
        <fgColor rgb="FFFFFF00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C0FF"/>
        <bgColor indexed="64"/>
      </patternFill>
    </fill>
    <fill>
      <patternFill patternType="solid">
        <fgColor rgb="FFFFFF0D"/>
        <bgColor indexed="64"/>
      </patternFill>
    </fill>
    <fill>
      <patternFill patternType="solid">
        <fgColor rgb="FFFFD0FF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 style="thin">
        <color indexed="64"/>
      </left>
      <right/>
      <top style="thin">
        <color rgb="FFD9E1F2"/>
      </top>
      <bottom/>
      <diagonal/>
    </border>
    <border>
      <left style="thin">
        <color indexed="64"/>
      </left>
      <right/>
      <top/>
      <bottom/>
      <diagonal/>
    </border>
    <border>
      <left/>
      <right style="thick">
        <color indexed="64"/>
      </right>
      <top style="thin">
        <color rgb="FFD9E1F2"/>
      </top>
      <bottom/>
      <diagonal/>
    </border>
    <border>
      <left/>
      <right style="thick">
        <color indexed="64"/>
      </right>
      <top/>
      <bottom/>
      <diagonal/>
    </border>
  </borders>
  <cellStyleXfs count="6">
    <xf numFmtId="0" fontId="4" fillId="0" borderId="0"/>
    <xf numFmtId="43" fontId="4" fillId="0" borderId="0"/>
    <xf numFmtId="44" fontId="4" fillId="0" borderId="0"/>
    <xf numFmtId="9" fontId="4" fillId="0" borderId="0"/>
    <xf numFmtId="0" fontId="10" fillId="0" borderId="0"/>
    <xf numFmtId="0" fontId="13" fillId="0" borderId="0"/>
  </cellStyleXfs>
  <cellXfs count="77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166" fontId="0" fillId="0" borderId="0" pivotButton="0" quotePrefix="0" xfId="0"/>
    <xf numFmtId="0" fontId="1" fillId="2" borderId="0" pivotButton="0" quotePrefix="0" xfId="0"/>
    <xf numFmtId="0" fontId="3" fillId="5" borderId="0" pivotButton="0" quotePrefix="0" xfId="0"/>
    <xf numFmtId="0" fontId="3" fillId="4" borderId="0" pivotButton="0" quotePrefix="0" xfId="0"/>
    <xf numFmtId="164" fontId="3" fillId="4" borderId="0" pivotButton="0" quotePrefix="0" xfId="0"/>
    <xf numFmtId="0" fontId="1" fillId="2" borderId="1" applyAlignment="1" pivotButton="0" quotePrefix="0" xfId="0">
      <alignment horizontal="center" vertical="center" wrapText="1"/>
    </xf>
    <xf numFmtId="167" fontId="0" fillId="0" borderId="0" applyAlignment="1" pivotButton="0" quotePrefix="0" xfId="1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6" borderId="4" pivotButton="0" quotePrefix="0" xfId="0"/>
    <xf numFmtId="0" fontId="1" fillId="7" borderId="0" pivotButton="0" quotePrefix="0" xfId="0"/>
    <xf numFmtId="0" fontId="0" fillId="8" borderId="0" pivotButton="0" quotePrefix="0" xfId="0"/>
    <xf numFmtId="0" fontId="1" fillId="2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9" fillId="0" borderId="0" pivotButton="0" quotePrefix="0" xfId="0"/>
    <xf numFmtId="0" fontId="0" fillId="9" borderId="0" pivotButton="0" quotePrefix="0" xfId="0"/>
    <xf numFmtId="164" fontId="9" fillId="0" borderId="0" pivotButton="0" quotePrefix="0" xfId="0"/>
    <xf numFmtId="165" fontId="9" fillId="0" borderId="0" pivotButton="0" quotePrefix="0" xfId="0"/>
    <xf numFmtId="0" fontId="0" fillId="10" borderId="0" pivotButton="0" quotePrefix="0" xfId="0"/>
    <xf numFmtId="0" fontId="0" fillId="10" borderId="0" applyAlignment="1" pivotButton="0" quotePrefix="0" xfId="0">
      <alignment horizontal="center"/>
    </xf>
    <xf numFmtId="166" fontId="0" fillId="10" borderId="0" applyAlignment="1" pivotButton="0" quotePrefix="0" xfId="0">
      <alignment horizontal="center"/>
    </xf>
    <xf numFmtId="0" fontId="0" fillId="0" borderId="0" applyAlignment="1" pivotButton="0" quotePrefix="1" xfId="0">
      <alignment horizontal="center"/>
    </xf>
    <xf numFmtId="168" fontId="0" fillId="0" borderId="0" pivotButton="0" quotePrefix="0" xfId="2"/>
    <xf numFmtId="168" fontId="9" fillId="0" borderId="0" applyAlignment="1" pivotButton="0" quotePrefix="0" xfId="2">
      <alignment horizontal="left"/>
    </xf>
    <xf numFmtId="168" fontId="9" fillId="0" borderId="0" applyAlignment="1" pivotButton="0" quotePrefix="0" xfId="0">
      <alignment horizontal="left"/>
    </xf>
    <xf numFmtId="10" fontId="0" fillId="0" borderId="0" pivotButton="0" quotePrefix="0" xfId="3"/>
    <xf numFmtId="10" fontId="1" fillId="7" borderId="0" pivotButton="0" quotePrefix="0" xfId="3"/>
    <xf numFmtId="10" fontId="0" fillId="0" borderId="0" applyAlignment="1" pivotButton="0" quotePrefix="0" xfId="3">
      <alignment horizontal="center"/>
    </xf>
    <xf numFmtId="0" fontId="10" fillId="0" borderId="0" applyAlignment="1" pivotButton="0" quotePrefix="0" xfId="0">
      <alignment horizontal="center"/>
    </xf>
    <xf numFmtId="10" fontId="1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/>
    </xf>
    <xf numFmtId="10" fontId="0" fillId="0" borderId="0" applyAlignment="1" pivotButton="0" quotePrefix="1" xfId="0">
      <alignment horizontal="center"/>
    </xf>
    <xf numFmtId="167" fontId="4" fillId="0" borderId="0" pivotButton="0" quotePrefix="0" xfId="1"/>
    <xf numFmtId="0" fontId="11" fillId="0" borderId="0" applyAlignment="1" pivotButton="0" quotePrefix="0" xfId="0">
      <alignment horizontal="left"/>
    </xf>
    <xf numFmtId="10" fontId="11" fillId="0" borderId="0" applyAlignment="1" pivotButton="0" quotePrefix="0" xfId="0">
      <alignment horizontal="left"/>
    </xf>
    <xf numFmtId="0" fontId="0" fillId="0" borderId="0" pivotButton="0" quotePrefix="0" xfId="0"/>
    <xf numFmtId="0" fontId="1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0" fillId="0" borderId="0" pivotButton="0" quotePrefix="0" xfId="4"/>
    <xf numFmtId="0" fontId="10" fillId="0" borderId="0" applyAlignment="1" pivotButton="0" quotePrefix="0" xfId="4">
      <alignment horizontal="center"/>
    </xf>
    <xf numFmtId="0" fontId="10" fillId="0" borderId="0" applyAlignment="1" pivotButton="0" quotePrefix="1" xfId="4">
      <alignment horizontal="center"/>
    </xf>
    <xf numFmtId="0" fontId="11" fillId="0" borderId="0" applyAlignment="1" pivotButton="0" quotePrefix="0" xfId="4">
      <alignment horizontal="left"/>
    </xf>
    <xf numFmtId="10" fontId="11" fillId="0" borderId="0" applyAlignment="1" pivotButton="0" quotePrefix="0" xfId="4">
      <alignment horizontal="left"/>
    </xf>
    <xf numFmtId="10" fontId="10" fillId="0" borderId="0" applyAlignment="1" pivotButton="0" quotePrefix="0" xfId="4">
      <alignment horizontal="center"/>
    </xf>
    <xf numFmtId="10" fontId="10" fillId="0" borderId="0" applyAlignment="1" pivotButton="0" quotePrefix="1" xfId="4">
      <alignment horizontal="center"/>
    </xf>
    <xf numFmtId="169" fontId="0" fillId="0" borderId="0" applyAlignment="1" pivotButton="0" quotePrefix="0" xfId="2">
      <alignment horizontal="center"/>
    </xf>
    <xf numFmtId="0" fontId="5" fillId="0" borderId="0" applyAlignment="1" pivotButton="0" quotePrefix="0" xfId="0">
      <alignment horizontal="center"/>
    </xf>
    <xf numFmtId="0" fontId="0" fillId="0" borderId="0" pivotButton="0" quotePrefix="0" xfId="0"/>
    <xf numFmtId="0" fontId="1" fillId="3" borderId="0" applyAlignment="1" pivotButton="0" quotePrefix="0" xfId="0">
      <alignment horizontal="center"/>
    </xf>
    <xf numFmtId="0" fontId="6" fillId="4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169" fontId="6" fillId="4" borderId="0" applyAlignment="1" pivotButton="0" quotePrefix="0" xfId="2">
      <alignment horizontal="center" vertical="center"/>
    </xf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12" fillId="11" borderId="0" applyAlignment="1" pivotButton="0" quotePrefix="0" xfId="0">
      <alignment vertical="center" wrapText="1"/>
    </xf>
    <xf numFmtId="0" fontId="12" fillId="12" borderId="0" applyAlignment="1" pivotButton="0" quotePrefix="0" xfId="0">
      <alignment vertical="center" wrapText="1"/>
    </xf>
    <xf numFmtId="0" fontId="12" fillId="13" borderId="0" applyAlignment="1" pivotButton="0" quotePrefix="0" xfId="0">
      <alignment vertical="center" wrapText="1"/>
    </xf>
    <xf numFmtId="0" fontId="13" fillId="0" borderId="0" applyAlignment="1" pivotButton="0" quotePrefix="0" xfId="5">
      <alignment horizontal="center"/>
    </xf>
    <xf numFmtId="0" fontId="10" fillId="0" borderId="0" applyAlignment="1" pivotButton="0" quotePrefix="0" xfId="5">
      <alignment horizontal="center"/>
    </xf>
    <xf numFmtId="10" fontId="13" fillId="0" borderId="0" applyAlignment="1" pivotButton="0" quotePrefix="0" xfId="5">
      <alignment horizontal="center"/>
    </xf>
    <xf numFmtId="0" fontId="13" fillId="0" borderId="0" applyAlignment="1" pivotButton="0" quotePrefix="1" xfId="5">
      <alignment horizontal="center"/>
    </xf>
    <xf numFmtId="0" fontId="11" fillId="0" borderId="0" applyAlignment="1" pivotButton="0" quotePrefix="0" xfId="5">
      <alignment horizontal="left"/>
    </xf>
    <xf numFmtId="10" fontId="11" fillId="0" borderId="0" applyAlignment="1" pivotButton="0" quotePrefix="0" xfId="5">
      <alignment horizontal="left"/>
    </xf>
    <xf numFmtId="10" fontId="10" fillId="0" borderId="0" applyAlignment="1" pivotButton="0" quotePrefix="0" xfId="5">
      <alignment horizontal="center"/>
    </xf>
    <xf numFmtId="10" fontId="13" fillId="0" borderId="0" applyAlignment="1" pivotButton="0" quotePrefix="1" xfId="5">
      <alignment horizontal="center"/>
    </xf>
    <xf numFmtId="169" fontId="6" fillId="4" borderId="0" applyAlignment="1" pivotButton="0" quotePrefix="0" xfId="2">
      <alignment horizontal="center" vertical="center"/>
    </xf>
    <xf numFmtId="169" fontId="0" fillId="0" borderId="0" applyAlignment="1" pivotButton="0" quotePrefix="0" xfId="2">
      <alignment horizontal="center"/>
    </xf>
  </cellXfs>
  <cellStyles count="6">
    <cellStyle name="Normal" xfId="0" builtinId="0"/>
    <cellStyle name="Comma" xfId="1" builtinId="3"/>
    <cellStyle name="Currency" xfId="2" builtinId="4"/>
    <cellStyle name="Percent" xfId="3" builtinId="5"/>
    <cellStyle name="Normal 2" xfId="4"/>
    <cellStyle name="Normal 3" xfId="5"/>
  </cellStyles>
  <dxfs count="145"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C6E0B4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C6E0B4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C6E0B4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C6E0B4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C6E0B4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C6E0B4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C6E0B4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C6E0B4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C6E0B4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C6E0B4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C6E0B4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C6E0B4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C6E0B4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C6E0B4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C6E0B4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C6E0B4"/>
        </patternFill>
      </fill>
    </dxf>
    <dxf>
      <font>
        <b val="1"/>
        <strike val="0"/>
      </font>
      <fill>
        <patternFill>
          <bgColor rgb="FF00FA71"/>
        </patternFill>
      </fill>
    </dxf>
    <dxf>
      <font>
        <color auto="1"/>
      </font>
      <fill>
        <patternFill>
          <bgColor rgb="FFFFC7CE"/>
        </patternFill>
      </fill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&quot;$&quot;#,##0.00"/>
      <alignment horizontal="left" vertical="bottom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&quot;$&quot;#,##0.00"/>
      <alignment horizontal="left" vertical="bottom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&quot;$&quot;#,##0.00"/>
      <alignment horizontal="left" vertical="bottom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&quot;$&quot;#,##0.00"/>
      <alignment horizontal="left" vertical="bottom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&quot;$&quot;#,##0.00"/>
      <alignment horizontal="left" vertical="bottom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numFmt numFmtId="168" formatCode="&quot;$&quot;#,##0.00"/>
      <alignment horizontal="left" vertical="bottom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&quot;$&quot;#,##0.00"/>
      <alignment horizontal="left" vertical="bottom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&quot;$&quot;#,##0.00"/>
      <alignment horizontal="left" vertical="bottom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&quot;$&quot;#,##0.00"/>
      <alignment horizontal="left" vertical="bottom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&quot;$&quot;#,##0.00"/>
      <alignment horizontal="left" vertical="bottom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&quot;$&quot;#,##0.00"/>
      <alignment horizontal="left" vertical="bottom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&quot;$&quot;#,##0.00"/>
      <alignment horizontal="left" vertical="bottom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&quot;$&quot;#,##0.00"/>
      <alignment horizontal="left" vertical="bottom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&quot;$&quot;#,##0.00"/>
      <alignment horizontal="left" vertical="bottom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&quot;$&quot;#,##0.00"/>
      <alignment horizontal="left" vertical="bottom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&quot;$&quot;#,##0.00"/>
      <alignment horizontal="left" vertical="bottom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&quot;$&quot;#,##0.00"/>
      <alignment horizontal="left" vertical="bottom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&quot;$&quot;#,##0.00"/>
      <alignment horizontal="left" vertical="bottom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&quot;$&quot;#,##0.00"/>
      <alignment horizontal="left" vertical="bottom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&quot;$&quot;#,##0.00"/>
      <alignment horizontal="left" vertical="bottom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&quot;$&quot;#,##0.00"/>
      <alignment horizontal="left" vertical="bottom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&quot;$&quot;#,##0.00"/>
      <alignment horizontal="left" vertical="bottom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&quot;$&quot;#,##0.00"/>
      <alignment horizontal="left" vertical="bottom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&quot;$&quot;#,##0.00"/>
      <alignment horizontal="left" vertical="bottom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&quot;$&quot;#,##0.00"/>
      <alignment horizontal="left" vertical="bottom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&quot;$&quot;#,##0.00"/>
      <alignment horizontal="left" vertical="bottom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&quot;$&quot;#,##0.00"/>
      <alignment horizontal="left" vertical="bottom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&quot;$&quot;#,##0.00"/>
      <alignment horizontal="left" vertical="bottom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&quot;$&quot;#,##0.00"/>
      <alignment horizontal="left" vertical="bottom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&quot;$&quot;#,##0.00"/>
      <alignment horizontal="left" vertical="bottom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&quot;$&quot;#,##0.00"/>
      <alignment horizontal="left" vertical="bottom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&quot;$&quot;#,##0.00"/>
      <alignment horizontal="left" vertical="bottom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&quot;$&quot;#,##0.00"/>
      <alignment horizontal="left" vertical="bottom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&quot;$&quot;#,##0.00"/>
      <alignment horizontal="left" vertical="bottom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&quot;$&quot;#,##0.00"/>
      <alignment horizontal="left" vertical="bottom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&quot;$&quot;#,##0.00"/>
      <alignment horizontal="left" vertical="bottom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&quot;$&quot;#,##0.00"/>
      <alignment horizontal="left" vertical="bottom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&quot;$&quot;#,##0.00"/>
      <alignment horizontal="left" vertical="bottom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&quot;$&quot;#,##0.00"/>
      <alignment horizontal="left" vertical="bottom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&quot;$&quot;#,##0.00"/>
      <alignment horizontal="left" vertical="bottom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&quot;$&quot;#,##0.00"/>
      <alignment horizontal="left" vertical="bottom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&quot;$&quot;#,##0.00"/>
      <alignment horizontal="left" vertical="bottom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&quot;$&quot;#,##0.00"/>
      <alignment horizontal="left" vertical="bottom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&quot;$&quot;#,##0.00"/>
      <alignment horizontal="left" vertical="bottom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</font>
      <fill>
        <patternFill patternType="solid">
          <fgColor indexed="64"/>
          <bgColor rgb="FF17365D"/>
        </patternFill>
      </fill>
    </dxf>
    <dxf>
      <numFmt numFmtId="14" formatCode="0.00%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numFmt numFmtId="166" formatCode="0.0"/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</font>
      <fill>
        <patternFill patternType="solid">
          <fgColor indexed="64"/>
          <bgColor rgb="FF17365D"/>
        </patternFill>
      </fill>
    </dxf>
    <dxf>
      <alignment horizontal="center" vertical="bottom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numFmt numFmtId="165" formatCode="\$0.00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numFmt numFmtId="0" formatCode="General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numFmt numFmtId="164" formatCode="0.0%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numFmt numFmtId="0" formatCode="General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</font>
      <fill>
        <patternFill patternType="solid">
          <fgColor indexed="64"/>
          <bgColor rgb="FF17365D"/>
        </patternFill>
      </fill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numFmt numFmtId="165" formatCode="\$0.00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numFmt numFmtId="0" formatCode="General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numFmt numFmtId="164" formatCode="0.0%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</font>
      <fill>
        <patternFill patternType="solid">
          <fgColor indexed="64"/>
          <bgColor rgb="FF17365D"/>
        </patternFill>
      </fill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1"/>
        <vertAlign val="baseline"/>
      </font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bottom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4" formatCode="_(&quot;$&quot;* #,##0.00_);_(&quot;$&quot;* \(#,##0.00\);_(&quot;$&quot;* &quot;-&quot;??_);_(@_)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8" formatCode="&quot;$&quot;#,##0.00"/>
    </dxf>
    <dxf>
      <alignment horizontal="center" vertical="bottom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ables/table1.xml><?xml version="1.0" encoding="utf-8"?>
<table xmlns="http://schemas.openxmlformats.org/spreadsheetml/2006/main" id="1" name="Table1" displayName="Table1" ref="I7:M12" headerRowCount="1" headerRowDxfId="144">
  <autoFilter ref="I7:M12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</autoFilter>
  <sortState ref="I8:M12">
    <sortCondition ref="J7:J12"/>
  </sortState>
  <tableColumns count="5">
    <tableColumn id="1" name="Name" totalsRowLabel="Total"/>
    <tableColumn id="2" name="Rank">
      <calculatedColumnFormula>_xlfn.XLOOKUP(I8,Season!$A$5:$A$39,Season!$X$5:$X$39)</calculatedColumnFormula>
    </tableColumn>
    <tableColumn id="3" name="Best Week">
      <calculatedColumnFormula>_xlfn.XLOOKUP(I8,Season!$A$5:$A$39,Season!$V$5:$V$39)</calculatedColumnFormula>
    </tableColumn>
    <tableColumn id="4" name="Average">
      <calculatedColumnFormula>_xlfn.XLOOKUP(I8,Season!$A$5:$A$39,Season!$U$5:$U$39)</calculatedColumnFormula>
    </tableColumn>
    <tableColumn id="5" name="Winnings" totalsRowFunction="sum" dataDxfId="143" totalsRowDxfId="142" dataCellStyle="Currency">
      <calculatedColumnFormula>IF(_xlfn.XLOOKUP(I8,Winnings!A5:A39,Winnings!U5:U39)&gt;0,_xlfn.XLOOKUP(I8,Winnings!A5:A39,Winnings!U5:U39),0)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3" displayName="Table3" ref="I14:J19" headerRowCount="1" totalsRowShown="0" headerRowDxfId="141">
  <autoFilter ref="I14:J19">
    <filterColumn colId="0" hiddenButton="1" showButton="1"/>
    <filterColumn colId="1" hiddenButton="1" showButton="1"/>
  </autoFilter>
  <tableColumns count="2">
    <tableColumn id="1" name="Current Week" dataDxfId="140"/>
    <tableColumn id="2" name="Column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7" displayName="Table7" ref="A6:G41" headerRowCount="1" totalsRowShown="0" headerRowDxfId="139" dataDxfId="138">
  <autoFilter ref="A6:G41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</autoFilter>
  <tableColumns count="7">
    <tableColumn id="1" name="Rank" dataDxfId="137"/>
    <tableColumn id="2" name="Player" dataDxfId="136">
      <calculatedColumnFormula>IFERROR(INDEX(_xlfn.SORTBY(INDIRECT("'"&amp;$A$1&amp;"'!$E$10:$E$44"),INDIRECT("'"&amp;$A$1&amp;"'!$B$10:$B$44"),-1),ROWS($B$7:B7)),"")</calculatedColumnFormula>
    </tableColumn>
    <tableColumn id="3" name="Total" dataDxfId="135">
      <calculatedColumnFormula array="1">IF(B7="","",INDEX(_xlfn.SORTBY(INDIRECT("'"&amp;$A$1&amp;"'!$B$10:$B$44"),INDIRECT("'"&amp;$A$1&amp;"'!$B$10:$B$44"),-1),ROWS($B$7:B7)))</calculatedColumnFormula>
    </tableColumn>
    <tableColumn id="4" name="Wins" dataDxfId="134">
      <calculatedColumnFormula array="1">IF(B7="","",INDEX(_xlfn.SORTBY(INDIRECT("'"&amp;$A$1&amp;"'!$C$10:$C$44"),INDIRECT("'"&amp;$A$1&amp;"'!$B$10:$B$44"),-1),ROWS($B$7:B7)))</calculatedColumnFormula>
    </tableColumn>
    <tableColumn id="5" name="Win %" dataDxfId="133">
      <calculatedColumnFormula>IF(B7="","",D7/16)</calculatedColumnFormula>
    </tableColumn>
    <tableColumn id="6" name="GB" dataDxfId="132">
      <calculatedColumnFormula>$C$7-C7</calculatedColumnFormula>
    </tableColumn>
    <tableColumn id="7" name="$ Owe" dataDxfId="131">
      <calculatedColumnFormula>IF(B7="","",F7)</calculatedColumnFormula>
    </tableColumn>
  </tableColumns>
  <tableStyleInfo name="TableStyleLight1" showFirstColumn="1" showLastColumn="0" showRowStripes="1" showColumnStripes="0"/>
</table>
</file>

<file path=xl/tables/table4.xml><?xml version="1.0" encoding="utf-8"?>
<table xmlns="http://schemas.openxmlformats.org/spreadsheetml/2006/main" id="4" name="Table8" displayName="Table8" ref="P6:U41" headerRowCount="1" totalsRowShown="0" headerRowDxfId="130" dataDxfId="129">
  <autoFilter ref="P6:U41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</autoFilter>
  <tableColumns count="6">
    <tableColumn id="1" name="Rank" dataDxfId="128"/>
    <tableColumn id="2" name="Player" dataDxfId="127">
      <calculatedColumnFormula>_xlfn.XLOOKUP(P7,Table2[Rank],Table2[Player])</calculatedColumnFormula>
    </tableColumn>
    <tableColumn id="3" name="Total" dataDxfId="126">
      <calculatedColumnFormula array="1">_xlfn.XLOOKUP(Q7,Table2[Player],Season!$T$5:$T$39)</calculatedColumnFormula>
    </tableColumn>
    <tableColumn id="5" name="Win %" dataDxfId="125">
      <calculatedColumnFormula>IFERROR(SUM(_xlfn.XLOOKUP(Q7,Table2[Player],Table2[Season Wins]))/SUM(Season!$B$3:$S$3),0)</calculatedColumnFormula>
    </tableColumn>
    <tableColumn id="6" name="GB" dataDxfId="124">
      <calculatedColumnFormula>$R$7-R7</calculatedColumnFormula>
    </tableColumn>
    <tableColumn id="7" name="$ Owed" dataDxfId="123">
      <calculatedColumnFormula>_xlfn.XLOOKUP(Q7,Winnings!$A$5:$A$39,Winnings!$U$5:$U$39)</calculatedColumnFormula>
    </tableColumn>
  </tableColumns>
  <tableStyleInfo name="TableStyleLight1" showFirstColumn="1" showLastColumn="0" showRowStripes="1" showColumnStripes="0"/>
</table>
</file>

<file path=xl/tables/table5.xml><?xml version="1.0" encoding="utf-8"?>
<table xmlns="http://schemas.openxmlformats.org/spreadsheetml/2006/main" id="5" name="Table9" displayName="Table9" ref="I20:J38" headerRowCount="1" totalsRowShown="0" headerRowDxfId="122">
  <autoFilter ref="I20:J38">
    <filterColumn colId="0" hiddenButton="1" showButton="1"/>
    <filterColumn colId="1" hiddenButton="1" showButton="1"/>
  </autoFilter>
  <tableColumns count="2">
    <tableColumn id="1" name="Suicides Used"/>
    <tableColumn id="2" name="Column1">
      <calculatedColumnFormula array="1">_xlfn.IFNA(_xlfn.XLOOKUP("Phelpy",INDIRECT("'"&amp;I21&amp;"'!$e$10:$e$44"),INDIRECT("'"&amp;I21&amp;"'!$y$10:$y$44")),"")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2" displayName="Table2" ref="A4:Y39" headerRowCount="1" headerRowDxfId="121">
  <autoFilter ref="A4:Y39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  <filterColumn colId="10" hiddenButton="1" showButton="1"/>
    <filterColumn colId="11" hiddenButton="1" showButton="1"/>
    <filterColumn colId="12" hiddenButton="1" showButton="1"/>
    <filterColumn colId="13" hiddenButton="1" showButton="1"/>
    <filterColumn colId="14" hiddenButton="1" showButton="1"/>
    <filterColumn colId="15" hiddenButton="1" showButton="1"/>
    <filterColumn colId="16" hiddenButton="1" showButton="1"/>
    <filterColumn colId="17" hiddenButton="1" showButton="1"/>
    <filterColumn colId="18" hiddenButton="1" showButton="1"/>
    <filterColumn colId="19" hiddenButton="1" showButton="1"/>
    <filterColumn colId="20" hiddenButton="1" showButton="1"/>
    <filterColumn colId="21" hiddenButton="1" showButton="1"/>
    <filterColumn colId="22" hiddenButton="1" showButton="1"/>
    <filterColumn colId="23" hiddenButton="1" showButton="1"/>
    <filterColumn colId="24" hiddenButton="1" showButton="1"/>
  </autoFilter>
  <tableColumns count="25">
    <tableColumn id="17" name="Player"/>
    <tableColumn id="1" name="Week 1" totalsRowLabel="Total" dataDxfId="120">
      <calculatedColumnFormula array="1">_xlfn.IFNA(_xlfn.XLOOKUP($A5,INDIRECT("'"&amp;B$4&amp;"'!$E$10:$E$44"),INDIRECT("'"&amp;B$4&amp;"'!$b$10:$b$44"))," ")</calculatedColumnFormula>
    </tableColumn>
    <tableColumn id="2" name="Week 2" dataDxfId="119">
      <calculatedColumnFormula array="1">_xlfn.IFNA(_xlfn.XLOOKUP($A5,INDIRECT("'"&amp;C$4&amp;"'!$E$10:$E$44"),INDIRECT("'"&amp;C$4&amp;"'!$b$10:$b$44"))," ")</calculatedColumnFormula>
    </tableColumn>
    <tableColumn id="3" name="Week 3" dataDxfId="118">
      <calculatedColumnFormula array="1">_xlfn.IFNA(_xlfn.XLOOKUP($A5,INDIRECT("'"&amp;D$4&amp;"'!$E$10:$E$44"),INDIRECT("'"&amp;D$4&amp;"'!$b$10:$b$44"))," ")</calculatedColumnFormula>
    </tableColumn>
    <tableColumn id="4" name="Week 4" dataDxfId="117">
      <calculatedColumnFormula array="1">_xlfn.IFNA(_xlfn.XLOOKUP($A5,INDIRECT("'"&amp;E$4&amp;"'!$E$10:$E$44"),INDIRECT("'"&amp;E$4&amp;"'!$b$10:$b$44"))," ")</calculatedColumnFormula>
    </tableColumn>
    <tableColumn id="5" name="Week 5" dataDxfId="116">
      <calculatedColumnFormula array="1">_xlfn.IFNA(_xlfn.XLOOKUP($A5,INDIRECT("'"&amp;F$4&amp;"'!$E$10:$E$44"),INDIRECT("'"&amp;F$4&amp;"'!$b$10:$b$44"))," ")</calculatedColumnFormula>
    </tableColumn>
    <tableColumn id="6" name="Week 6" dataDxfId="115">
      <calculatedColumnFormula array="1">_xlfn.IFNA(_xlfn.XLOOKUP($A5,INDIRECT("'"&amp;G$4&amp;"'!$E$10:$E$44"),INDIRECT("'"&amp;G$4&amp;"'!$b$10:$b$44"))," ")</calculatedColumnFormula>
    </tableColumn>
    <tableColumn id="7" name="Week 7" dataDxfId="114">
      <calculatedColumnFormula array="1">_xlfn.IFNA(_xlfn.XLOOKUP($A5,INDIRECT("'"&amp;H$4&amp;"'!$E$10:$E$44"),INDIRECT("'"&amp;H$4&amp;"'!$b$10:$b$44"))," ")</calculatedColumnFormula>
    </tableColumn>
    <tableColumn id="8" name="Week 8" dataDxfId="113">
      <calculatedColumnFormula array="1">_xlfn.IFNA(_xlfn.XLOOKUP($A5,INDIRECT("'"&amp;I$4&amp;"'!$E$10:$E$44"),INDIRECT("'"&amp;I$4&amp;"'!$b$10:$b$44"))," ")</calculatedColumnFormula>
    </tableColumn>
    <tableColumn id="9" name="Week 9" dataDxfId="112">
      <calculatedColumnFormula array="1">_xlfn.IFNA(_xlfn.XLOOKUP($A5,INDIRECT("'"&amp;J$4&amp;"'!$E$10:$E$44"),INDIRECT("'"&amp;J$4&amp;"'!$b$10:$b$44"))," ")</calculatedColumnFormula>
    </tableColumn>
    <tableColumn id="10" name="Week 10" dataDxfId="111">
      <calculatedColumnFormula array="1">_xlfn.IFNA(_xlfn.XLOOKUP($A5,INDIRECT("'"&amp;K$4&amp;"'!$E$10:$E$44"),INDIRECT("'"&amp;K$4&amp;"'!$b$10:$b$44"))," ")</calculatedColumnFormula>
    </tableColumn>
    <tableColumn id="11" name="Week 11" dataDxfId="110">
      <calculatedColumnFormula array="1">_xlfn.IFNA(_xlfn.XLOOKUP($A5,INDIRECT("'"&amp;L$4&amp;"'!$E$10:$E$44"),INDIRECT("'"&amp;L$4&amp;"'!$b$10:$b$44"))," ")</calculatedColumnFormula>
    </tableColumn>
    <tableColumn id="12" name="Week 12" dataDxfId="109">
      <calculatedColumnFormula array="1">_xlfn.IFNA(_xlfn.XLOOKUP($A5,INDIRECT("'"&amp;M$4&amp;"'!$E$10:$E$44"),INDIRECT("'"&amp;M$4&amp;"'!$b$10:$b$44"))," ")</calculatedColumnFormula>
    </tableColumn>
    <tableColumn id="13" name="Week 13" dataDxfId="108">
      <calculatedColumnFormula array="1">_xlfn.IFNA(_xlfn.XLOOKUP($A5,INDIRECT("'"&amp;N$4&amp;"'!$E$10:$E$44"),INDIRECT("'"&amp;N$4&amp;"'!$b$10:$b$44"))," ")</calculatedColumnFormula>
    </tableColumn>
    <tableColumn id="14" name="Week 14" dataDxfId="107">
      <calculatedColumnFormula array="1">_xlfn.IFNA(_xlfn.XLOOKUP($A5,INDIRECT("'"&amp;O$4&amp;"'!$E$10:$E$44"),INDIRECT("'"&amp;O$4&amp;"'!$b$10:$b$44"))," ")</calculatedColumnFormula>
    </tableColumn>
    <tableColumn id="15" name="Week 15" dataDxfId="106">
      <calculatedColumnFormula array="1">_xlfn.IFNA(_xlfn.XLOOKUP($A5,INDIRECT("'"&amp;P$4&amp;"'!$E$10:$E$44"),INDIRECT("'"&amp;P$4&amp;"'!$b$10:$b$44"))," ")</calculatedColumnFormula>
    </tableColumn>
    <tableColumn id="16" name="Week 16" totalsRowFunction="count" dataDxfId="105">
      <calculatedColumnFormula array="1">_xlfn.IFNA(_xlfn.XLOOKUP($A5,INDIRECT("'"&amp;Q$4&amp;"'!$E$10:$E$44"),INDIRECT("'"&amp;Q$4&amp;"'!$b$10:$b$44"))," ")</calculatedColumnFormula>
    </tableColumn>
    <tableColumn id="23" name="Week 17" dataDxfId="104"/>
    <tableColumn id="24" name="Week 18" dataDxfId="103"/>
    <tableColumn id="18" name="Season Wins" dataDxfId="102">
      <calculatedColumnFormula>SUM(B5:K5)</calculatedColumnFormula>
    </tableColumn>
    <tableColumn id="19" name="Avg Wins" dataDxfId="101">
      <calculatedColumnFormula>IFERROR(AVERAGEIF(B5:Q5,"&gt;=0"),0)</calculatedColumnFormula>
    </tableColumn>
    <tableColumn id="20" name="Best" dataDxfId="100">
      <calculatedColumnFormula>IFERROR(MAX(B5:Q5),0)</calculatedColumnFormula>
    </tableColumn>
    <tableColumn id="21" name="Worst" dataDxfId="99">
      <calculatedColumnFormula>IFERROR(_xlfn.MINIFS(B5:Q5,B5:Q5,"&gt;0"),0)</calculatedColumnFormula>
    </tableColumn>
    <tableColumn id="22" name="Rank" dataDxfId="98">
      <calculatedColumnFormula>RANK(T5,$T$5:$T$39)+COUNTIF($T$5:T5,T5)-1</calculatedColumnFormula>
    </tableColumn>
    <tableColumn id="26" name="Season Win %" dataDxfId="97" dataCellStyle="Percent">
      <calculatedColumnFormula array="1">IFERROR(T5/SUMPRODUCT(($B5:$C5&lt;&gt;"")*$B$3:$C$3),0)</calculatedColumnFormula>
    </tableColumn>
  </tableColumns>
  <tableStyleInfo showFirstColumn="0" showLastColumn="0" showRowStripes="0" showColumnStripes="0"/>
</table>
</file>

<file path=xl/tables/table7.xml><?xml version="1.0" encoding="utf-8"?>
<table xmlns="http://schemas.openxmlformats.org/spreadsheetml/2006/main" id="7" name="Table5" displayName="Table5" ref="A4:W40" headerRowCount="1" totalsRowCount="1" headerRowDxfId="96">
  <autoFilter ref="A4:W39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  <filterColumn colId="10" hiddenButton="1" showButton="1"/>
    <filterColumn colId="11" hiddenButton="1" showButton="1"/>
    <filterColumn colId="12" hiddenButton="1" showButton="1"/>
    <filterColumn colId="13" hiddenButton="1" showButton="1"/>
    <filterColumn colId="14" hiddenButton="1" showButton="1"/>
    <filterColumn colId="15" hiddenButton="1" showButton="1"/>
    <filterColumn colId="16" hiddenButton="1" showButton="1"/>
    <filterColumn colId="17" hiddenButton="1" showButton="1"/>
    <filterColumn colId="18" hiddenButton="1" showButton="1"/>
    <filterColumn colId="19" hiddenButton="1" showButton="1"/>
    <filterColumn colId="20" hiddenButton="1" showButton="1"/>
    <filterColumn colId="21" hiddenButton="1" showButton="1"/>
    <filterColumn colId="22" hiddenButton="1" showButton="1"/>
  </autoFilter>
  <tableColumns count="23">
    <tableColumn id="1" name="Player" totalsRowLabel="Total" dataDxfId="95" totalsRowDxfId="94"/>
    <tableColumn id="2" name="Week 1" totalsRowFunction="max" dataDxfId="93" totalsRowDxfId="92" dataCellStyle="Currency">
      <calculatedColumnFormula array="1">_xlfn.IFNA(_xlfn.XLOOKUP($A5,INDIRECT("'"&amp;B$4&amp;"'!$E$10:$E$44"),INDIRECT("'"&amp;B$4&amp;"'!$A$10:$A$44"))," ")</calculatedColumnFormula>
    </tableColumn>
    <tableColumn id="3" name="Week 2" totalsRowFunction="max" dataDxfId="91" totalsRowDxfId="90" dataCellStyle="Currency">
      <calculatedColumnFormula array="1">_xlfn.IFNA(_xlfn.XLOOKUP($A5,INDIRECT("'"&amp;C$4&amp;"'!$E$10:$E$44"),INDIRECT("'"&amp;C$4&amp;"'!$A$10:$A$44"))," ")</calculatedColumnFormula>
    </tableColumn>
    <tableColumn id="4" name="Week 3" totalsRowFunction="max" dataDxfId="89" totalsRowDxfId="88" dataCellStyle="Currency">
      <calculatedColumnFormula array="1">_xlfn.IFNA(_xlfn.XLOOKUP($A5,INDIRECT("'"&amp;D$4&amp;"'!$E$10:$E$44"),INDIRECT("'"&amp;D$4&amp;"'!$A$10:$A$44"))," ")</calculatedColumnFormula>
    </tableColumn>
    <tableColumn id="5" name="Week 4" totalsRowFunction="max" dataDxfId="87" totalsRowDxfId="86" dataCellStyle="Currency">
      <calculatedColumnFormula array="1">_xlfn.IFNA(_xlfn.XLOOKUP($A5,INDIRECT("'"&amp;E$4&amp;"'!$E$10:$E$44"),INDIRECT("'"&amp;E$4&amp;"'!$A$10:$A$44"))," ")</calculatedColumnFormula>
    </tableColumn>
    <tableColumn id="6" name="Week 5" totalsRowFunction="max" dataDxfId="85" totalsRowDxfId="84" dataCellStyle="Currency">
      <calculatedColumnFormula array="1">_xlfn.IFNA(_xlfn.XLOOKUP($A5,INDIRECT("'"&amp;F$4&amp;"'!$E$10:$E$44"),INDIRECT("'"&amp;F$4&amp;"'!$A$10:$A$44"))," ")</calculatedColumnFormula>
    </tableColumn>
    <tableColumn id="7" name="Week 6" totalsRowFunction="max" dataDxfId="83" totalsRowDxfId="82" dataCellStyle="Currency">
      <calculatedColumnFormula array="1">_xlfn.IFNA(_xlfn.XLOOKUP($A5,INDIRECT("'"&amp;G$4&amp;"'!$E$10:$E$44"),INDIRECT("'"&amp;G$4&amp;"'!$A$10:$A$44"))," ")</calculatedColumnFormula>
    </tableColumn>
    <tableColumn id="8" name="Week 7" totalsRowFunction="max" dataDxfId="81" totalsRowDxfId="80" dataCellStyle="Currency">
      <calculatedColumnFormula array="1">_xlfn.IFNA(_xlfn.XLOOKUP($A5,INDIRECT("'"&amp;H$4&amp;"'!$E$10:$E$44"),INDIRECT("'"&amp;H$4&amp;"'!$A$10:$A$44"))," ")</calculatedColumnFormula>
    </tableColumn>
    <tableColumn id="9" name="Week 8" totalsRowFunction="max" dataDxfId="79" totalsRowDxfId="78" dataCellStyle="Currency">
      <calculatedColumnFormula array="1">_xlfn.IFNA(_xlfn.XLOOKUP($A5,INDIRECT("'"&amp;I$4&amp;"'!$E$10:$E$44"),INDIRECT("'"&amp;I$4&amp;"'!$A$10:$A$44"))," ")</calculatedColumnFormula>
    </tableColumn>
    <tableColumn id="10" name="Week 9" totalsRowFunction="max" dataDxfId="77" totalsRowDxfId="76" dataCellStyle="Currency">
      <calculatedColumnFormula array="1">_xlfn.IFNA(_xlfn.XLOOKUP($A5,INDIRECT("'"&amp;J$4&amp;"'!$E$10:$E$44"),INDIRECT("'"&amp;J$4&amp;"'!$A$10:$A$44"))," ")</calculatedColumnFormula>
    </tableColumn>
    <tableColumn id="11" name="Week 10" totalsRowFunction="max" dataDxfId="75" totalsRowDxfId="74" dataCellStyle="Currency">
      <calculatedColumnFormula array="1">_xlfn.IFNA(_xlfn.XLOOKUP($A5,INDIRECT("'"&amp;K$4&amp;"'!$E$10:$E$44"),INDIRECT("'"&amp;K$4&amp;"'!$A$10:$A$44"))," ")</calculatedColumnFormula>
    </tableColumn>
    <tableColumn id="12" name="Week 11" totalsRowFunction="max" dataDxfId="73" totalsRowDxfId="72" dataCellStyle="Currency">
      <calculatedColumnFormula array="1">_xlfn.IFNA(_xlfn.XLOOKUP($A5,INDIRECT("'"&amp;L$4&amp;"'!$E$10:$E$44"),INDIRECT("'"&amp;L$4&amp;"'!$A$10:$A$44"))," ")</calculatedColumnFormula>
    </tableColumn>
    <tableColumn id="13" name="Week 12" totalsRowFunction="max" dataDxfId="71" totalsRowDxfId="70" dataCellStyle="Currency">
      <calculatedColumnFormula array="1">_xlfn.IFNA(_xlfn.XLOOKUP($A5,INDIRECT("'"&amp;M$4&amp;"'!$E$10:$E$44"),INDIRECT("'"&amp;M$4&amp;"'!$A$10:$A$44"))," ")</calculatedColumnFormula>
    </tableColumn>
    <tableColumn id="14" name="Week 13" totalsRowFunction="max" dataDxfId="69" totalsRowDxfId="68" dataCellStyle="Currency">
      <calculatedColumnFormula array="1">_xlfn.IFNA(_xlfn.XLOOKUP($A5,INDIRECT("'"&amp;N$4&amp;"'!$E$10:$E$44"),INDIRECT("'"&amp;N$4&amp;"'!$A$10:$A$44"))," ")</calculatedColumnFormula>
    </tableColumn>
    <tableColumn id="15" name="Week 14" totalsRowFunction="max" dataDxfId="67" totalsRowDxfId="66" dataCellStyle="Currency">
      <calculatedColumnFormula array="1">_xlfn.IFNA(_xlfn.XLOOKUP($A5,INDIRECT("'"&amp;O$4&amp;"'!$E$10:$E$44"),INDIRECT("'"&amp;O$4&amp;"'!$A$10:$A$44"))," ")</calculatedColumnFormula>
    </tableColumn>
    <tableColumn id="16" name="Week 15" totalsRowFunction="max" dataDxfId="65" totalsRowDxfId="64" dataCellStyle="Currency">
      <calculatedColumnFormula array="1">_xlfn.IFNA(_xlfn.XLOOKUP($A5,INDIRECT("'"&amp;P$4&amp;"'!$E$10:$E$44"),INDIRECT("'"&amp;P$4&amp;"'!$A$10:$A$44"))," ")</calculatedColumnFormula>
    </tableColumn>
    <tableColumn id="17" name="Week 16" totalsRowFunction="max" dataDxfId="63" totalsRowDxfId="62" dataCellStyle="Currency">
      <calculatedColumnFormula array="1">_xlfn.IFNA(_xlfn.XLOOKUP($A5,INDIRECT("'"&amp;Q$4&amp;"'!$E$10:$E$44"),INDIRECT("'"&amp;Q$4&amp;"'!$A$10:$A$44"))," ")</calculatedColumnFormula>
    </tableColumn>
    <tableColumn id="18" name="Week 17" totalsRowFunction="max" dataDxfId="61" totalsRowDxfId="60" dataCellStyle="Currency">
      <calculatedColumnFormula array="1">_xlfn.IFNA(_xlfn.XLOOKUP($A5,INDIRECT("'"&amp;R$4&amp;"'!$E$10:$E$44"),INDIRECT("'"&amp;R$4&amp;"'!$A$10:$A$44"))," ")</calculatedColumnFormula>
    </tableColumn>
    <tableColumn id="19" name="Week 18" totalsRowFunction="max" dataDxfId="59" totalsRowDxfId="58" dataCellStyle="Currency">
      <calculatedColumnFormula array="1">_xlfn.IFNA(_xlfn.XLOOKUP($A5,INDIRECT("'"&amp;S$4&amp;"'!$E$10:$E$44"),INDIRECT("'"&amp;S$4&amp;"'!$A$10:$A$44"))," ")</calculatedColumnFormula>
    </tableColumn>
    <tableColumn id="23" name="Winning" totalsRowFunction="sum" dataDxfId="57" totalsRowDxfId="56" dataCellStyle="Currency">
      <calculatedColumnFormula>SUM(Table5[[#This Row],[Week 1]:[Week 18]])</calculatedColumnFormula>
    </tableColumn>
    <tableColumn id="20" name="Total" totalsRowFunction="max" dataDxfId="55" totalsRowDxfId="54">
      <calculatedColumnFormula>SUM(B5:S5)-40</calculatedColumnFormula>
    </tableColumn>
    <tableColumn id="21" name="Avg " totalsRowFunction="max" dataDxfId="53" totalsRowDxfId="52" dataCellStyle="Currency">
      <calculatedColumnFormula>IFERROR(SUM(B5:S5)/COUNT(B5:S5),0)</calculatedColumnFormula>
    </tableColumn>
    <tableColumn id="22" name="Best" totalsRowFunction="sum" dataDxfId="51" totalsRowDxfId="50" dataCellStyle="Currency">
      <calculatedColumnFormula>IFERROR(MAX(B5:S5),0)</calculatedColumnFormula>
    </tableColumn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Relationship Type="http://schemas.openxmlformats.org/officeDocument/2006/relationships/table" Target="/xl/tables/table5.xml" Id="rId5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"/>
  <sheetViews>
    <sheetView showGridLines="0" zoomScale="85" zoomScaleNormal="85" workbookViewId="0">
      <selection activeCell="L17" sqref="L17"/>
    </sheetView>
  </sheetViews>
  <sheetFormatPr baseColWidth="8" defaultColWidth="0" defaultRowHeight="14.4" zeroHeight="1"/>
  <cols>
    <col width="5.33203125" bestFit="1" customWidth="1" style="54" min="1" max="1"/>
    <col width="19.88671875" bestFit="1" customWidth="1" style="54" min="2" max="2"/>
    <col width="5.44140625" bestFit="1" customWidth="1" style="54" min="3" max="3"/>
    <col width="5.5546875" bestFit="1" customWidth="1" style="54" min="4" max="4"/>
    <col width="7.33203125" bestFit="1" customWidth="1" style="54" min="5" max="5"/>
    <col width="3.88671875" bestFit="1" customWidth="1" style="54" min="6" max="6"/>
    <col width="6.6640625" bestFit="1" customWidth="1" style="54" min="7" max="7"/>
    <col width="2.88671875" customWidth="1" style="54" min="8" max="8"/>
    <col width="16.109375" bestFit="1" customWidth="1" style="54" min="9" max="9"/>
    <col width="12.109375" bestFit="1" customWidth="1" style="54" min="10" max="10"/>
    <col width="10.5546875" bestFit="1" customWidth="1" style="54" min="11" max="11"/>
    <col width="17" bestFit="1" customWidth="1" style="54" min="12" max="12"/>
    <col width="18.109375" bestFit="1" customWidth="1" style="54" min="13" max="13"/>
    <col width="7.88671875" bestFit="1" customWidth="1" style="54" min="14" max="14"/>
    <col width="2.88671875" customWidth="1" style="54" min="15" max="15"/>
    <col width="5.5546875" bestFit="1" customWidth="1" style="54" min="16" max="16"/>
    <col width="20.44140625" bestFit="1" customWidth="1" style="54" min="17" max="17"/>
    <col width="5.5546875" bestFit="1" customWidth="1" style="54" min="18" max="18"/>
    <col width="6.6640625" bestFit="1" customWidth="1" style="54" min="19" max="19"/>
    <col width="3.88671875" bestFit="1" customWidth="1" style="54" min="20" max="20"/>
    <col width="7.88671875" bestFit="1" customWidth="1" style="54" min="21" max="21"/>
    <col hidden="1" width="9.109375" customWidth="1" style="54" min="22" max="27"/>
    <col hidden="1" width="9.109375" customWidth="1" style="54" min="28" max="16384"/>
  </cols>
  <sheetData>
    <row r="1" ht="15" customHeight="1" s="54">
      <c r="A1" s="58" t="inlineStr">
        <is>
          <t>Week 3</t>
        </is>
      </c>
      <c r="C1" s="57" t="inlineStr">
        <is>
          <t>🏆 ACQL SEASON DASHBOARD</t>
        </is>
      </c>
    </row>
    <row r="2" ht="15" customHeight="1" s="54"/>
    <row r="3" ht="15" customHeight="1" s="54"/>
    <row r="4" ht="15" customHeight="1" s="54">
      <c r="A4" s="53" t="inlineStr">
        <is>
          <t>Weekly Standings</t>
        </is>
      </c>
      <c r="H4" s="16" t="n"/>
      <c r="I4" s="55" t="inlineStr">
        <is>
          <t>Season Leader</t>
        </is>
      </c>
      <c r="K4" s="55" t="inlineStr">
        <is>
          <t>Best Week</t>
        </is>
      </c>
      <c r="L4" s="55" t="inlineStr">
        <is>
          <t>Average</t>
        </is>
      </c>
      <c r="M4" s="55" t="inlineStr">
        <is>
          <t>Winnings</t>
        </is>
      </c>
      <c r="O4" s="16" t="n"/>
      <c r="P4" s="53" t="inlineStr">
        <is>
          <t>Season Standings</t>
        </is>
      </c>
    </row>
    <row r="5" ht="15" customHeight="1" s="54">
      <c r="H5" s="16" t="n"/>
      <c r="I5" s="56">
        <f>INDEX(Season!$A$5:$A$39,MATCH(MAX(Season!$T$5:$T$39),Season!$T$5:$T$39,0))</f>
        <v/>
      </c>
      <c r="K5" s="56">
        <f>_xlfn.XLOOKUP(I5,Season!A5:A39,Season!V5:V39)</f>
        <v/>
      </c>
      <c r="L5" s="56">
        <f>AVERAGE(_xlfn.XLOOKUP(I5,Season!A5:A39,Season!V5:V39))</f>
        <v/>
      </c>
      <c r="M5" s="75">
        <f>_xlfn.XLOOKUP(I5,Winnings!A5:A39,Winnings!U5:U39)</f>
        <v/>
      </c>
      <c r="O5" s="16" t="n"/>
    </row>
    <row r="6" ht="15" customHeight="1" s="54">
      <c r="A6" s="5" t="inlineStr">
        <is>
          <t>Rank</t>
        </is>
      </c>
      <c r="B6" s="5" t="inlineStr">
        <is>
          <t>Player</t>
        </is>
      </c>
      <c r="C6" s="5" t="inlineStr">
        <is>
          <t>Total</t>
        </is>
      </c>
      <c r="D6" s="5" t="inlineStr">
        <is>
          <t>Wins</t>
        </is>
      </c>
      <c r="E6" s="5" t="inlineStr">
        <is>
          <t>Win %</t>
        </is>
      </c>
      <c r="F6" s="5" t="inlineStr">
        <is>
          <t>GB</t>
        </is>
      </c>
      <c r="G6" s="5" t="inlineStr">
        <is>
          <t>$ Owe</t>
        </is>
      </c>
      <c r="H6" s="16" t="n"/>
      <c r="O6" s="16" t="n"/>
      <c r="P6" s="5" t="inlineStr">
        <is>
          <t>Rank</t>
        </is>
      </c>
      <c r="Q6" s="5" t="inlineStr">
        <is>
          <t>Player</t>
        </is>
      </c>
      <c r="R6" s="5" t="inlineStr">
        <is>
          <t>Total</t>
        </is>
      </c>
      <c r="S6" s="5" t="inlineStr">
        <is>
          <t>Win %</t>
        </is>
      </c>
      <c r="T6" s="5" t="inlineStr">
        <is>
          <t>GB</t>
        </is>
      </c>
      <c r="U6" s="5" t="inlineStr">
        <is>
          <t>$ Owed</t>
        </is>
      </c>
    </row>
    <row r="7" ht="15" customHeight="1" s="54">
      <c r="A7" s="21" t="n">
        <v>1</v>
      </c>
      <c r="B7" s="21">
        <f>IFERROR(INDEX(_xlfn.SORTBY(INDIRECT("'"&amp;$A$1&amp;"'!$E$10:$E$44"),INDIRECT("'"&amp;$A$1&amp;"'!$B$10:$B$44"),-1),ROWS($B$7:B7)),"")</f>
        <v/>
      </c>
      <c r="C7" s="21">
        <f t="array" ref="C7">IF(B7="","",INDEX(_xlfn.SORTBY(INDIRECT("'"&amp;$A$1&amp;"'!$B$10:$B$44"),INDIRECT("'"&amp;$A$1&amp;"'!$B$10:$B$44"),-1),ROWS($B$7:B7)))</f>
        <v/>
      </c>
      <c r="D7" s="21">
        <f t="array" ref="D7">IF(B7="","",INDEX(_xlfn.SORTBY(INDIRECT("'"&amp;$A$1&amp;"'!$C$10:$C$44"),INDIRECT("'"&amp;$A$1&amp;"'!$B$10:$B$44"),-1),ROWS($B$7:B7)))</f>
        <v/>
      </c>
      <c r="E7" s="23">
        <f>IF(B7="","",D7/16)</f>
        <v/>
      </c>
      <c r="F7" s="21">
        <f>$C$7-C7</f>
        <v/>
      </c>
      <c r="G7" s="24">
        <f>IF(B7="","",F7)</f>
        <v/>
      </c>
      <c r="H7" s="16" t="n"/>
      <c r="I7" s="61" t="inlineStr">
        <is>
          <t>Name</t>
        </is>
      </c>
      <c r="J7" s="61" t="inlineStr">
        <is>
          <t>Rank</t>
        </is>
      </c>
      <c r="K7" s="61" t="inlineStr">
        <is>
          <t>Best Week</t>
        </is>
      </c>
      <c r="L7" s="61" t="inlineStr">
        <is>
          <t>Average</t>
        </is>
      </c>
      <c r="M7" s="61" t="inlineStr">
        <is>
          <t>Winnings</t>
        </is>
      </c>
      <c r="O7" s="16" t="n"/>
      <c r="P7" s="21" t="n">
        <v>1</v>
      </c>
      <c r="Q7" s="21">
        <f>_xlfn.XLOOKUP(P7,Table2[Rank],Table2[Player])</f>
        <v/>
      </c>
      <c r="R7" s="21">
        <f t="array" ref="R7">_xlfn.XLOOKUP(Q7,Table2[Player],Season!$T$5:$T$39)</f>
        <v/>
      </c>
      <c r="S7" s="23">
        <f>IFERROR(SUM(_xlfn.XLOOKUP(Q7,Table2[Player],Table2[Season Wins]))/SUM(Season!$B$3:$S$3),0)</f>
        <v/>
      </c>
      <c r="T7" s="21">
        <f>$R$7-R7</f>
        <v/>
      </c>
      <c r="U7" s="24">
        <f>_xlfn.XLOOKUP(Q7,Winnings!$A$5:$A$39,Winnings!$U$5:$U$39)</f>
        <v/>
      </c>
    </row>
    <row r="8" ht="15" customHeight="1" s="54">
      <c r="A8" s="21" t="n">
        <v>2</v>
      </c>
      <c r="B8" s="21">
        <f>IFERROR(INDEX(_xlfn.SORTBY(INDIRECT("'"&amp;$A$1&amp;"'!$E$10:$E$44"),INDIRECT("'"&amp;$A$1&amp;"'!$B$10:$B$44"),-1),ROWS($B$7:B8)),"")</f>
        <v/>
      </c>
      <c r="C8" s="21">
        <f t="array" ref="C8">IF(B8="","",INDEX(_xlfn.SORTBY(INDIRECT("'"&amp;$A$1&amp;"'!$B$10:$B$44"),INDIRECT("'"&amp;$A$1&amp;"'!$B$10:$B$44"),-1),ROWS($B$7:B8)))</f>
        <v/>
      </c>
      <c r="D8" s="21">
        <f t="array" ref="D8">IF(B8="","",INDEX(_xlfn.SORTBY(INDIRECT("'"&amp;$A$1&amp;"'!$C$10:$C$44"),INDIRECT("'"&amp;$A$1&amp;"'!$B$10:$B$44"),-1),ROWS($B$7:B8)))</f>
        <v/>
      </c>
      <c r="E8" s="23">
        <f>IF(B8="","",D8/16)</f>
        <v/>
      </c>
      <c r="F8" s="21">
        <f>$C$7-C8</f>
        <v/>
      </c>
      <c r="G8" s="24">
        <f>IF(B8="","",F8)</f>
        <v/>
      </c>
      <c r="H8" s="16" t="n"/>
      <c r="I8" t="inlineStr">
        <is>
          <t>Phelpy</t>
        </is>
      </c>
      <c r="J8">
        <f>_xlfn.XLOOKUP(I8,Season!$A$5:$A$39,Season!$X$5:$X$39)</f>
        <v/>
      </c>
      <c r="K8">
        <f>_xlfn.XLOOKUP(I8,Season!$A$5:$A$39,Season!$V$5:$V$39)</f>
        <v/>
      </c>
      <c r="L8">
        <f>_xlfn.XLOOKUP(I8,Season!$A$5:$A$39,Season!$U$5:$U$39)</f>
        <v/>
      </c>
      <c r="M8" s="29">
        <f>IF(_xlfn.XLOOKUP(I8,Winnings!A5:A39,Winnings!U5:U39)&gt;0,_xlfn.XLOOKUP(I8,Winnings!A5:A39,Winnings!U5:U39),0)</f>
        <v/>
      </c>
      <c r="O8" s="16" t="n"/>
      <c r="P8" s="21" t="n">
        <v>2</v>
      </c>
      <c r="Q8" s="21">
        <f>_xlfn.XLOOKUP(P8,Table2[Rank],Table2[Player])</f>
        <v/>
      </c>
      <c r="R8" s="21">
        <f t="array" ref="R8">_xlfn.XLOOKUP(Q8,Table2[Player],Season!$T$5:$T$39)</f>
        <v/>
      </c>
      <c r="S8" s="23">
        <f>IFERROR(SUM(_xlfn.XLOOKUP(Q8,Table2[Player],Table2[Season Wins]))/SUM(Season!$B$3:$S$3),0)</f>
        <v/>
      </c>
      <c r="T8" s="21">
        <f>$R$7-R8</f>
        <v/>
      </c>
      <c r="U8" s="24">
        <f>_xlfn.XLOOKUP(Q8,Winnings!$A$5:$A$39,Winnings!$U$5:$U$39)</f>
        <v/>
      </c>
    </row>
    <row r="9" ht="15" customHeight="1" s="54">
      <c r="A9" s="21" t="n">
        <v>3</v>
      </c>
      <c r="B9" s="21">
        <f>IFERROR(INDEX(_xlfn.SORTBY(INDIRECT("'"&amp;$A$1&amp;"'!$E$10:$E$44"),INDIRECT("'"&amp;$A$1&amp;"'!$B$10:$B$44"),-1),ROWS($B$7:B9)),"")</f>
        <v/>
      </c>
      <c r="C9" s="21">
        <f t="array" ref="C9">IF(B9="","",INDEX(_xlfn.SORTBY(INDIRECT("'"&amp;$A$1&amp;"'!$B$10:$B$44"),INDIRECT("'"&amp;$A$1&amp;"'!$B$10:$B$44"),-1),ROWS($B$7:B9)))</f>
        <v/>
      </c>
      <c r="D9" s="21">
        <f t="array" ref="D9">IF(B9="","",INDEX(_xlfn.SORTBY(INDIRECT("'"&amp;$A$1&amp;"'!$C$10:$C$44"),INDIRECT("'"&amp;$A$1&amp;"'!$B$10:$B$44"),-1),ROWS($B$7:B9)))</f>
        <v/>
      </c>
      <c r="E9" s="23">
        <f>IF(B9="","",D9/16)</f>
        <v/>
      </c>
      <c r="F9" s="21">
        <f>$C$7-C9</f>
        <v/>
      </c>
      <c r="G9" s="24">
        <f>IF(B9="","",F9)</f>
        <v/>
      </c>
      <c r="H9" s="16" t="n"/>
      <c r="I9" t="inlineStr">
        <is>
          <t>Line-Pony</t>
        </is>
      </c>
      <c r="J9">
        <f>_xlfn.XLOOKUP(I9,Season!$A$5:$A$39,Season!$X$5:$X$39)</f>
        <v/>
      </c>
      <c r="K9">
        <f>_xlfn.XLOOKUP(I9,Season!$A$5:$A$39,Season!$V$5:$V$39)</f>
        <v/>
      </c>
      <c r="L9">
        <f>_xlfn.XLOOKUP(I9,Season!$A$5:$A$39,Season!$U$5:$U$39)</f>
        <v/>
      </c>
      <c r="M9" s="29">
        <f>IF(_xlfn.XLOOKUP(I9,Winnings!A6:A40,Winnings!U6:U40)&gt;0,_xlfn.XLOOKUP(I9,Winnings!A6:A40,Winnings!U6:U40),0)</f>
        <v/>
      </c>
      <c r="O9" s="16" t="n"/>
      <c r="P9" s="21" t="n">
        <v>3</v>
      </c>
      <c r="Q9" s="21">
        <f>_xlfn.XLOOKUP(P9,Table2[Rank],Table2[Player])</f>
        <v/>
      </c>
      <c r="R9" s="21">
        <f t="array" ref="R9">_xlfn.XLOOKUP(Q9,Table2[Player],Season!$T$5:$T$39)</f>
        <v/>
      </c>
      <c r="S9" s="23">
        <f>IFERROR(SUM(_xlfn.XLOOKUP(Q9,Table2[Player],Table2[Season Wins]))/SUM(Season!$B$3:$S$3),0)</f>
        <v/>
      </c>
      <c r="T9" s="21">
        <f>$R$7-R9</f>
        <v/>
      </c>
      <c r="U9" s="24">
        <f>_xlfn.XLOOKUP(Q9,Winnings!$A$5:$A$39,Winnings!$U$5:$U$39)</f>
        <v/>
      </c>
    </row>
    <row r="10" ht="15" customHeight="1" s="54">
      <c r="A10" s="21" t="n">
        <v>4</v>
      </c>
      <c r="B10" s="21">
        <f>IFERROR(INDEX(_xlfn.SORTBY(INDIRECT("'"&amp;$A$1&amp;"'!$E$10:$E$44"),INDIRECT("'"&amp;$A$1&amp;"'!$B$10:$B$44"),-1),ROWS($B$7:B10)),"")</f>
        <v/>
      </c>
      <c r="C10" s="21">
        <f t="array" ref="C10">IF(B10="","",INDEX(_xlfn.SORTBY(INDIRECT("'"&amp;$A$1&amp;"'!$B$10:$B$44"),INDIRECT("'"&amp;$A$1&amp;"'!$B$10:$B$44"),-1),ROWS($B$7:B10)))</f>
        <v/>
      </c>
      <c r="D10" s="21">
        <f t="array" ref="D10">IF(B10="","",INDEX(_xlfn.SORTBY(INDIRECT("'"&amp;$A$1&amp;"'!$C$10:$C$44"),INDIRECT("'"&amp;$A$1&amp;"'!$B$10:$B$44"),-1),ROWS($B$7:B10)))</f>
        <v/>
      </c>
      <c r="E10" s="23">
        <f>IF(B10="","",D10/16)</f>
        <v/>
      </c>
      <c r="F10" s="21">
        <f>$C$7-C10</f>
        <v/>
      </c>
      <c r="G10" s="24">
        <f>IF(B10="","",F10)</f>
        <v/>
      </c>
      <c r="H10" s="16" t="n"/>
      <c r="I10" t="inlineStr">
        <is>
          <t>Phelps Phamily</t>
        </is>
      </c>
      <c r="J10">
        <f>_xlfn.XLOOKUP(I10,Season!$A$5:$A$39,Season!$X$5:$X$39)</f>
        <v/>
      </c>
      <c r="K10">
        <f>_xlfn.XLOOKUP(I10,Season!$A$5:$A$39,Season!$V$5:$V$39)</f>
        <v/>
      </c>
      <c r="L10">
        <f>_xlfn.XLOOKUP(I10,Season!$A$5:$A$39,Season!$U$5:$U$39)</f>
        <v/>
      </c>
      <c r="M10" s="29">
        <f>IF(_xlfn.XLOOKUP(I10,Winnings!A7:A41,Winnings!U7:U41)&gt;0,_xlfn.XLOOKUP(I10,Winnings!A7:A41,Winnings!U7:U41),0)</f>
        <v/>
      </c>
      <c r="O10" s="16" t="n"/>
      <c r="P10" s="21" t="n">
        <v>4</v>
      </c>
      <c r="Q10" s="21">
        <f>_xlfn.XLOOKUP(P10,Table2[Rank],Table2[Player])</f>
        <v/>
      </c>
      <c r="R10" s="21">
        <f t="array" ref="R10">_xlfn.XLOOKUP(Q10,Table2[Player],Season!$T$5:$T$39)</f>
        <v/>
      </c>
      <c r="S10" s="23">
        <f>IFERROR(SUM(_xlfn.XLOOKUP(Q10,Table2[Player],Table2[Season Wins]))/SUM(Season!$B$3:$S$3),0)</f>
        <v/>
      </c>
      <c r="T10" s="21">
        <f>$R$7-R10</f>
        <v/>
      </c>
      <c r="U10" s="24">
        <f>_xlfn.XLOOKUP(Q10,Winnings!$A$5:$A$39,Winnings!$U$5:$U$39)</f>
        <v/>
      </c>
    </row>
    <row r="11" ht="15" customHeight="1" s="54">
      <c r="A11" s="21" t="n">
        <v>5</v>
      </c>
      <c r="B11" s="21">
        <f>IFERROR(INDEX(_xlfn.SORTBY(INDIRECT("'"&amp;$A$1&amp;"'!$E$10:$E$44"),INDIRECT("'"&amp;$A$1&amp;"'!$B$10:$B$44"),-1),ROWS($B$7:B11)),"")</f>
        <v/>
      </c>
      <c r="C11" s="21">
        <f t="array" ref="C11">IF(B11="","",INDEX(_xlfn.SORTBY(INDIRECT("'"&amp;$A$1&amp;"'!$B$10:$B$44"),INDIRECT("'"&amp;$A$1&amp;"'!$B$10:$B$44"),-1),ROWS($B$7:B11)))</f>
        <v/>
      </c>
      <c r="D11" s="21">
        <f t="array" ref="D11">IF(B11="","",INDEX(_xlfn.SORTBY(INDIRECT("'"&amp;$A$1&amp;"'!$C$10:$C$44"),INDIRECT("'"&amp;$A$1&amp;"'!$B$10:$B$44"),-1),ROWS($B$7:B11)))</f>
        <v/>
      </c>
      <c r="E11" s="23">
        <f>IF(B11="","",D11/16)</f>
        <v/>
      </c>
      <c r="F11" s="21">
        <f>$C$7-C11</f>
        <v/>
      </c>
      <c r="G11" s="24">
        <f>IF(B11="","",F11)</f>
        <v/>
      </c>
      <c r="H11" s="16" t="n"/>
      <c r="I11" t="inlineStr">
        <is>
          <t>Vonasek Family</t>
        </is>
      </c>
      <c r="J11">
        <f>_xlfn.XLOOKUP(I11,Season!$A$5:$A$39,Season!$X$5:$X$39)</f>
        <v/>
      </c>
      <c r="K11">
        <f>_xlfn.XLOOKUP(I11,Season!$A$5:$A$39,Season!$V$5:$V$39)</f>
        <v/>
      </c>
      <c r="L11">
        <f>_xlfn.XLOOKUP(I11,Season!$A$5:$A$39,Season!$U$5:$U$39)</f>
        <v/>
      </c>
      <c r="M11" s="29">
        <f>IF(_xlfn.XLOOKUP(I11,Winnings!A8:A42,Winnings!U8:U42)&gt;0,_xlfn.XLOOKUP(I11,Winnings!A8:A42,Winnings!U8:U42),0)</f>
        <v/>
      </c>
      <c r="O11" s="16" t="n"/>
      <c r="P11" s="21" t="n">
        <v>5</v>
      </c>
      <c r="Q11" s="21">
        <f>_xlfn.XLOOKUP(P11,Table2[Rank],Table2[Player])</f>
        <v/>
      </c>
      <c r="R11" s="21">
        <f t="array" ref="R11">_xlfn.XLOOKUP(Q11,Table2[Player],Season!$T$5:$T$39)</f>
        <v/>
      </c>
      <c r="S11" s="23">
        <f>IFERROR(SUM(_xlfn.XLOOKUP(Q11,Table2[Player],Table2[Season Wins]))/SUM(Season!$B$3:$S$3),0)</f>
        <v/>
      </c>
      <c r="T11" s="21">
        <f>$R$7-R11</f>
        <v/>
      </c>
      <c r="U11" s="24">
        <f>_xlfn.XLOOKUP(Q11,Winnings!$A$5:$A$39,Winnings!$U$5:$U$39)</f>
        <v/>
      </c>
    </row>
    <row r="12" ht="15" customHeight="1" s="54">
      <c r="A12" s="21" t="n">
        <v>6</v>
      </c>
      <c r="B12" s="21">
        <f>IFERROR(INDEX(_xlfn.SORTBY(INDIRECT("'"&amp;$A$1&amp;"'!$E$10:$E$44"),INDIRECT("'"&amp;$A$1&amp;"'!$B$10:$B$44"),-1),ROWS($B$7:B12)),"")</f>
        <v/>
      </c>
      <c r="C12" s="21">
        <f t="array" ref="C12">IF(B12="","",INDEX(_xlfn.SORTBY(INDIRECT("'"&amp;$A$1&amp;"'!$B$10:$B$44"),INDIRECT("'"&amp;$A$1&amp;"'!$B$10:$B$44"),-1),ROWS($B$7:B12)))</f>
        <v/>
      </c>
      <c r="D12" s="21">
        <f t="array" ref="D12">IF(B12="","",INDEX(_xlfn.SORTBY(INDIRECT("'"&amp;$A$1&amp;"'!$C$10:$C$44"),INDIRECT("'"&amp;$A$1&amp;"'!$B$10:$B$44"),-1),ROWS($B$7:B12)))</f>
        <v/>
      </c>
      <c r="E12" s="23">
        <f>IF(B12="","",D12/16)</f>
        <v/>
      </c>
      <c r="F12" s="21">
        <f>$C$7-C12</f>
        <v/>
      </c>
      <c r="G12" s="24">
        <f>IF(B12="","",F12)</f>
        <v/>
      </c>
      <c r="H12" s="16" t="n"/>
      <c r="I12" t="inlineStr">
        <is>
          <t>Samsaunt</t>
        </is>
      </c>
      <c r="J12">
        <f>_xlfn.XLOOKUP(I12,Season!$A$5:$A$39,Season!$X$5:$X$39)</f>
        <v/>
      </c>
      <c r="K12">
        <f>_xlfn.XLOOKUP(I12,Season!$A$5:$A$39,Season!$V$5:$V$39)</f>
        <v/>
      </c>
      <c r="L12">
        <f>_xlfn.XLOOKUP(I12,Season!$A$5:$A$39,Season!$U$5:$U$39)</f>
        <v/>
      </c>
      <c r="M12" s="29">
        <f>IF(_xlfn.XLOOKUP(I12,Winnings!A9:A43,Winnings!U9:U43)&gt;0,_xlfn.XLOOKUP(I12,Winnings!A9:A43,Winnings!U9:U43),0)</f>
        <v/>
      </c>
      <c r="O12" s="16" t="n"/>
      <c r="P12" s="21" t="n">
        <v>6</v>
      </c>
      <c r="Q12" s="21">
        <f>_xlfn.XLOOKUP(P12,Table2[Rank],Table2[Player])</f>
        <v/>
      </c>
      <c r="R12" s="21">
        <f t="array" ref="R12">_xlfn.XLOOKUP(Q12,Table2[Player],Season!$T$5:$T$39)</f>
        <v/>
      </c>
      <c r="S12" s="23">
        <f>IFERROR(SUM(_xlfn.XLOOKUP(Q12,Table2[Player],Table2[Season Wins]))/SUM(Season!$B$3:$S$3),0)</f>
        <v/>
      </c>
      <c r="T12" s="21">
        <f>$R$7-R12</f>
        <v/>
      </c>
      <c r="U12" s="24">
        <f>_xlfn.XLOOKUP(Q12,Winnings!$A$5:$A$39,Winnings!$U$5:$U$39)</f>
        <v/>
      </c>
    </row>
    <row r="13" ht="15" customHeight="1" s="54">
      <c r="A13" s="21" t="n">
        <v>7</v>
      </c>
      <c r="B13" s="21">
        <f>IFERROR(INDEX(_xlfn.SORTBY(INDIRECT("'"&amp;$A$1&amp;"'!$E$10:$E$44"),INDIRECT("'"&amp;$A$1&amp;"'!$B$10:$B$44"),-1),ROWS($B$7:B13)),"")</f>
        <v/>
      </c>
      <c r="C13" s="21">
        <f t="array" ref="C13">IF(B13="","",INDEX(_xlfn.SORTBY(INDIRECT("'"&amp;$A$1&amp;"'!$B$10:$B$44"),INDIRECT("'"&amp;$A$1&amp;"'!$B$10:$B$44"),-1),ROWS($B$7:B13)))</f>
        <v/>
      </c>
      <c r="D13" s="21">
        <f t="array" ref="D13">IF(B13="","",INDEX(_xlfn.SORTBY(INDIRECT("'"&amp;$A$1&amp;"'!$C$10:$C$44"),INDIRECT("'"&amp;$A$1&amp;"'!$B$10:$B$44"),-1),ROWS($B$7:B13)))</f>
        <v/>
      </c>
      <c r="E13" s="23">
        <f>IF(B13="","",D13/16)</f>
        <v/>
      </c>
      <c r="F13" s="21">
        <f>$C$7-C13</f>
        <v/>
      </c>
      <c r="G13" s="24">
        <f>IF(B13="","",F13)</f>
        <v/>
      </c>
      <c r="H13" s="16" t="n"/>
      <c r="O13" s="16" t="n"/>
      <c r="P13" s="21" t="n">
        <v>7</v>
      </c>
      <c r="Q13" s="21">
        <f>_xlfn.XLOOKUP(P13,Table2[Rank],Table2[Player])</f>
        <v/>
      </c>
      <c r="R13" s="21">
        <f t="array" ref="R13">_xlfn.XLOOKUP(Q13,Table2[Player],Season!$T$5:$T$39)</f>
        <v/>
      </c>
      <c r="S13" s="23">
        <f>IFERROR(SUM(_xlfn.XLOOKUP(Q13,Table2[Player],Table2[Season Wins]))/SUM(Season!$B$3:$S$3),0)</f>
        <v/>
      </c>
      <c r="T13" s="21">
        <f>$R$7-R13</f>
        <v/>
      </c>
      <c r="U13" s="24">
        <f>_xlfn.XLOOKUP(Q13,Winnings!$A$5:$A$39,Winnings!$U$5:$U$39)</f>
        <v/>
      </c>
    </row>
    <row r="14" ht="15" customHeight="1" s="54">
      <c r="A14" s="21" t="n">
        <v>8</v>
      </c>
      <c r="B14" s="21">
        <f>IFERROR(INDEX(_xlfn.SORTBY(INDIRECT("'"&amp;$A$1&amp;"'!$E$10:$E$44"),INDIRECT("'"&amp;$A$1&amp;"'!$B$10:$B$44"),-1),ROWS($B$7:B14)),"")</f>
        <v/>
      </c>
      <c r="C14" s="21">
        <f t="array" ref="C14">IF(B14="","",INDEX(_xlfn.SORTBY(INDIRECT("'"&amp;$A$1&amp;"'!$B$10:$B$44"),INDIRECT("'"&amp;$A$1&amp;"'!$B$10:$B$44"),-1),ROWS($B$7:B14)))</f>
        <v/>
      </c>
      <c r="D14" s="21">
        <f t="array" ref="D14">IF(B14="","",INDEX(_xlfn.SORTBY(INDIRECT("'"&amp;$A$1&amp;"'!$C$10:$C$44"),INDIRECT("'"&amp;$A$1&amp;"'!$B$10:$B$44"),-1),ROWS($B$7:B14)))</f>
        <v/>
      </c>
      <c r="E14" s="23">
        <f>IF(B14="","",D14/16)</f>
        <v/>
      </c>
      <c r="F14" s="21">
        <f>$C$7-C14</f>
        <v/>
      </c>
      <c r="G14" s="24">
        <f>IF(B14="","",F14)</f>
        <v/>
      </c>
      <c r="H14" s="16" t="n"/>
      <c r="I14" s="61" t="inlineStr">
        <is>
          <t>Current Week</t>
        </is>
      </c>
      <c r="J14" s="28" t="inlineStr">
        <is>
          <t>Column1</t>
        </is>
      </c>
      <c r="O14" s="16" t="n"/>
      <c r="P14" s="21" t="n">
        <v>8</v>
      </c>
      <c r="Q14" s="21">
        <f>_xlfn.XLOOKUP(P14,Table2[Rank],Table2[Player])</f>
        <v/>
      </c>
      <c r="R14" s="21">
        <f t="array" ref="R14">_xlfn.XLOOKUP(Q14,Table2[Player],Season!$T$5:$T$39)</f>
        <v/>
      </c>
      <c r="S14" s="23">
        <f>IFERROR(SUM(_xlfn.XLOOKUP(Q14,Table2[Player],Table2[Season Wins]))/SUM(Season!$B$3:$S$3),0)</f>
        <v/>
      </c>
      <c r="T14" s="21">
        <f>$R$7-R14</f>
        <v/>
      </c>
      <c r="U14" s="24">
        <f>_xlfn.XLOOKUP(Q14,Winnings!$A$5:$A$39,Winnings!$U$5:$U$39)</f>
        <v/>
      </c>
    </row>
    <row r="15" ht="15" customHeight="1" s="54">
      <c r="A15" s="21" t="n">
        <v>9</v>
      </c>
      <c r="B15" s="21">
        <f>IFERROR(INDEX(_xlfn.SORTBY(INDIRECT("'"&amp;$A$1&amp;"'!$E$10:$E$44"),INDIRECT("'"&amp;$A$1&amp;"'!$B$10:$B$44"),-1),ROWS($B$7:B15)),"")</f>
        <v/>
      </c>
      <c r="C15" s="21">
        <f t="array" ref="C15">IF(B15="","",INDEX(_xlfn.SORTBY(INDIRECT("'"&amp;$A$1&amp;"'!$B$10:$B$44"),INDIRECT("'"&amp;$A$1&amp;"'!$B$10:$B$44"),-1),ROWS($B$7:B15)))</f>
        <v/>
      </c>
      <c r="D15" s="21">
        <f t="array" ref="D15">IF(B15="","",INDEX(_xlfn.SORTBY(INDIRECT("'"&amp;$A$1&amp;"'!$C$10:$C$44"),INDIRECT("'"&amp;$A$1&amp;"'!$B$10:$B$44"),-1),ROWS($B$7:B15)))</f>
        <v/>
      </c>
      <c r="E15" s="23">
        <f>IF(B15="","",D15/16)</f>
        <v/>
      </c>
      <c r="F15" s="21">
        <f>$C$7-C15</f>
        <v/>
      </c>
      <c r="G15" s="24">
        <f>IF(B15="","",F15)</f>
        <v/>
      </c>
      <c r="H15" s="16" t="n"/>
      <c r="I15" s="3" t="inlineStr">
        <is>
          <t>High Score</t>
        </is>
      </c>
      <c r="J15">
        <f>MAX(INDIRECT("'"&amp;$A$1&amp;"'!$B$10:$B$44"))</f>
        <v/>
      </c>
      <c r="O15" s="16" t="n"/>
      <c r="P15" s="21" t="n">
        <v>9</v>
      </c>
      <c r="Q15" s="21">
        <f>_xlfn.XLOOKUP(P15,Table2[Rank],Table2[Player])</f>
        <v/>
      </c>
      <c r="R15" s="21">
        <f t="array" ref="R15">_xlfn.XLOOKUP(Q15,Table2[Player],Season!$T$5:$T$39)</f>
        <v/>
      </c>
      <c r="S15" s="23">
        <f>IFERROR(SUM(_xlfn.XLOOKUP(Q15,Table2[Player],Table2[Season Wins]))/SUM(Season!$B$3:$S$3),0)</f>
        <v/>
      </c>
      <c r="T15" s="21">
        <f>$R$7-R15</f>
        <v/>
      </c>
      <c r="U15" s="24">
        <f>_xlfn.XLOOKUP(Q15,Winnings!$A$5:$A$39,Winnings!$U$5:$U$39)</f>
        <v/>
      </c>
    </row>
    <row r="16" ht="15" customHeight="1" s="54">
      <c r="A16" s="21" t="n">
        <v>10</v>
      </c>
      <c r="B16" s="21">
        <f>IFERROR(INDEX(_xlfn.SORTBY(INDIRECT("'"&amp;$A$1&amp;"'!$E$10:$E$44"),INDIRECT("'"&amp;$A$1&amp;"'!$B$10:$B$44"),-1),ROWS($B$7:B16)),"")</f>
        <v/>
      </c>
      <c r="C16" s="21">
        <f t="array" ref="C16">IF(B16="","",INDEX(_xlfn.SORTBY(INDIRECT("'"&amp;$A$1&amp;"'!$B$10:$B$44"),INDIRECT("'"&amp;$A$1&amp;"'!$B$10:$B$44"),-1),ROWS($B$7:B16)))</f>
        <v/>
      </c>
      <c r="D16" s="21">
        <f t="array" ref="D16">IF(B16="","",INDEX(_xlfn.SORTBY(INDIRECT("'"&amp;$A$1&amp;"'!$C$10:$C$44"),INDIRECT("'"&amp;$A$1&amp;"'!$B$10:$B$44"),-1),ROWS($B$7:B16)))</f>
        <v/>
      </c>
      <c r="E16" s="23">
        <f>IF(B16="","",D16/16)</f>
        <v/>
      </c>
      <c r="F16" s="21">
        <f>$C$7-C16</f>
        <v/>
      </c>
      <c r="G16" s="24">
        <f>IF(B16="","",F16)</f>
        <v/>
      </c>
      <c r="H16" s="16" t="n"/>
      <c r="I16" s="3" t="inlineStr">
        <is>
          <t>Low Score</t>
        </is>
      </c>
      <c r="J16">
        <f>_xlfn.MINIFS(INDIRECT("'"&amp;$A$1&amp;"'!$B$10:$B$44"),INDIRECT("'"&amp;$A$1&amp;"'!$B$10:$B$44"),"&gt;=0")</f>
        <v/>
      </c>
      <c r="O16" s="16" t="n"/>
      <c r="P16" s="21" t="n">
        <v>10</v>
      </c>
      <c r="Q16" s="21">
        <f>_xlfn.XLOOKUP(P16,Table2[Rank],Table2[Player])</f>
        <v/>
      </c>
      <c r="R16" s="21">
        <f t="array" ref="R16">_xlfn.XLOOKUP(Q16,Table2[Player],Season!$T$5:$T$39)</f>
        <v/>
      </c>
      <c r="S16" s="23">
        <f>IFERROR(SUM(_xlfn.XLOOKUP(Q16,Table2[Player],Table2[Season Wins]))/SUM(Season!$B$3:$S$3),0)</f>
        <v/>
      </c>
      <c r="T16" s="21">
        <f>$R$7-R16</f>
        <v/>
      </c>
      <c r="U16" s="24">
        <f>_xlfn.XLOOKUP(Q16,Winnings!$A$5:$A$39,Winnings!$U$5:$U$39)</f>
        <v/>
      </c>
    </row>
    <row r="17" ht="15" customHeight="1" s="54">
      <c r="A17" s="21" t="n">
        <v>11</v>
      </c>
      <c r="B17" s="21">
        <f>IFERROR(INDEX(_xlfn.SORTBY(INDIRECT("'"&amp;$A$1&amp;"'!$E$10:$E$44"),INDIRECT("'"&amp;$A$1&amp;"'!$B$10:$B$44"),-1),ROWS($B$7:B17)),"")</f>
        <v/>
      </c>
      <c r="C17" s="21">
        <f t="array" ref="C17">IF(B17="","",INDEX(_xlfn.SORTBY(INDIRECT("'"&amp;$A$1&amp;"'!$B$10:$B$44"),INDIRECT("'"&amp;$A$1&amp;"'!$B$10:$B$44"),-1),ROWS($B$7:B17)))</f>
        <v/>
      </c>
      <c r="D17" s="21">
        <f t="array" ref="D17">IF(B17="","",INDEX(_xlfn.SORTBY(INDIRECT("'"&amp;$A$1&amp;"'!$C$10:$C$44"),INDIRECT("'"&amp;$A$1&amp;"'!$B$10:$B$44"),-1),ROWS($B$7:B17)))</f>
        <v/>
      </c>
      <c r="E17" s="23">
        <f>IF(B17="","",D17/16)</f>
        <v/>
      </c>
      <c r="F17" s="21">
        <f>$C$7-C17</f>
        <v/>
      </c>
      <c r="G17" s="24">
        <f>IF(B17="","",F17)</f>
        <v/>
      </c>
      <c r="H17" s="16" t="n"/>
      <c r="I17" s="3" t="inlineStr">
        <is>
          <t>Average</t>
        </is>
      </c>
      <c r="J17" s="4">
        <f>IFERROR(AVERAGEIF(INDIRECT("'"&amp;$A$1&amp;"'!$B$10:$B$44"),"&gt;=0"),0)</f>
        <v/>
      </c>
      <c r="O17" s="16" t="n"/>
      <c r="P17" s="21" t="n">
        <v>11</v>
      </c>
      <c r="Q17" s="21">
        <f>_xlfn.XLOOKUP(P17,Table2[Rank],Table2[Player])</f>
        <v/>
      </c>
      <c r="R17" s="21">
        <f t="array" ref="R17">_xlfn.XLOOKUP(Q17,Table2[Player],Season!$T$5:$T$39)</f>
        <v/>
      </c>
      <c r="S17" s="23">
        <f>IFERROR(SUM(_xlfn.XLOOKUP(Q17,Table2[Player],Table2[Season Wins]))/SUM(Season!$B$3:$S$3),0)</f>
        <v/>
      </c>
      <c r="T17" s="21">
        <f>$R$7-R17</f>
        <v/>
      </c>
      <c r="U17" s="24">
        <f>_xlfn.XLOOKUP(Q17,Winnings!$A$5:$A$39,Winnings!$U$5:$U$39)</f>
        <v/>
      </c>
    </row>
    <row r="18" ht="15" customHeight="1" s="54">
      <c r="A18" s="21" t="n">
        <v>12</v>
      </c>
      <c r="B18" s="21">
        <f>IFERROR(INDEX(_xlfn.SORTBY(INDIRECT("'"&amp;$A$1&amp;"'!$E$10:$E$44"),INDIRECT("'"&amp;$A$1&amp;"'!$B$10:$B$44"),-1),ROWS($B$7:B18)),"")</f>
        <v/>
      </c>
      <c r="C18" s="21">
        <f t="array" ref="C18">IF(B18="","",INDEX(_xlfn.SORTBY(INDIRECT("'"&amp;$A$1&amp;"'!$B$10:$B$44"),INDIRECT("'"&amp;$A$1&amp;"'!$B$10:$B$44"),-1),ROWS($B$7:B18)))</f>
        <v/>
      </c>
      <c r="D18" s="21">
        <f t="array" ref="D18">IF(B18="","",INDEX(_xlfn.SORTBY(INDIRECT("'"&amp;$A$1&amp;"'!$C$10:$C$44"),INDIRECT("'"&amp;$A$1&amp;"'!$B$10:$B$44"),-1),ROWS($B$7:B18)))</f>
        <v/>
      </c>
      <c r="E18" s="23">
        <f>IF(B18="","",D18/16)</f>
        <v/>
      </c>
      <c r="F18" s="21">
        <f>$C$7-C18</f>
        <v/>
      </c>
      <c r="G18" s="24">
        <f>IF(B18="","",F18)</f>
        <v/>
      </c>
      <c r="H18" s="16" t="n"/>
      <c r="I18" s="3" t="inlineStr">
        <is>
          <t>Players Tied 1st</t>
        </is>
      </c>
      <c r="J18">
        <f>COUNTIF(INDIRECT("'"&amp;$A$1&amp;"'!$B$10:$B$44"),MAX(INDIRECT("'"&amp;$A$1&amp;"'!$B$10:$B$44")))</f>
        <v/>
      </c>
      <c r="O18" s="16" t="n"/>
      <c r="P18" s="21" t="n">
        <v>12</v>
      </c>
      <c r="Q18" s="21">
        <f>_xlfn.XLOOKUP(P18,Table2[Rank],Table2[Player])</f>
        <v/>
      </c>
      <c r="R18" s="21">
        <f t="array" ref="R18">_xlfn.XLOOKUP(Q18,Table2[Player],Season!$T$5:$T$39)</f>
        <v/>
      </c>
      <c r="S18" s="23">
        <f>IFERROR(SUM(_xlfn.XLOOKUP(Q18,Table2[Player],Table2[Season Wins]))/SUM(Season!$B$3:$S$3),0)</f>
        <v/>
      </c>
      <c r="T18" s="21">
        <f>$R$7-R18</f>
        <v/>
      </c>
      <c r="U18" s="24">
        <f>_xlfn.XLOOKUP(Q18,Winnings!$A$5:$A$39,Winnings!$U$5:$U$39)</f>
        <v/>
      </c>
    </row>
    <row r="19" ht="15" customHeight="1" s="54">
      <c r="A19" s="21" t="n">
        <v>13</v>
      </c>
      <c r="B19" s="21">
        <f>IFERROR(INDEX(_xlfn.SORTBY(INDIRECT("'"&amp;$A$1&amp;"'!$E$10:$E$44"),INDIRECT("'"&amp;$A$1&amp;"'!$B$10:$B$44"),-1),ROWS($B$7:B19)),"")</f>
        <v/>
      </c>
      <c r="C19" s="21">
        <f t="array" ref="C19">IF(B19="","",INDEX(_xlfn.SORTBY(INDIRECT("'"&amp;$A$1&amp;"'!$B$10:$B$44"),INDIRECT("'"&amp;$A$1&amp;"'!$B$10:$B$44"),-1),ROWS($B$7:B19)))</f>
        <v/>
      </c>
      <c r="D19" s="21">
        <f t="array" ref="D19">IF(B19="","",INDEX(_xlfn.SORTBY(INDIRECT("'"&amp;$A$1&amp;"'!$C$10:$C$44"),INDIRECT("'"&amp;$A$1&amp;"'!$B$10:$B$44"),-1),ROWS($B$7:B19)))</f>
        <v/>
      </c>
      <c r="E19" s="23">
        <f>IF(B19="","",D19/16)</f>
        <v/>
      </c>
      <c r="F19" s="21">
        <f>$C$7-C19</f>
        <v/>
      </c>
      <c r="G19" s="24">
        <f>IF(B19="","",F19)</f>
        <v/>
      </c>
      <c r="H19" s="16" t="n"/>
      <c r="I19" s="3" t="inlineStr">
        <is>
          <t># Above Average</t>
        </is>
      </c>
      <c r="J19">
        <f>COUNTIF(INDIRECT("'"&amp;$A$1&amp;"'!$B$10:$B$44"),"&gt;"&amp;AVERAGE(INDIRECT("'"&amp;$A$1&amp;"'!$B$10:$B$44")))</f>
        <v/>
      </c>
      <c r="O19" s="16" t="n"/>
      <c r="P19" s="21" t="n">
        <v>13</v>
      </c>
      <c r="Q19" s="21">
        <f>_xlfn.XLOOKUP(P19,Table2[Rank],Table2[Player])</f>
        <v/>
      </c>
      <c r="R19" s="21">
        <f t="array" ref="R19">_xlfn.XLOOKUP(Q19,Table2[Player],Season!$T$5:$T$39)</f>
        <v/>
      </c>
      <c r="S19" s="23">
        <f>IFERROR(SUM(_xlfn.XLOOKUP(Q19,Table2[Player],Table2[Season Wins]))/SUM(Season!$B$3:$S$3),0)</f>
        <v/>
      </c>
      <c r="T19" s="21">
        <f>$R$7-R19</f>
        <v/>
      </c>
      <c r="U19" s="24">
        <f>_xlfn.XLOOKUP(Q19,Winnings!$A$5:$A$39,Winnings!$U$5:$U$39)</f>
        <v/>
      </c>
    </row>
    <row r="20" ht="15" customHeight="1" s="54">
      <c r="A20" s="21" t="n">
        <v>14</v>
      </c>
      <c r="B20" s="21">
        <f>IFERROR(INDEX(_xlfn.SORTBY(INDIRECT("'"&amp;$A$1&amp;"'!$E$10:$E$44"),INDIRECT("'"&amp;$A$1&amp;"'!$B$10:$B$44"),-1),ROWS($B$7:B20)),"")</f>
        <v/>
      </c>
      <c r="C20" s="21">
        <f t="array" ref="C20">IF(B20="","",INDEX(_xlfn.SORTBY(INDIRECT("'"&amp;$A$1&amp;"'!$B$10:$B$44"),INDIRECT("'"&amp;$A$1&amp;"'!$B$10:$B$44"),-1),ROWS($B$7:B20)))</f>
        <v/>
      </c>
      <c r="D20" s="21">
        <f t="array" ref="D20">IF(B20="","",INDEX(_xlfn.SORTBY(INDIRECT("'"&amp;$A$1&amp;"'!$C$10:$C$44"),INDIRECT("'"&amp;$A$1&amp;"'!$B$10:$B$44"),-1),ROWS($B$7:B20)))</f>
        <v/>
      </c>
      <c r="E20" s="23">
        <f>IF(B20="","",D20/16)</f>
        <v/>
      </c>
      <c r="F20" s="21">
        <f>$C$7-C20</f>
        <v/>
      </c>
      <c r="G20" s="24">
        <f>IF(B20="","",F20)</f>
        <v/>
      </c>
      <c r="H20" s="16" t="n"/>
      <c r="I20" s="61" t="inlineStr">
        <is>
          <t>Suicides Used</t>
        </is>
      </c>
      <c r="J20" s="28" t="inlineStr">
        <is>
          <t>Column1</t>
        </is>
      </c>
      <c r="O20" s="16" t="n"/>
      <c r="P20" s="21" t="n">
        <v>14</v>
      </c>
      <c r="Q20" s="21">
        <f>_xlfn.XLOOKUP(P20,Table2[Rank],Table2[Player])</f>
        <v/>
      </c>
      <c r="R20" s="21">
        <f t="array" ref="R20">_xlfn.XLOOKUP(Q20,Table2[Player],Season!$T$5:$T$39)</f>
        <v/>
      </c>
      <c r="S20" s="23">
        <f>IFERROR(SUM(_xlfn.XLOOKUP(Q20,Table2[Player],Table2[Season Wins]))/SUM(Season!$B$3:$S$3),0)</f>
        <v/>
      </c>
      <c r="T20" s="21">
        <f>$R$7-R20</f>
        <v/>
      </c>
      <c r="U20" s="24">
        <f>_xlfn.XLOOKUP(Q20,Winnings!$A$5:$A$39,Winnings!$U$5:$U$39)</f>
        <v/>
      </c>
    </row>
    <row r="21" ht="15" customHeight="1" s="54">
      <c r="A21" s="21" t="n">
        <v>15</v>
      </c>
      <c r="B21" s="21">
        <f>IFERROR(INDEX(_xlfn.SORTBY(INDIRECT("'"&amp;$A$1&amp;"'!$E$10:$E$44"),INDIRECT("'"&amp;$A$1&amp;"'!$B$10:$B$44"),-1),ROWS($B$7:B21)),"")</f>
        <v/>
      </c>
      <c r="C21" s="21">
        <f t="array" ref="C21">IF(B21="","",INDEX(_xlfn.SORTBY(INDIRECT("'"&amp;$A$1&amp;"'!$B$10:$B$44"),INDIRECT("'"&amp;$A$1&amp;"'!$B$10:$B$44"),-1),ROWS($B$7:B21)))</f>
        <v/>
      </c>
      <c r="D21" s="21">
        <f t="array" ref="D21">IF(B21="","",INDEX(_xlfn.SORTBY(INDIRECT("'"&amp;$A$1&amp;"'!$C$10:$C$44"),INDIRECT("'"&amp;$A$1&amp;"'!$B$10:$B$44"),-1),ROWS($B$7:B21)))</f>
        <v/>
      </c>
      <c r="E21" s="23">
        <f>IF(B21="","",D21/16)</f>
        <v/>
      </c>
      <c r="F21" s="21">
        <f>$C$7-C21</f>
        <v/>
      </c>
      <c r="G21" s="24">
        <f>IF(B21="","",F21)</f>
        <v/>
      </c>
      <c r="H21" s="16" t="n"/>
      <c r="I21" t="inlineStr">
        <is>
          <t>Week 1</t>
        </is>
      </c>
      <c r="J21">
        <f t="array" ref="J21">_xlfn.IFNA(_xlfn.XLOOKUP("Phelpy",INDIRECT("'"&amp;I21&amp;"'!$e$10:$e$44"),INDIRECT("'"&amp;I21&amp;"'!$y$10:$y$44")),"")</f>
        <v/>
      </c>
      <c r="O21" s="16" t="n"/>
      <c r="P21" s="21" t="n">
        <v>15</v>
      </c>
      <c r="Q21" s="21">
        <f>_xlfn.XLOOKUP(P21,Table2[Rank],Table2[Player])</f>
        <v/>
      </c>
      <c r="R21" s="21">
        <f t="array" ref="R21">_xlfn.XLOOKUP(Q21,Table2[Player],Season!$T$5:$T$39)</f>
        <v/>
      </c>
      <c r="S21" s="23">
        <f>IFERROR(SUM(_xlfn.XLOOKUP(Q21,Table2[Player],Table2[Season Wins]))/SUM(Season!$B$3:$S$3),0)</f>
        <v/>
      </c>
      <c r="T21" s="21">
        <f>$R$7-R21</f>
        <v/>
      </c>
      <c r="U21" s="24">
        <f>_xlfn.XLOOKUP(Q21,Winnings!$A$5:$A$39,Winnings!$U$5:$U$39)</f>
        <v/>
      </c>
    </row>
    <row r="22" ht="15" customHeight="1" s="54">
      <c r="A22" s="21" t="n">
        <v>16</v>
      </c>
      <c r="B22" s="21">
        <f>IFERROR(INDEX(_xlfn.SORTBY(INDIRECT("'"&amp;$A$1&amp;"'!$E$10:$E$44"),INDIRECT("'"&amp;$A$1&amp;"'!$B$10:$B$44"),-1),ROWS($B$7:B22)),"")</f>
        <v/>
      </c>
      <c r="C22" s="21">
        <f t="array" ref="C22">IF(B22="","",INDEX(_xlfn.SORTBY(INDIRECT("'"&amp;$A$1&amp;"'!$B$10:$B$44"),INDIRECT("'"&amp;$A$1&amp;"'!$B$10:$B$44"),-1),ROWS($B$7:B22)))</f>
        <v/>
      </c>
      <c r="D22" s="21">
        <f t="array" ref="D22">IF(B22="","",INDEX(_xlfn.SORTBY(INDIRECT("'"&amp;$A$1&amp;"'!$C$10:$C$44"),INDIRECT("'"&amp;$A$1&amp;"'!$B$10:$B$44"),-1),ROWS($B$7:B22)))</f>
        <v/>
      </c>
      <c r="E22" s="23">
        <f>IF(B22="","",D22/16)</f>
        <v/>
      </c>
      <c r="F22" s="21">
        <f>$C$7-C22</f>
        <v/>
      </c>
      <c r="G22" s="24">
        <f>IF(B22="","",F22)</f>
        <v/>
      </c>
      <c r="H22" s="16" t="n"/>
      <c r="I22" t="inlineStr">
        <is>
          <t>Week 2</t>
        </is>
      </c>
      <c r="J22">
        <f t="array" ref="J22">_xlfn.IFNA(_xlfn.XLOOKUP("Phelpy",INDIRECT("'"&amp;I22&amp;"'!$e$10:$e$44"),INDIRECT("'"&amp;I22&amp;"'!$y$10:$y$44")),"")</f>
        <v/>
      </c>
      <c r="O22" s="16" t="n"/>
      <c r="P22" s="21" t="n">
        <v>16</v>
      </c>
      <c r="Q22" s="21">
        <f>_xlfn.XLOOKUP(P22,Table2[Rank],Table2[Player])</f>
        <v/>
      </c>
      <c r="R22" s="21">
        <f t="array" ref="R22">_xlfn.XLOOKUP(Q22,Table2[Player],Season!$T$5:$T$39)</f>
        <v/>
      </c>
      <c r="S22" s="23">
        <f>IFERROR(SUM(_xlfn.XLOOKUP(Q22,Table2[Player],Table2[Season Wins]))/SUM(Season!$B$3:$S$3),0)</f>
        <v/>
      </c>
      <c r="T22" s="21">
        <f>$R$7-R22</f>
        <v/>
      </c>
      <c r="U22" s="24">
        <f>_xlfn.XLOOKUP(Q22,Winnings!$A$5:$A$39,Winnings!$U$5:$U$39)</f>
        <v/>
      </c>
    </row>
    <row r="23" ht="15" customHeight="1" s="54">
      <c r="A23" s="21" t="n">
        <v>17</v>
      </c>
      <c r="B23" s="21">
        <f>IFERROR(INDEX(_xlfn.SORTBY(INDIRECT("'"&amp;$A$1&amp;"'!$E$10:$E$44"),INDIRECT("'"&amp;$A$1&amp;"'!$B$10:$B$44"),-1),ROWS($B$7:B23)),"")</f>
        <v/>
      </c>
      <c r="C23" s="21">
        <f t="array" ref="C23">IF(B23="","",INDEX(_xlfn.SORTBY(INDIRECT("'"&amp;$A$1&amp;"'!$B$10:$B$44"),INDIRECT("'"&amp;$A$1&amp;"'!$B$10:$B$44"),-1),ROWS($B$7:B23)))</f>
        <v/>
      </c>
      <c r="D23" s="21">
        <f t="array" ref="D23">IF(B23="","",INDEX(_xlfn.SORTBY(INDIRECT("'"&amp;$A$1&amp;"'!$C$10:$C$44"),INDIRECT("'"&amp;$A$1&amp;"'!$B$10:$B$44"),-1),ROWS($B$7:B23)))</f>
        <v/>
      </c>
      <c r="E23" s="23">
        <f>IF(B23="","",D23/16)</f>
        <v/>
      </c>
      <c r="F23" s="21">
        <f>$C$7-C23</f>
        <v/>
      </c>
      <c r="G23" s="24">
        <f>IF(B23="","",F23)</f>
        <v/>
      </c>
      <c r="H23" s="16" t="n"/>
      <c r="I23" t="inlineStr">
        <is>
          <t>Week 3</t>
        </is>
      </c>
      <c r="J23">
        <f t="array" ref="J23">_xlfn.IFNA(_xlfn.XLOOKUP("Phelpy",INDIRECT("'"&amp;I23&amp;"'!$e$10:$e$44"),INDIRECT("'"&amp;I23&amp;"'!$y$10:$y$44")),"")</f>
        <v/>
      </c>
      <c r="O23" s="16" t="n"/>
      <c r="P23" s="21" t="n">
        <v>17</v>
      </c>
      <c r="Q23" s="21">
        <f>_xlfn.XLOOKUP(P23,Table2[Rank],Table2[Player])</f>
        <v/>
      </c>
      <c r="R23" s="21">
        <f t="array" ref="R23">_xlfn.XLOOKUP(Q23,Table2[Player],Season!$T$5:$T$39)</f>
        <v/>
      </c>
      <c r="S23" s="23">
        <f>IFERROR(SUM(_xlfn.XLOOKUP(Q23,Table2[Player],Table2[Season Wins]))/SUM(Season!$B$3:$S$3),0)</f>
        <v/>
      </c>
      <c r="T23" s="21">
        <f>$R$7-R23</f>
        <v/>
      </c>
      <c r="U23" s="24">
        <f>_xlfn.XLOOKUP(Q23,Winnings!$A$5:$A$39,Winnings!$U$5:$U$39)</f>
        <v/>
      </c>
    </row>
    <row r="24" ht="15" customHeight="1" s="54">
      <c r="A24" s="21" t="n">
        <v>18</v>
      </c>
      <c r="B24" s="21">
        <f>IFERROR(INDEX(_xlfn.SORTBY(INDIRECT("'"&amp;$A$1&amp;"'!$E$10:$E$44"),INDIRECT("'"&amp;$A$1&amp;"'!$B$10:$B$44"),-1),ROWS($B$7:B24)),"")</f>
        <v/>
      </c>
      <c r="C24" s="21">
        <f t="array" ref="C24">IF(B24="","",INDEX(_xlfn.SORTBY(INDIRECT("'"&amp;$A$1&amp;"'!$B$10:$B$44"),INDIRECT("'"&amp;$A$1&amp;"'!$B$10:$B$44"),-1),ROWS($B$7:B24)))</f>
        <v/>
      </c>
      <c r="D24" s="21">
        <f t="array" ref="D24">IF(B24="","",INDEX(_xlfn.SORTBY(INDIRECT("'"&amp;$A$1&amp;"'!$C$10:$C$44"),INDIRECT("'"&amp;$A$1&amp;"'!$B$10:$B$44"),-1),ROWS($B$7:B24)))</f>
        <v/>
      </c>
      <c r="E24" s="23">
        <f>IF(B24="","",D24/16)</f>
        <v/>
      </c>
      <c r="F24" s="21">
        <f>$C$7-C24</f>
        <v/>
      </c>
      <c r="G24" s="24">
        <f>IF(B24="","",F24)</f>
        <v/>
      </c>
      <c r="H24" s="16" t="n"/>
      <c r="I24" t="inlineStr">
        <is>
          <t>Week 4</t>
        </is>
      </c>
      <c r="J24">
        <f t="array" ref="J24">_xlfn.IFNA(_xlfn.XLOOKUP("Phelpy",INDIRECT("'"&amp;I24&amp;"'!$e$10:$e$44"),INDIRECT("'"&amp;I24&amp;"'!$y$10:$y$44")),"")</f>
        <v/>
      </c>
      <c r="O24" s="16" t="n"/>
      <c r="P24" s="21" t="n">
        <v>18</v>
      </c>
      <c r="Q24" s="21">
        <f>_xlfn.XLOOKUP(P24,Table2[Rank],Table2[Player])</f>
        <v/>
      </c>
      <c r="R24" s="21">
        <f t="array" ref="R24">_xlfn.XLOOKUP(Q24,Table2[Player],Season!$T$5:$T$39)</f>
        <v/>
      </c>
      <c r="S24" s="23">
        <f>IFERROR(SUM(_xlfn.XLOOKUP(Q24,Table2[Player],Table2[Season Wins]))/SUM(Season!$B$3:$S$3),0)</f>
        <v/>
      </c>
      <c r="T24" s="21">
        <f>$R$7-R24</f>
        <v/>
      </c>
      <c r="U24" s="24">
        <f>_xlfn.XLOOKUP(Q24,Winnings!$A$5:$A$39,Winnings!$U$5:$U$39)</f>
        <v/>
      </c>
    </row>
    <row r="25" ht="15" customHeight="1" s="54">
      <c r="A25" s="21" t="n">
        <v>19</v>
      </c>
      <c r="B25" s="21">
        <f>IFERROR(INDEX(_xlfn.SORTBY(INDIRECT("'"&amp;$A$1&amp;"'!$E$10:$E$44"),INDIRECT("'"&amp;$A$1&amp;"'!$B$10:$B$44"),-1),ROWS($B$7:B25)),"")</f>
        <v/>
      </c>
      <c r="C25" s="21">
        <f t="array" ref="C25">IF(B25="","",INDEX(_xlfn.SORTBY(INDIRECT("'"&amp;$A$1&amp;"'!$B$10:$B$44"),INDIRECT("'"&amp;$A$1&amp;"'!$B$10:$B$44"),-1),ROWS($B$7:B25)))</f>
        <v/>
      </c>
      <c r="D25" s="21">
        <f t="array" ref="D25">IF(B25="","",INDEX(_xlfn.SORTBY(INDIRECT("'"&amp;$A$1&amp;"'!$C$10:$C$44"),INDIRECT("'"&amp;$A$1&amp;"'!$B$10:$B$44"),-1),ROWS($B$7:B25)))</f>
        <v/>
      </c>
      <c r="E25" s="23">
        <f>IF(B25="","",D25/16)</f>
        <v/>
      </c>
      <c r="F25" s="21">
        <f>$C$7-C25</f>
        <v/>
      </c>
      <c r="G25" s="24">
        <f>IF(B25="","",F25)</f>
        <v/>
      </c>
      <c r="H25" s="16" t="n"/>
      <c r="I25" t="inlineStr">
        <is>
          <t>Week 5</t>
        </is>
      </c>
      <c r="J25">
        <f t="array" ref="J25">_xlfn.IFNA(_xlfn.XLOOKUP("Phelpy",INDIRECT("'"&amp;I25&amp;"'!$e$10:$e$44"),INDIRECT("'"&amp;I25&amp;"'!$y$10:$y$44")),"")</f>
        <v/>
      </c>
      <c r="O25" s="16" t="n"/>
      <c r="P25" s="21" t="n">
        <v>19</v>
      </c>
      <c r="Q25" s="21">
        <f>_xlfn.XLOOKUP(P25,Table2[Rank],Table2[Player])</f>
        <v/>
      </c>
      <c r="R25" s="21">
        <f t="array" ref="R25">_xlfn.XLOOKUP(Q25,Table2[Player],Season!$T$5:$T$39)</f>
        <v/>
      </c>
      <c r="S25" s="23">
        <f>IFERROR(SUM(_xlfn.XLOOKUP(Q25,Table2[Player],Table2[Season Wins]))/SUM(Season!$B$3:$S$3),0)</f>
        <v/>
      </c>
      <c r="T25" s="21">
        <f>$R$7-R25</f>
        <v/>
      </c>
      <c r="U25" s="24">
        <f>_xlfn.XLOOKUP(Q25,Winnings!$A$5:$A$39,Winnings!$U$5:$U$39)</f>
        <v/>
      </c>
    </row>
    <row r="26" ht="15" customHeight="1" s="54">
      <c r="A26" s="21" t="n">
        <v>20</v>
      </c>
      <c r="B26" s="21">
        <f>IFERROR(INDEX(_xlfn.SORTBY(INDIRECT("'"&amp;$A$1&amp;"'!$E$10:$E$44"),INDIRECT("'"&amp;$A$1&amp;"'!$B$10:$B$44"),-1),ROWS($B$7:B26)),"")</f>
        <v/>
      </c>
      <c r="C26" s="21">
        <f t="array" ref="C26">IF(B26="","",INDEX(_xlfn.SORTBY(INDIRECT("'"&amp;$A$1&amp;"'!$B$10:$B$44"),INDIRECT("'"&amp;$A$1&amp;"'!$B$10:$B$44"),-1),ROWS($B$7:B26)))</f>
        <v/>
      </c>
      <c r="D26" s="21">
        <f t="array" ref="D26">IF(B26="","",INDEX(_xlfn.SORTBY(INDIRECT("'"&amp;$A$1&amp;"'!$C$10:$C$44"),INDIRECT("'"&amp;$A$1&amp;"'!$B$10:$B$44"),-1),ROWS($B$7:B26)))</f>
        <v/>
      </c>
      <c r="E26" s="23">
        <f>IF(B26="","",D26/16)</f>
        <v/>
      </c>
      <c r="F26" s="21">
        <f>$C$7-C26</f>
        <v/>
      </c>
      <c r="G26" s="24">
        <f>IF(B26="","",F26)</f>
        <v/>
      </c>
      <c r="H26" s="16" t="n"/>
      <c r="I26" t="inlineStr">
        <is>
          <t>Week 6</t>
        </is>
      </c>
      <c r="J26">
        <f t="array" ref="J26">_xlfn.IFNA(_xlfn.XLOOKUP("Phelpy",INDIRECT("'"&amp;I26&amp;"'!$e$10:$e$44"),INDIRECT("'"&amp;I26&amp;"'!$y$10:$y$44")),"")</f>
        <v/>
      </c>
      <c r="O26" s="16" t="n"/>
      <c r="P26" s="21" t="n">
        <v>20</v>
      </c>
      <c r="Q26" s="21">
        <f>_xlfn.XLOOKUP(P26,Table2[Rank],Table2[Player])</f>
        <v/>
      </c>
      <c r="R26" s="21">
        <f t="array" ref="R26">_xlfn.XLOOKUP(Q26,Table2[Player],Season!$T$5:$T$39)</f>
        <v/>
      </c>
      <c r="S26" s="23">
        <f>IFERROR(SUM(_xlfn.XLOOKUP(Q26,Table2[Player],Table2[Season Wins]))/SUM(Season!$B$3:$S$3),0)</f>
        <v/>
      </c>
      <c r="T26" s="21">
        <f>$R$7-R26</f>
        <v/>
      </c>
      <c r="U26" s="24">
        <f>_xlfn.XLOOKUP(Q26,Winnings!$A$5:$A$39,Winnings!$U$5:$U$39)</f>
        <v/>
      </c>
    </row>
    <row r="27" ht="15" customHeight="1" s="54">
      <c r="A27" s="21" t="n">
        <v>21</v>
      </c>
      <c r="B27" s="21">
        <f>IFERROR(INDEX(_xlfn.SORTBY(INDIRECT("'"&amp;$A$1&amp;"'!$E$10:$E$44"),INDIRECT("'"&amp;$A$1&amp;"'!$B$10:$B$44"),-1),ROWS($B$7:B27)),"")</f>
        <v/>
      </c>
      <c r="C27" s="21">
        <f t="array" ref="C27">IF(B27="","",INDEX(_xlfn.SORTBY(INDIRECT("'"&amp;$A$1&amp;"'!$B$10:$B$44"),INDIRECT("'"&amp;$A$1&amp;"'!$B$10:$B$44"),-1),ROWS($B$7:B27)))</f>
        <v/>
      </c>
      <c r="D27" s="21">
        <f t="array" ref="D27">IF(B27="","",INDEX(_xlfn.SORTBY(INDIRECT("'"&amp;$A$1&amp;"'!$C$10:$C$44"),INDIRECT("'"&amp;$A$1&amp;"'!$B$10:$B$44"),-1),ROWS($B$7:B27)))</f>
        <v/>
      </c>
      <c r="E27" s="23">
        <f>IF(B27="","",D27/16)</f>
        <v/>
      </c>
      <c r="F27" s="21">
        <f>$C$7-C27</f>
        <v/>
      </c>
      <c r="G27" s="24">
        <f>IF(B27="","",F27)</f>
        <v/>
      </c>
      <c r="H27" s="16" t="n"/>
      <c r="I27" t="inlineStr">
        <is>
          <t>Week 7</t>
        </is>
      </c>
      <c r="J27">
        <f t="array" ref="J27">_xlfn.IFNA(_xlfn.XLOOKUP("Phelpy",INDIRECT("'"&amp;I27&amp;"'!$e$10:$e$44"),INDIRECT("'"&amp;I27&amp;"'!$y$10:$y$44")),"")</f>
        <v/>
      </c>
      <c r="O27" s="16" t="n"/>
      <c r="P27" s="21" t="n">
        <v>21</v>
      </c>
      <c r="Q27" s="21">
        <f>_xlfn.XLOOKUP(P27,Table2[Rank],Table2[Player])</f>
        <v/>
      </c>
      <c r="R27" s="21">
        <f t="array" ref="R27">_xlfn.XLOOKUP(Q27,Table2[Player],Season!$T$5:$T$39)</f>
        <v/>
      </c>
      <c r="S27" s="23">
        <f>IFERROR(SUM(_xlfn.XLOOKUP(Q27,Table2[Player],Table2[Season Wins]))/SUM(Season!$B$3:$S$3),0)</f>
        <v/>
      </c>
      <c r="T27" s="21">
        <f>$R$7-R27</f>
        <v/>
      </c>
      <c r="U27" s="24">
        <f>_xlfn.XLOOKUP(Q27,Winnings!$A$5:$A$39,Winnings!$U$5:$U$39)</f>
        <v/>
      </c>
    </row>
    <row r="28" ht="15" customHeight="1" s="54">
      <c r="A28" s="21" t="n">
        <v>22</v>
      </c>
      <c r="B28" s="21">
        <f>IFERROR(INDEX(_xlfn.SORTBY(INDIRECT("'"&amp;$A$1&amp;"'!$E$10:$E$44"),INDIRECT("'"&amp;$A$1&amp;"'!$B$10:$B$44"),-1),ROWS($B$7:B28)),"")</f>
        <v/>
      </c>
      <c r="C28" s="21">
        <f t="array" ref="C28">IF(B28="","",INDEX(_xlfn.SORTBY(INDIRECT("'"&amp;$A$1&amp;"'!$B$10:$B$44"),INDIRECT("'"&amp;$A$1&amp;"'!$B$10:$B$44"),-1),ROWS($B$7:B28)))</f>
        <v/>
      </c>
      <c r="D28" s="21">
        <f t="array" ref="D28">IF(B28="","",INDEX(_xlfn.SORTBY(INDIRECT("'"&amp;$A$1&amp;"'!$C$10:$C$44"),INDIRECT("'"&amp;$A$1&amp;"'!$B$10:$B$44"),-1),ROWS($B$7:B28)))</f>
        <v/>
      </c>
      <c r="E28" s="23">
        <f>IF(B28="","",D28/16)</f>
        <v/>
      </c>
      <c r="F28" s="21">
        <f>$C$7-C28</f>
        <v/>
      </c>
      <c r="G28" s="24">
        <f>IF(B28="","",F28)</f>
        <v/>
      </c>
      <c r="H28" s="16" t="n"/>
      <c r="I28" t="inlineStr">
        <is>
          <t>Week 8</t>
        </is>
      </c>
      <c r="J28">
        <f t="array" ref="J28">_xlfn.IFNA(_xlfn.XLOOKUP("Phelpy",INDIRECT("'"&amp;I28&amp;"'!$e$10:$e$44"),INDIRECT("'"&amp;I28&amp;"'!$y$10:$y$44")),"")</f>
        <v/>
      </c>
      <c r="O28" s="16" t="n"/>
      <c r="P28" s="21" t="n">
        <v>22</v>
      </c>
      <c r="Q28" s="21">
        <f>_xlfn.XLOOKUP(P28,Table2[Rank],Table2[Player])</f>
        <v/>
      </c>
      <c r="R28" s="21">
        <f t="array" ref="R28">_xlfn.XLOOKUP(Q28,Table2[Player],Season!$T$5:$T$39)</f>
        <v/>
      </c>
      <c r="S28" s="23">
        <f>IFERROR(SUM(_xlfn.XLOOKUP(Q28,Table2[Player],Table2[Season Wins]))/SUM(Season!$B$3:$S$3),0)</f>
        <v/>
      </c>
      <c r="T28" s="21">
        <f>$R$7-R28</f>
        <v/>
      </c>
      <c r="U28" s="24">
        <f>_xlfn.XLOOKUP(Q28,Winnings!$A$5:$A$39,Winnings!$U$5:$U$39)</f>
        <v/>
      </c>
    </row>
    <row r="29" ht="15" customHeight="1" s="54">
      <c r="A29" s="21" t="n">
        <v>23</v>
      </c>
      <c r="B29" s="21">
        <f>IFERROR(INDEX(_xlfn.SORTBY(INDIRECT("'"&amp;$A$1&amp;"'!$E$10:$E$44"),INDIRECT("'"&amp;$A$1&amp;"'!$B$10:$B$44"),-1),ROWS($B$7:B29)),"")</f>
        <v/>
      </c>
      <c r="C29" s="21">
        <f t="array" ref="C29">IF(B29="","",INDEX(_xlfn.SORTBY(INDIRECT("'"&amp;$A$1&amp;"'!$B$10:$B$44"),INDIRECT("'"&amp;$A$1&amp;"'!$B$10:$B$44"),-1),ROWS($B$7:B29)))</f>
        <v/>
      </c>
      <c r="D29" s="21">
        <f t="array" ref="D29">IF(B29="","",INDEX(_xlfn.SORTBY(INDIRECT("'"&amp;$A$1&amp;"'!$C$10:$C$44"),INDIRECT("'"&amp;$A$1&amp;"'!$B$10:$B$44"),-1),ROWS($B$7:B29)))</f>
        <v/>
      </c>
      <c r="E29" s="23">
        <f>IF(B29="","",D29/16)</f>
        <v/>
      </c>
      <c r="F29" s="21">
        <f>$C$7-C29</f>
        <v/>
      </c>
      <c r="G29" s="24">
        <f>IF(B29="","",F29)</f>
        <v/>
      </c>
      <c r="H29" s="16" t="n"/>
      <c r="I29" t="inlineStr">
        <is>
          <t>Week 9</t>
        </is>
      </c>
      <c r="J29">
        <f t="array" ref="J29">_xlfn.IFNA(_xlfn.XLOOKUP("Phelpy",INDIRECT("'"&amp;I29&amp;"'!$e$10:$e$44"),INDIRECT("'"&amp;I29&amp;"'!$y$10:$y$44")),"")</f>
        <v/>
      </c>
      <c r="O29" s="16" t="n"/>
      <c r="P29" s="21" t="n">
        <v>23</v>
      </c>
      <c r="Q29" s="21">
        <f>_xlfn.XLOOKUP(P29,Table2[Rank],Table2[Player])</f>
        <v/>
      </c>
      <c r="R29" s="21">
        <f t="array" ref="R29">_xlfn.XLOOKUP(Q29,Table2[Player],Season!$T$5:$T$39)</f>
        <v/>
      </c>
      <c r="S29" s="23">
        <f>IFERROR(SUM(_xlfn.XLOOKUP(Q29,Table2[Player],Table2[Season Wins]))/SUM(Season!$B$3:$S$3),0)</f>
        <v/>
      </c>
      <c r="T29" s="21">
        <f>$R$7-R29</f>
        <v/>
      </c>
      <c r="U29" s="24">
        <f>_xlfn.XLOOKUP(Q29,Winnings!$A$5:$A$39,Winnings!$U$5:$U$39)</f>
        <v/>
      </c>
    </row>
    <row r="30" ht="15" customHeight="1" s="54">
      <c r="A30" s="21" t="n">
        <v>24</v>
      </c>
      <c r="B30" s="21">
        <f>IFERROR(INDEX(_xlfn.SORTBY(INDIRECT("'"&amp;$A$1&amp;"'!$E$10:$E$44"),INDIRECT("'"&amp;$A$1&amp;"'!$B$10:$B$44"),-1),ROWS($B$7:B30)),"")</f>
        <v/>
      </c>
      <c r="C30" s="21">
        <f t="array" ref="C30">IF(B30="","",INDEX(_xlfn.SORTBY(INDIRECT("'"&amp;$A$1&amp;"'!$B$10:$B$44"),INDIRECT("'"&amp;$A$1&amp;"'!$B$10:$B$44"),-1),ROWS($B$7:B30)))</f>
        <v/>
      </c>
      <c r="D30" s="21">
        <f t="array" ref="D30">IF(B30="","",INDEX(_xlfn.SORTBY(INDIRECT("'"&amp;$A$1&amp;"'!$C$10:$C$44"),INDIRECT("'"&amp;$A$1&amp;"'!$B$10:$B$44"),-1),ROWS($B$7:B30)))</f>
        <v/>
      </c>
      <c r="E30" s="23">
        <f>IF(B30="","",D30/16)</f>
        <v/>
      </c>
      <c r="F30" s="21">
        <f>$C$7-C30</f>
        <v/>
      </c>
      <c r="G30" s="24">
        <f>IF(B30="","",F30)</f>
        <v/>
      </c>
      <c r="H30" s="16" t="n"/>
      <c r="I30" t="inlineStr">
        <is>
          <t>Week 10</t>
        </is>
      </c>
      <c r="J30">
        <f t="array" ref="J30">_xlfn.IFNA(_xlfn.XLOOKUP("Phelpy",INDIRECT("'"&amp;I30&amp;"'!$e$10:$e$44"),INDIRECT("'"&amp;I30&amp;"'!$y$10:$y$44")),"")</f>
        <v/>
      </c>
      <c r="O30" s="16" t="n"/>
      <c r="P30" s="21" t="n">
        <v>24</v>
      </c>
      <c r="Q30" s="21">
        <f>_xlfn.XLOOKUP(P30,Table2[Rank],Table2[Player])</f>
        <v/>
      </c>
      <c r="R30" s="21">
        <f t="array" ref="R30">_xlfn.XLOOKUP(Q30,Table2[Player],Season!$T$5:$T$39)</f>
        <v/>
      </c>
      <c r="S30" s="23">
        <f>IFERROR(SUM(_xlfn.XLOOKUP(Q30,Table2[Player],Table2[Season Wins]))/SUM(Season!$B$3:$S$3),0)</f>
        <v/>
      </c>
      <c r="T30" s="21">
        <f>$R$7-R30</f>
        <v/>
      </c>
      <c r="U30" s="24">
        <f>_xlfn.XLOOKUP(Q30,Winnings!$A$5:$A$39,Winnings!$U$5:$U$39)</f>
        <v/>
      </c>
    </row>
    <row r="31" ht="15" customHeight="1" s="54">
      <c r="A31" s="21" t="n">
        <v>25</v>
      </c>
      <c r="B31" s="21">
        <f>IFERROR(INDEX(_xlfn.SORTBY(INDIRECT("'"&amp;$A$1&amp;"'!$E$10:$E$44"),INDIRECT("'"&amp;$A$1&amp;"'!$B$10:$B$44"),-1),ROWS($B$7:B31)),"")</f>
        <v/>
      </c>
      <c r="C31" s="21">
        <f t="array" ref="C31">IF(B31="","",INDEX(_xlfn.SORTBY(INDIRECT("'"&amp;$A$1&amp;"'!$B$10:$B$44"),INDIRECT("'"&amp;$A$1&amp;"'!$B$10:$B$44"),-1),ROWS($B$7:B31)))</f>
        <v/>
      </c>
      <c r="D31" s="21">
        <f t="array" ref="D31">IF(B31="","",INDEX(_xlfn.SORTBY(INDIRECT("'"&amp;$A$1&amp;"'!$C$10:$C$44"),INDIRECT("'"&amp;$A$1&amp;"'!$B$10:$B$44"),-1),ROWS($B$7:B31)))</f>
        <v/>
      </c>
      <c r="E31" s="23">
        <f>IF(B31="","",D31/16)</f>
        <v/>
      </c>
      <c r="F31" s="21">
        <f>$C$7-C31</f>
        <v/>
      </c>
      <c r="G31" s="24">
        <f>IF(B31="","",F31)</f>
        <v/>
      </c>
      <c r="H31" s="16" t="n"/>
      <c r="I31" t="inlineStr">
        <is>
          <t>Week 11</t>
        </is>
      </c>
      <c r="J31">
        <f t="array" ref="J31">_xlfn.IFNA(_xlfn.XLOOKUP("Phelpy",INDIRECT("'"&amp;I31&amp;"'!$e$10:$e$44"),INDIRECT("'"&amp;I31&amp;"'!$y$10:$y$44")),"")</f>
        <v/>
      </c>
      <c r="O31" s="16" t="n"/>
      <c r="P31" s="21" t="n">
        <v>25</v>
      </c>
      <c r="Q31" s="21">
        <f>_xlfn.XLOOKUP(P31,Table2[Rank],Table2[Player])</f>
        <v/>
      </c>
      <c r="R31" s="21">
        <f t="array" ref="R31">_xlfn.XLOOKUP(Q31,Table2[Player],Season!$T$5:$T$39)</f>
        <v/>
      </c>
      <c r="S31" s="23">
        <f>IFERROR(SUM(_xlfn.XLOOKUP(Q31,Table2[Player],Table2[Season Wins]))/SUM(Season!$B$3:$S$3),0)</f>
        <v/>
      </c>
      <c r="T31" s="21">
        <f>$R$7-R31</f>
        <v/>
      </c>
      <c r="U31" s="24">
        <f>_xlfn.XLOOKUP(Q31,Winnings!$A$5:$A$39,Winnings!$U$5:$U$39)</f>
        <v/>
      </c>
    </row>
    <row r="32" ht="15" customHeight="1" s="54">
      <c r="A32" s="21" t="n">
        <v>26</v>
      </c>
      <c r="B32" s="21">
        <f>IFERROR(INDEX(_xlfn.SORTBY(INDIRECT("'"&amp;$A$1&amp;"'!$E$10:$E$44"),INDIRECT("'"&amp;$A$1&amp;"'!$B$10:$B$44"),-1),ROWS($B$7:B32)),"")</f>
        <v/>
      </c>
      <c r="C32" s="21">
        <f t="array" ref="C32">IF(B32="","",INDEX(_xlfn.SORTBY(INDIRECT("'"&amp;$A$1&amp;"'!$B$10:$B$44"),INDIRECT("'"&amp;$A$1&amp;"'!$B$10:$B$44"),-1),ROWS($B$7:B32)))</f>
        <v/>
      </c>
      <c r="D32" s="21">
        <f t="array" ref="D32">IF(B32="","",INDEX(_xlfn.SORTBY(INDIRECT("'"&amp;$A$1&amp;"'!$C$10:$C$44"),INDIRECT("'"&amp;$A$1&amp;"'!$B$10:$B$44"),-1),ROWS($B$7:B32)))</f>
        <v/>
      </c>
      <c r="E32" s="23">
        <f>IF(B32="","",D32/16)</f>
        <v/>
      </c>
      <c r="F32" s="21">
        <f>$C$7-C32</f>
        <v/>
      </c>
      <c r="G32" s="24">
        <f>IF(B32="","",F32)</f>
        <v/>
      </c>
      <c r="H32" s="16" t="n"/>
      <c r="I32" t="inlineStr">
        <is>
          <t>Week 12</t>
        </is>
      </c>
      <c r="J32">
        <f t="array" ref="J32">_xlfn.IFNA(_xlfn.XLOOKUP("Phelpy",INDIRECT("'"&amp;I32&amp;"'!$e$10:$e$44"),INDIRECT("'"&amp;I32&amp;"'!$y$10:$y$44")),"")</f>
        <v/>
      </c>
      <c r="O32" s="16" t="n"/>
      <c r="P32" s="21" t="n">
        <v>26</v>
      </c>
      <c r="Q32" s="21">
        <f>_xlfn.XLOOKUP(P32,Table2[Rank],Table2[Player])</f>
        <v/>
      </c>
      <c r="R32" s="21">
        <f t="array" ref="R32">_xlfn.XLOOKUP(Q32,Table2[Player],Season!$T$5:$T$39)</f>
        <v/>
      </c>
      <c r="S32" s="23">
        <f>IFERROR(SUM(_xlfn.XLOOKUP(Q32,Table2[Player],Table2[Season Wins]))/SUM(Season!$B$3:$S$3),0)</f>
        <v/>
      </c>
      <c r="T32" s="21">
        <f>$R$7-R32</f>
        <v/>
      </c>
      <c r="U32" s="24">
        <f>_xlfn.XLOOKUP(Q32,Winnings!$A$5:$A$39,Winnings!$U$5:$U$39)</f>
        <v/>
      </c>
    </row>
    <row r="33" ht="15" customHeight="1" s="54">
      <c r="A33" s="21" t="n">
        <v>27</v>
      </c>
      <c r="B33" s="21">
        <f>IFERROR(INDEX(_xlfn.SORTBY(INDIRECT("'"&amp;$A$1&amp;"'!$E$10:$E$44"),INDIRECT("'"&amp;$A$1&amp;"'!$B$10:$B$44"),-1),ROWS($B$7:B33)),"")</f>
        <v/>
      </c>
      <c r="C33" s="21">
        <f t="array" ref="C33">IF(B33="","",INDEX(_xlfn.SORTBY(INDIRECT("'"&amp;$A$1&amp;"'!$B$10:$B$44"),INDIRECT("'"&amp;$A$1&amp;"'!$B$10:$B$44"),-1),ROWS($B$7:B33)))</f>
        <v/>
      </c>
      <c r="D33" s="21">
        <f t="array" ref="D33">IF(B33="","",INDEX(_xlfn.SORTBY(INDIRECT("'"&amp;$A$1&amp;"'!$C$10:$C$44"),INDIRECT("'"&amp;$A$1&amp;"'!$B$10:$B$44"),-1),ROWS($B$7:B33)))</f>
        <v/>
      </c>
      <c r="E33" s="23">
        <f>IF(B33="","",D33/16)</f>
        <v/>
      </c>
      <c r="F33" s="21">
        <f>$C$7-C33</f>
        <v/>
      </c>
      <c r="G33" s="24">
        <f>IF(B33="","",F33)</f>
        <v/>
      </c>
      <c r="H33" s="16" t="n"/>
      <c r="I33" t="inlineStr">
        <is>
          <t>Week 13</t>
        </is>
      </c>
      <c r="J33">
        <f t="array" ref="J33">_xlfn.IFNA(_xlfn.XLOOKUP("Phelpy",INDIRECT("'"&amp;I33&amp;"'!$e$10:$e$44"),INDIRECT("'"&amp;I33&amp;"'!$y$10:$y$44")),"")</f>
        <v/>
      </c>
      <c r="O33" s="16" t="n"/>
      <c r="P33" s="21" t="n">
        <v>27</v>
      </c>
      <c r="Q33" s="21">
        <f>_xlfn.XLOOKUP(P33,Table2[Rank],Table2[Player])</f>
        <v/>
      </c>
      <c r="R33" s="21">
        <f t="array" ref="R33">_xlfn.XLOOKUP(Q33,Table2[Player],Season!$T$5:$T$39)</f>
        <v/>
      </c>
      <c r="S33" s="23">
        <f>IFERROR(SUM(_xlfn.XLOOKUP(Q33,Table2[Player],Table2[Season Wins]))/SUM(Season!$B$3:$S$3),0)</f>
        <v/>
      </c>
      <c r="T33" s="21">
        <f>$R$7-R33</f>
        <v/>
      </c>
      <c r="U33" s="24">
        <f>_xlfn.XLOOKUP(Q33,Winnings!$A$5:$A$39,Winnings!$U$5:$U$39)</f>
        <v/>
      </c>
    </row>
    <row r="34" ht="15" customHeight="1" s="54">
      <c r="A34" s="21" t="n">
        <v>28</v>
      </c>
      <c r="B34" s="21">
        <f>IFERROR(INDEX(_xlfn.SORTBY(INDIRECT("'"&amp;$A$1&amp;"'!$E$10:$E$44"),INDIRECT("'"&amp;$A$1&amp;"'!$B$10:$B$44"),-1),ROWS($B$7:B34)),"")</f>
        <v/>
      </c>
      <c r="C34" s="21">
        <f t="array" ref="C34">IF(B34="","",INDEX(_xlfn.SORTBY(INDIRECT("'"&amp;$A$1&amp;"'!$B$10:$B$44"),INDIRECT("'"&amp;$A$1&amp;"'!$B$10:$B$44"),-1),ROWS($B$7:B34)))</f>
        <v/>
      </c>
      <c r="D34" s="21">
        <f t="array" ref="D34">IF(B34="","",INDEX(_xlfn.SORTBY(INDIRECT("'"&amp;$A$1&amp;"'!$C$10:$C$44"),INDIRECT("'"&amp;$A$1&amp;"'!$B$10:$B$44"),-1),ROWS($B$7:B34)))</f>
        <v/>
      </c>
      <c r="E34" s="23">
        <f>IF(B34="","",D34/16)</f>
        <v/>
      </c>
      <c r="F34" s="21">
        <f>$C$7-C34</f>
        <v/>
      </c>
      <c r="G34" s="24">
        <f>IF(B34="","",F34)</f>
        <v/>
      </c>
      <c r="H34" s="16" t="n"/>
      <c r="I34" t="inlineStr">
        <is>
          <t>Week 14</t>
        </is>
      </c>
      <c r="J34">
        <f t="array" ref="J34">_xlfn.IFNA(_xlfn.XLOOKUP("Phelpy",INDIRECT("'"&amp;I34&amp;"'!$e$10:$e$44"),INDIRECT("'"&amp;I34&amp;"'!$y$10:$y$44")),"")</f>
        <v/>
      </c>
      <c r="O34" s="16" t="n"/>
      <c r="P34" s="21" t="n">
        <v>28</v>
      </c>
      <c r="Q34" s="21">
        <f>_xlfn.XLOOKUP(P34,Table2[Rank],Table2[Player])</f>
        <v/>
      </c>
      <c r="R34" s="21">
        <f t="array" ref="R34">_xlfn.XLOOKUP(Q34,Table2[Player],Season!$T$5:$T$39)</f>
        <v/>
      </c>
      <c r="S34" s="23">
        <f>IFERROR(SUM(_xlfn.XLOOKUP(Q34,Table2[Player],Table2[Season Wins]))/SUM(Season!$B$3:$S$3),0)</f>
        <v/>
      </c>
      <c r="T34" s="21">
        <f>$R$7-R34</f>
        <v/>
      </c>
      <c r="U34" s="24">
        <f>_xlfn.XLOOKUP(Q34,Winnings!$A$5:$A$39,Winnings!$U$5:$U$39)</f>
        <v/>
      </c>
    </row>
    <row r="35" ht="15" customHeight="1" s="54">
      <c r="A35" s="21" t="n">
        <v>29</v>
      </c>
      <c r="B35" s="21">
        <f>IFERROR(INDEX(_xlfn.SORTBY(INDIRECT("'"&amp;$A$1&amp;"'!$E$10:$E$44"),INDIRECT("'"&amp;$A$1&amp;"'!$B$10:$B$44"),-1),ROWS($B$7:B35)),"")</f>
        <v/>
      </c>
      <c r="C35" s="21">
        <f t="array" ref="C35">IF(B35="","",INDEX(_xlfn.SORTBY(INDIRECT("'"&amp;$A$1&amp;"'!$B$10:$B$44"),INDIRECT("'"&amp;$A$1&amp;"'!$B$10:$B$44"),-1),ROWS($B$7:B35)))</f>
        <v/>
      </c>
      <c r="D35" s="21">
        <f t="array" ref="D35">IF(B35="","",INDEX(_xlfn.SORTBY(INDIRECT("'"&amp;$A$1&amp;"'!$C$10:$C$44"),INDIRECT("'"&amp;$A$1&amp;"'!$B$10:$B$44"),-1),ROWS($B$7:B35)))</f>
        <v/>
      </c>
      <c r="E35" s="23">
        <f>IF(B35="","",D35/16)</f>
        <v/>
      </c>
      <c r="F35" s="21">
        <f>$C$7-C35</f>
        <v/>
      </c>
      <c r="G35" s="24">
        <f>IF(B35="","",F35)</f>
        <v/>
      </c>
      <c r="H35" s="16" t="n"/>
      <c r="I35" t="inlineStr">
        <is>
          <t>Week 15</t>
        </is>
      </c>
      <c r="J35">
        <f t="array" ref="J35">_xlfn.IFNA(_xlfn.XLOOKUP("Phelpy",INDIRECT("'"&amp;I35&amp;"'!$e$10:$e$44"),INDIRECT("'"&amp;I35&amp;"'!$y$10:$y$44")),"")</f>
        <v/>
      </c>
      <c r="O35" s="16" t="n"/>
      <c r="P35" s="21" t="n">
        <v>29</v>
      </c>
      <c r="Q35" s="21">
        <f>_xlfn.XLOOKUP(P35,Table2[Rank],Table2[Player])</f>
        <v/>
      </c>
      <c r="R35" s="21">
        <f t="array" ref="R35">_xlfn.XLOOKUP(Q35,Table2[Player],Season!$T$5:$T$39)</f>
        <v/>
      </c>
      <c r="S35" s="23">
        <f>IFERROR(SUM(_xlfn.XLOOKUP(Q35,Table2[Player],Table2[Season Wins]))/SUM(Season!$B$3:$S$3),0)</f>
        <v/>
      </c>
      <c r="T35" s="21">
        <f>$R$7-R35</f>
        <v/>
      </c>
      <c r="U35" s="24">
        <f>_xlfn.XLOOKUP(Q35,Winnings!$A$5:$A$39,Winnings!$U$5:$U$39)</f>
        <v/>
      </c>
    </row>
    <row r="36" ht="15" customHeight="1" s="54">
      <c r="A36" s="21" t="n">
        <v>30</v>
      </c>
      <c r="B36" s="21">
        <f>IFERROR(INDEX(_xlfn.SORTBY(INDIRECT("'"&amp;$A$1&amp;"'!$E$10:$E$44"),INDIRECT("'"&amp;$A$1&amp;"'!$B$10:$B$44"),-1),ROWS($B$7:B36)),"")</f>
        <v/>
      </c>
      <c r="C36" s="21">
        <f t="array" ref="C36">IF(B36="","",INDEX(_xlfn.SORTBY(INDIRECT("'"&amp;$A$1&amp;"'!$B$10:$B$44"),INDIRECT("'"&amp;$A$1&amp;"'!$B$10:$B$44"),-1),ROWS($B$7:B36)))</f>
        <v/>
      </c>
      <c r="D36" s="21">
        <f t="array" ref="D36">IF(B36="","",INDEX(_xlfn.SORTBY(INDIRECT("'"&amp;$A$1&amp;"'!$C$10:$C$44"),INDIRECT("'"&amp;$A$1&amp;"'!$B$10:$B$44"),-1),ROWS($B$7:B36)))</f>
        <v/>
      </c>
      <c r="E36" s="23">
        <f>IF(B36="","",D36/16)</f>
        <v/>
      </c>
      <c r="F36" s="21">
        <f>$C$7-C36</f>
        <v/>
      </c>
      <c r="G36" s="24">
        <f>IF(B36="","",F36)</f>
        <v/>
      </c>
      <c r="H36" s="16" t="n"/>
      <c r="I36" t="inlineStr">
        <is>
          <t>Week 16</t>
        </is>
      </c>
      <c r="J36">
        <f t="array" ref="J36">_xlfn.IFNA(_xlfn.XLOOKUP("Phelpy",INDIRECT("'"&amp;I36&amp;"'!$e$10:$e$44"),INDIRECT("'"&amp;I36&amp;"'!$y$10:$y$44")),"")</f>
        <v/>
      </c>
      <c r="O36" s="16" t="n"/>
      <c r="P36" s="21" t="n">
        <v>30</v>
      </c>
      <c r="Q36" s="21">
        <f>_xlfn.XLOOKUP(P36,Table2[Rank],Table2[Player])</f>
        <v/>
      </c>
      <c r="R36" s="21">
        <f t="array" ref="R36">_xlfn.XLOOKUP(Q36,Table2[Player],Season!$T$5:$T$39)</f>
        <v/>
      </c>
      <c r="S36" s="23">
        <f>IFERROR(SUM(_xlfn.XLOOKUP(Q36,Table2[Player],Table2[Season Wins]))/SUM(Season!$B$3:$S$3),0)</f>
        <v/>
      </c>
      <c r="T36" s="21">
        <f>$R$7-R36</f>
        <v/>
      </c>
      <c r="U36" s="24">
        <f>_xlfn.XLOOKUP(Q36,Winnings!$A$5:$A$39,Winnings!$U$5:$U$39)</f>
        <v/>
      </c>
    </row>
    <row r="37" ht="15" customHeight="1" s="54">
      <c r="A37" s="21" t="n">
        <v>31</v>
      </c>
      <c r="B37" s="21">
        <f>IFERROR(INDEX(_xlfn.SORTBY(INDIRECT("'"&amp;$A$1&amp;"'!$E$10:$E$44"),INDIRECT("'"&amp;$A$1&amp;"'!$B$10:$B$44"),-1),ROWS($B$7:B37)),"")</f>
        <v/>
      </c>
      <c r="C37" s="21">
        <f t="array" ref="C37">IF(B37="","",INDEX(_xlfn.SORTBY(INDIRECT("'"&amp;$A$1&amp;"'!$B$10:$B$44"),INDIRECT("'"&amp;$A$1&amp;"'!$B$10:$B$44"),-1),ROWS($B$7:B37)))</f>
        <v/>
      </c>
      <c r="D37" s="21">
        <f t="array" ref="D37">IF(B37="","",INDEX(_xlfn.SORTBY(INDIRECT("'"&amp;$A$1&amp;"'!$C$10:$C$44"),INDIRECT("'"&amp;$A$1&amp;"'!$B$10:$B$44"),-1),ROWS($B$7:B37)))</f>
        <v/>
      </c>
      <c r="E37" s="23">
        <f>IF(B37="","",D37/16)</f>
        <v/>
      </c>
      <c r="F37" s="21">
        <f>$C$7-C37</f>
        <v/>
      </c>
      <c r="G37" s="24">
        <f>IF(B37="","",F37)</f>
        <v/>
      </c>
      <c r="H37" s="16" t="n"/>
      <c r="I37" t="inlineStr">
        <is>
          <t>Week 17</t>
        </is>
      </c>
      <c r="J37">
        <f t="array" ref="J37">_xlfn.IFNA(_xlfn.XLOOKUP("Phelpy",INDIRECT("'"&amp;I37&amp;"'!$e$10:$e$44"),INDIRECT("'"&amp;I37&amp;"'!$y$10:$y$44")),"")</f>
        <v/>
      </c>
      <c r="O37" s="16" t="n"/>
      <c r="P37" s="21" t="n">
        <v>31</v>
      </c>
      <c r="Q37" s="21">
        <f>_xlfn.XLOOKUP(P37,Table2[Rank],Table2[Player])</f>
        <v/>
      </c>
      <c r="R37" s="21">
        <f t="array" ref="R37">_xlfn.XLOOKUP(Q37,Table2[Player],Season!$T$5:$T$39)</f>
        <v/>
      </c>
      <c r="S37" s="23">
        <f>IFERROR(SUM(_xlfn.XLOOKUP(Q37,Table2[Player],Table2[Season Wins]))/SUM(Season!$B$3:$S$3),0)</f>
        <v/>
      </c>
      <c r="T37" s="21">
        <f>$R$7-R37</f>
        <v/>
      </c>
      <c r="U37" s="24">
        <f>_xlfn.XLOOKUP(Q37,Winnings!$A$5:$A$39,Winnings!$U$5:$U$39)</f>
        <v/>
      </c>
    </row>
    <row r="38">
      <c r="A38" s="21" t="n">
        <v>32</v>
      </c>
      <c r="B38" s="21">
        <f>IFERROR(INDEX(_xlfn.SORTBY(INDIRECT("'"&amp;$A$1&amp;"'!$E$10:$E$44"),INDIRECT("'"&amp;$A$1&amp;"'!$B$10:$B$44"),-1),ROWS($B$7:B38)),"")</f>
        <v/>
      </c>
      <c r="C38" s="21">
        <f t="array" ref="C38">IF(B38="","",INDEX(_xlfn.SORTBY(INDIRECT("'"&amp;$A$1&amp;"'!$B$10:$B$44"),INDIRECT("'"&amp;$A$1&amp;"'!$B$10:$B$44"),-1),ROWS($B$7:B38)))</f>
        <v/>
      </c>
      <c r="D38" s="21">
        <f t="array" ref="D38">IF(B38="","",INDEX(_xlfn.SORTBY(INDIRECT("'"&amp;$A$1&amp;"'!$C$10:$C$44"),INDIRECT("'"&amp;$A$1&amp;"'!$B$10:$B$44"),-1),ROWS($B$7:B38)))</f>
        <v/>
      </c>
      <c r="E38" s="23">
        <f>IF(B38="","",D38/16)</f>
        <v/>
      </c>
      <c r="F38" s="21">
        <f>$C$7-C38</f>
        <v/>
      </c>
      <c r="G38" s="24">
        <f>IF(B38="","",F38)</f>
        <v/>
      </c>
      <c r="H38" s="16" t="n"/>
      <c r="I38" t="inlineStr">
        <is>
          <t>Week 18</t>
        </is>
      </c>
      <c r="J38">
        <f t="array" ref="J38">_xlfn.IFNA(_xlfn.XLOOKUP("Phelpy",INDIRECT("'"&amp;I38&amp;"'!$e$10:$e$44"),INDIRECT("'"&amp;I38&amp;"'!$y$10:$y$44")),"")</f>
        <v/>
      </c>
      <c r="O38" s="16" t="n"/>
      <c r="P38" s="21" t="n">
        <v>32</v>
      </c>
      <c r="Q38" s="21">
        <f>_xlfn.XLOOKUP(P38,Table2[Rank],Table2[Player])</f>
        <v/>
      </c>
      <c r="R38" s="21">
        <f t="array" ref="R38">_xlfn.XLOOKUP(Q38,Table2[Player],Season!$T$5:$T$39)</f>
        <v/>
      </c>
      <c r="S38" s="23">
        <f>IFERROR(SUM(_xlfn.XLOOKUP(Q38,Table2[Player],Table2[Season Wins]))/SUM(Season!$B$3:$S$3),0)</f>
        <v/>
      </c>
      <c r="T38" s="21">
        <f>$R$7-R38</f>
        <v/>
      </c>
      <c r="U38" s="24">
        <f>_xlfn.XLOOKUP(Q38,Winnings!$A$5:$A$39,Winnings!$U$5:$U$39)</f>
        <v/>
      </c>
    </row>
    <row r="39">
      <c r="A39" s="21" t="n">
        <v>33</v>
      </c>
      <c r="B39" s="21">
        <f>IFERROR(INDEX(_xlfn.SORTBY(INDIRECT("'"&amp;$A$1&amp;"'!$E$10:$E$44"),INDIRECT("'"&amp;$A$1&amp;"'!$B$10:$B$44"),-1),ROWS($B$7:B39)),"")</f>
        <v/>
      </c>
      <c r="C39" s="21">
        <f t="array" ref="C39">IF(B39="","",INDEX(_xlfn.SORTBY(INDIRECT("'"&amp;$A$1&amp;"'!$B$10:$B$44"),INDIRECT("'"&amp;$A$1&amp;"'!$B$10:$B$44"),-1),ROWS($B$7:B39)))</f>
        <v/>
      </c>
      <c r="D39" s="21">
        <f t="array" ref="D39">IF(B39="","",INDEX(_xlfn.SORTBY(INDIRECT("'"&amp;$A$1&amp;"'!$C$10:$C$44"),INDIRECT("'"&amp;$A$1&amp;"'!$B$10:$B$44"),-1),ROWS($B$7:B39)))</f>
        <v/>
      </c>
      <c r="E39" s="23">
        <f>IF(B39="","",D39/16)</f>
        <v/>
      </c>
      <c r="F39" s="21">
        <f>$C$7-C39</f>
        <v/>
      </c>
      <c r="G39" s="24">
        <f>IF(B39="","",F39)</f>
        <v/>
      </c>
      <c r="H39" s="16" t="n"/>
      <c r="O39" s="16" t="n"/>
      <c r="P39" s="21" t="n">
        <v>33</v>
      </c>
      <c r="Q39" s="21">
        <f>_xlfn.XLOOKUP(P39,Table2[Rank],Table2[Player])</f>
        <v/>
      </c>
      <c r="R39" s="21">
        <f t="array" ref="R39">_xlfn.XLOOKUP(Q39,Table2[Player],Season!$T$5:$T$39)</f>
        <v/>
      </c>
      <c r="S39" s="23">
        <f>IFERROR(SUM(_xlfn.XLOOKUP(Q39,Table2[Player],Table2[Season Wins]))/SUM(Season!$B$3:$S$3),0)</f>
        <v/>
      </c>
      <c r="T39" s="21">
        <f>$R$7-R39</f>
        <v/>
      </c>
      <c r="U39" s="24">
        <f>_xlfn.XLOOKUP(Q39,Winnings!$A$5:$A$39,Winnings!$U$5:$U$39)</f>
        <v/>
      </c>
    </row>
    <row r="40">
      <c r="A40" s="21" t="n">
        <v>34</v>
      </c>
      <c r="B40" s="21">
        <f>IFERROR(INDEX(_xlfn.SORTBY(INDIRECT("'"&amp;$A$1&amp;"'!$E$10:$E$44"),INDIRECT("'"&amp;$A$1&amp;"'!$B$10:$B$44"),-1),ROWS($B$7:B40)),"")</f>
        <v/>
      </c>
      <c r="C40" s="21">
        <f t="array" ref="C40">IF(B40="","",INDEX(_xlfn.SORTBY(INDIRECT("'"&amp;$A$1&amp;"'!$B$10:$B$44"),INDIRECT("'"&amp;$A$1&amp;"'!$B$10:$B$44"),-1),ROWS($B$7:B40)))</f>
        <v/>
      </c>
      <c r="D40" s="21">
        <f t="array" ref="D40">IF(B40="","",INDEX(_xlfn.SORTBY(INDIRECT("'"&amp;$A$1&amp;"'!$C$10:$C$44"),INDIRECT("'"&amp;$A$1&amp;"'!$B$10:$B$44"),-1),ROWS($B$7:B40)))</f>
        <v/>
      </c>
      <c r="E40" s="23">
        <f>IF(B40="","",D40/16)</f>
        <v/>
      </c>
      <c r="F40" s="21">
        <f>$C$7-C40</f>
        <v/>
      </c>
      <c r="G40" s="24">
        <f>IF(B40="","",F40)</f>
        <v/>
      </c>
      <c r="H40" s="16" t="n"/>
      <c r="O40" s="16" t="n"/>
      <c r="P40" s="21" t="n">
        <v>34</v>
      </c>
      <c r="Q40" s="21">
        <f>_xlfn.XLOOKUP(P40,Table2[Rank],Table2[Player])</f>
        <v/>
      </c>
      <c r="R40" s="21">
        <f t="array" ref="R40">_xlfn.XLOOKUP(Q40,Table2[Player],Season!$T$5:$T$39)</f>
        <v/>
      </c>
      <c r="S40" s="23">
        <f>IFERROR(SUM(_xlfn.XLOOKUP(Q40,Table2[Player],Table2[Season Wins]))/SUM(Season!$B$3:$S$3),0)</f>
        <v/>
      </c>
      <c r="T40" s="21">
        <f>$R$7-R40</f>
        <v/>
      </c>
      <c r="U40" s="24">
        <f>_xlfn.XLOOKUP(Q40,Winnings!$A$5:$A$39,Winnings!$U$5:$U$39)</f>
        <v/>
      </c>
    </row>
    <row r="41">
      <c r="A41" s="21" t="n">
        <v>35</v>
      </c>
      <c r="B41" s="21">
        <f>IFERROR(INDEX(_xlfn.SORTBY(INDIRECT("'"&amp;$A$1&amp;"'!$E$10:$E$44"),INDIRECT("'"&amp;$A$1&amp;"'!$B$10:$B$44"),-1),ROWS($B$7:B41)),"")</f>
        <v/>
      </c>
      <c r="C41" s="21">
        <f t="array" ref="C41">IF(B41="","",INDEX(_xlfn.SORTBY(INDIRECT("'"&amp;$A$1&amp;"'!$B$10:$B$44"),INDIRECT("'"&amp;$A$1&amp;"'!$B$10:$B$44"),-1),ROWS($B$7:B41)))</f>
        <v/>
      </c>
      <c r="D41" s="21">
        <f t="array" ref="D41">IF(B41="","",INDEX(_xlfn.SORTBY(INDIRECT("'"&amp;$A$1&amp;"'!$C$10:$C$44"),INDIRECT("'"&amp;$A$1&amp;"'!$B$10:$B$44"),-1),ROWS($B$7:B41)))</f>
        <v/>
      </c>
      <c r="E41" s="23">
        <f>IF(B41="","",D41/16)</f>
        <v/>
      </c>
      <c r="F41" s="21">
        <f>$C$7-C41</f>
        <v/>
      </c>
      <c r="G41" s="24">
        <f>IF(B41="","",F41)</f>
        <v/>
      </c>
      <c r="H41" s="16" t="n"/>
      <c r="O41" s="16" t="n"/>
      <c r="P41" s="21" t="n">
        <v>35</v>
      </c>
      <c r="Q41" s="21">
        <f>_xlfn.XLOOKUP(P41,Table2[Rank],Table2[Player])</f>
        <v/>
      </c>
      <c r="R41" s="21">
        <f t="array" ref="R41">_xlfn.XLOOKUP(Q41,Table2[Player],Season!$T$5:$T$39)</f>
        <v/>
      </c>
      <c r="S41" s="23">
        <f>IFERROR(SUM(_xlfn.XLOOKUP(Q41,Table2[Player],Table2[Season Wins]))/SUM(Season!$B$3:$S$3),0)</f>
        <v/>
      </c>
      <c r="T41" s="21">
        <f>$R$7-R41</f>
        <v/>
      </c>
      <c r="U41" s="24">
        <f>_xlfn.XLOOKUP(Q41,Winnings!$A$5:$A$39,Winnings!$U$5:$U$39)</f>
        <v/>
      </c>
    </row>
    <row r="42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</row>
    <row r="43">
      <c r="A43" s="22" t="n"/>
      <c r="B43" s="22" t="n"/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2" t="n"/>
    </row>
    <row r="45">
      <c r="E45" s="1" t="n"/>
      <c r="G45" s="2" t="n"/>
    </row>
    <row r="46" hidden="1" s="54">
      <c r="E46" s="1" t="n"/>
      <c r="G46" s="2" t="n"/>
    </row>
  </sheetData>
  <mergeCells count="9">
    <mergeCell ref="P4:U5"/>
    <mergeCell ref="I4:J4"/>
    <mergeCell ref="A4:G5"/>
    <mergeCell ref="M5:M6"/>
    <mergeCell ref="I5:J6"/>
    <mergeCell ref="C1:U3"/>
    <mergeCell ref="A1:B3"/>
    <mergeCell ref="K5:K6"/>
    <mergeCell ref="L5:L6"/>
  </mergeCells>
  <dataValidations count="1">
    <dataValidation sqref="A1" showDropDown="0" showInputMessage="1" showErrorMessage="1" allowBlank="1" type="list">
      <formula1>"Week 1,Week 2,Week 3,Week 4,Week 5,Week 6,Week 7,Week 8,Week 9,Week 10,Week 11,Week 12,Week 13,Week 14,Week 15,Week 16"</formula1>
    </dataValidation>
  </dataValidations>
  <pageMargins left="0.75" right="0.75" top="1" bottom="1" header="0.5" footer="0.5"/>
  <pageSetup orientation="portrait" horizontalDpi="300" verticalDpi="300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9"/>
  <sheetViews>
    <sheetView showGridLines="0" zoomScale="96" workbookViewId="0">
      <pane xSplit="1" ySplit="4" topLeftCell="B8" activePane="bottomRight" state="frozen"/>
      <selection pane="topRight" activeCell="A1" sqref="A1"/>
      <selection pane="bottomLeft" activeCell="A1" sqref="A1"/>
      <selection pane="bottomRight" activeCell="Y6" sqref="Y6"/>
    </sheetView>
  </sheetViews>
  <sheetFormatPr baseColWidth="8" defaultRowHeight="14.4"/>
  <cols>
    <col width="24" customWidth="1" style="54" min="1" max="1"/>
    <col width="9.33203125" customWidth="1" style="61" min="2" max="19"/>
    <col width="12.33203125" bestFit="1" customWidth="1" style="61" min="20" max="20"/>
    <col width="12.6640625" customWidth="1" style="61" min="21" max="24"/>
    <col width="12.6640625" bestFit="1" customWidth="1" style="32" min="25" max="25"/>
  </cols>
  <sheetData>
    <row r="1" ht="15" customHeight="1" s="54">
      <c r="A1" s="60" t="inlineStr">
        <is>
          <t>📈 SEASON TRACKER</t>
        </is>
      </c>
    </row>
    <row r="2"/>
    <row r="3">
      <c r="A3" s="20" t="inlineStr">
        <is>
          <t># of games</t>
        </is>
      </c>
      <c r="B3" s="61" t="n">
        <v>16</v>
      </c>
      <c r="C3" s="61" t="n">
        <v>16</v>
      </c>
      <c r="D3" s="61" t="n">
        <v>16</v>
      </c>
      <c r="E3" s="61" t="n">
        <v>16</v>
      </c>
      <c r="F3" s="61" t="n">
        <v>15</v>
      </c>
      <c r="G3" s="61" t="n">
        <v>14</v>
      </c>
      <c r="H3" s="61" t="n">
        <v>14</v>
      </c>
      <c r="I3" s="61" t="n">
        <v>14</v>
      </c>
      <c r="J3" s="61" t="n">
        <v>15</v>
      </c>
      <c r="K3" s="61" t="n">
        <v>14</v>
      </c>
      <c r="L3" s="61" t="n">
        <v>13</v>
      </c>
      <c r="M3" s="61" t="n">
        <v>16</v>
      </c>
      <c r="N3" s="61" t="n">
        <v>14</v>
      </c>
      <c r="O3" s="61" t="n">
        <v>15</v>
      </c>
      <c r="P3" s="61" t="n">
        <v>16</v>
      </c>
      <c r="Q3" s="61" t="n">
        <v>16</v>
      </c>
      <c r="R3" s="61" t="n">
        <v>16</v>
      </c>
      <c r="S3" s="61" t="n">
        <v>16</v>
      </c>
    </row>
    <row r="4">
      <c r="A4" s="15" t="inlineStr">
        <is>
          <t>Player</t>
        </is>
      </c>
      <c r="B4" s="17" t="inlineStr">
        <is>
          <t>Week 1</t>
        </is>
      </c>
      <c r="C4" s="17" t="inlineStr">
        <is>
          <t>Week 2</t>
        </is>
      </c>
      <c r="D4" s="17" t="inlineStr">
        <is>
          <t>Week 3</t>
        </is>
      </c>
      <c r="E4" s="17" t="inlineStr">
        <is>
          <t>Week 4</t>
        </is>
      </c>
      <c r="F4" s="17" t="inlineStr">
        <is>
          <t>Week 5</t>
        </is>
      </c>
      <c r="G4" s="17" t="inlineStr">
        <is>
          <t>Week 6</t>
        </is>
      </c>
      <c r="H4" s="17" t="inlineStr">
        <is>
          <t>Week 7</t>
        </is>
      </c>
      <c r="I4" s="17" t="inlineStr">
        <is>
          <t>Week 8</t>
        </is>
      </c>
      <c r="J4" s="17" t="inlineStr">
        <is>
          <t>Week 9</t>
        </is>
      </c>
      <c r="K4" s="17" t="inlineStr">
        <is>
          <t>Week 10</t>
        </is>
      </c>
      <c r="L4" s="17" t="inlineStr">
        <is>
          <t>Week 11</t>
        </is>
      </c>
      <c r="M4" s="17" t="inlineStr">
        <is>
          <t>Week 12</t>
        </is>
      </c>
      <c r="N4" s="17" t="inlineStr">
        <is>
          <t>Week 13</t>
        </is>
      </c>
      <c r="O4" s="17" t="inlineStr">
        <is>
          <t>Week 14</t>
        </is>
      </c>
      <c r="P4" s="17" t="inlineStr">
        <is>
          <t>Week 15</t>
        </is>
      </c>
      <c r="Q4" s="17" t="inlineStr">
        <is>
          <t>Week 16</t>
        </is>
      </c>
      <c r="R4" s="17" t="inlineStr">
        <is>
          <t>Week 17</t>
        </is>
      </c>
      <c r="S4" s="17" t="inlineStr">
        <is>
          <t>Week 18</t>
        </is>
      </c>
      <c r="T4" s="18" t="inlineStr">
        <is>
          <t>Season Wins</t>
        </is>
      </c>
      <c r="U4" s="18" t="inlineStr">
        <is>
          <t>Avg Wins</t>
        </is>
      </c>
      <c r="V4" s="18" t="inlineStr">
        <is>
          <t>Best</t>
        </is>
      </c>
      <c r="W4" s="18" t="inlineStr">
        <is>
          <t>Worst</t>
        </is>
      </c>
      <c r="X4" s="18" t="inlineStr">
        <is>
          <t>Rank</t>
        </is>
      </c>
      <c r="Y4" s="33" t="inlineStr">
        <is>
          <t>Season Win %</t>
        </is>
      </c>
    </row>
    <row r="5">
      <c r="A5" t="inlineStr">
        <is>
          <t>Bob h</t>
        </is>
      </c>
      <c r="B5" s="61">
        <f t="array" ref="B5">_xlfn.IFNA(_xlfn.XLOOKUP($A5,INDIRECT("'"&amp;B$4&amp;"'!$E$10:$E$44"),INDIRECT("'"&amp;B$4&amp;"'!$b$10:$b$44"))," ")</f>
        <v/>
      </c>
      <c r="C5" s="61">
        <f t="array" ref="C5">_xlfn.IFNA(_xlfn.XLOOKUP($A5,INDIRECT("'"&amp;C$4&amp;"'!$E$10:$E$44"),INDIRECT("'"&amp;C$4&amp;"'!$b$10:$b$44"))," ")</f>
        <v/>
      </c>
      <c r="D5" s="61">
        <f t="array" ref="D5">_xlfn.IFNA(_xlfn.XLOOKUP($A5,INDIRECT("'"&amp;D$4&amp;"'!$E$10:$E$44"),INDIRECT("'"&amp;D$4&amp;"'!$b$10:$b$44"))," ")</f>
        <v/>
      </c>
      <c r="E5" s="61">
        <f t="array" ref="E5">_xlfn.IFNA(_xlfn.XLOOKUP($A5,INDIRECT("'"&amp;E$4&amp;"'!$E$10:$E$44"),INDIRECT("'"&amp;E$4&amp;"'!$b$10:$b$44"))," ")</f>
        <v/>
      </c>
      <c r="F5" s="61">
        <f t="array" ref="F5">_xlfn.IFNA(_xlfn.XLOOKUP($A5,INDIRECT("'"&amp;F$4&amp;"'!$E$10:$E$44"),INDIRECT("'"&amp;F$4&amp;"'!$b$10:$b$44"))," ")</f>
        <v/>
      </c>
      <c r="G5" s="61">
        <f t="array" ref="G5">_xlfn.IFNA(_xlfn.XLOOKUP($A5,INDIRECT("'"&amp;G$4&amp;"'!$E$10:$E$44"),INDIRECT("'"&amp;G$4&amp;"'!$b$10:$b$44"))," ")</f>
        <v/>
      </c>
      <c r="H5" s="61">
        <f t="array" ref="H5">_xlfn.IFNA(_xlfn.XLOOKUP($A5,INDIRECT("'"&amp;H$4&amp;"'!$E$10:$E$44"),INDIRECT("'"&amp;H$4&amp;"'!$b$10:$b$44"))," ")</f>
        <v/>
      </c>
      <c r="I5" s="61">
        <f t="array" ref="I5">_xlfn.IFNA(_xlfn.XLOOKUP($A5,INDIRECT("'"&amp;I$4&amp;"'!$E$10:$E$44"),INDIRECT("'"&amp;I$4&amp;"'!$b$10:$b$44"))," ")</f>
        <v/>
      </c>
      <c r="J5" s="61">
        <f t="array" ref="J5">_xlfn.IFNA(_xlfn.XLOOKUP($A5,INDIRECT("'"&amp;J$4&amp;"'!$E$10:$E$44"),INDIRECT("'"&amp;J$4&amp;"'!$b$10:$b$44"))," ")</f>
        <v/>
      </c>
      <c r="K5" s="61">
        <f t="array" ref="K5">_xlfn.IFNA(_xlfn.XLOOKUP($A5,INDIRECT("'"&amp;K$4&amp;"'!$E$10:$E$44"),INDIRECT("'"&amp;K$4&amp;"'!$b$10:$b$44"))," ")</f>
        <v/>
      </c>
      <c r="L5" s="61">
        <f t="array" ref="L5">_xlfn.IFNA(_xlfn.XLOOKUP($A5,INDIRECT("'"&amp;L$4&amp;"'!$E$10:$E$44"),INDIRECT("'"&amp;L$4&amp;"'!$b$10:$b$44"))," ")</f>
        <v/>
      </c>
      <c r="M5" s="61">
        <f t="array" ref="M5">_xlfn.IFNA(_xlfn.XLOOKUP($A5,INDIRECT("'"&amp;M$4&amp;"'!$E$10:$E$44"),INDIRECT("'"&amp;M$4&amp;"'!$b$10:$b$44"))," ")</f>
        <v/>
      </c>
      <c r="N5" s="61">
        <f t="array" ref="N5">_xlfn.IFNA(_xlfn.XLOOKUP($A5,INDIRECT("'"&amp;N$4&amp;"'!$E$10:$E$44"),INDIRECT("'"&amp;N$4&amp;"'!$b$10:$b$44"))," ")</f>
        <v/>
      </c>
      <c r="O5" s="61">
        <f t="array" ref="O5">_xlfn.IFNA(_xlfn.XLOOKUP($A5,INDIRECT("'"&amp;O$4&amp;"'!$E$10:$E$44"),INDIRECT("'"&amp;O$4&amp;"'!$b$10:$b$44"))," ")</f>
        <v/>
      </c>
      <c r="P5" s="61">
        <f t="array" ref="P5">_xlfn.IFNA(_xlfn.XLOOKUP($A5,INDIRECT("'"&amp;P$4&amp;"'!$E$10:$E$44"),INDIRECT("'"&amp;P$4&amp;"'!$b$10:$b$44"))," ")</f>
        <v/>
      </c>
      <c r="Q5" s="61">
        <f t="array" ref="Q5">_xlfn.IFNA(_xlfn.XLOOKUP($A5,INDIRECT("'"&amp;Q$4&amp;"'!$E$10:$E$44"),INDIRECT("'"&amp;Q$4&amp;"'!$b$10:$b$44"))," ")</f>
        <v/>
      </c>
      <c r="T5" s="61">
        <f>SUM(B5:K5)</f>
        <v/>
      </c>
      <c r="U5" s="19">
        <f>IFERROR(AVERAGEIF(B5:Q5,"&gt;=0"),0)</f>
        <v/>
      </c>
      <c r="V5" s="61">
        <f>IFERROR(MAX(B5:Q5),0)</f>
        <v/>
      </c>
      <c r="W5" s="61">
        <f>IFERROR(_xlfn.MINIFS(B5:Q5,B5:Q5,"&gt;0"),0)</f>
        <v/>
      </c>
      <c r="X5" s="61">
        <f>RANK(T5,$T$5:$T$39)+COUNTIF($T$5:T5,T5)-1</f>
        <v/>
      </c>
      <c r="Y5" s="34">
        <f t="array" ref="Y5">IFERROR(T5/SUMPRODUCT(($B5:$C5&lt;&gt;"")*$B$3:$C$3),0)</f>
        <v/>
      </c>
    </row>
    <row r="6">
      <c r="A6" t="inlineStr">
        <is>
          <t>Brick_Hauss</t>
        </is>
      </c>
      <c r="B6" s="61">
        <f t="array" ref="B6">_xlfn.IFNA(_xlfn.XLOOKUP($A6,INDIRECT("'"&amp;B$4&amp;"'!$E$10:$E$44"),INDIRECT("'"&amp;B$4&amp;"'!$b$10:$b$44"))," ")</f>
        <v/>
      </c>
      <c r="C6" s="61">
        <f t="array" ref="C6">_xlfn.IFNA(_xlfn.XLOOKUP($A6,INDIRECT("'"&amp;C$4&amp;"'!$E$10:$E$44"),INDIRECT("'"&amp;C$4&amp;"'!$b$10:$b$44"))," ")</f>
        <v/>
      </c>
      <c r="D6" s="61">
        <f t="array" ref="D6">_xlfn.IFNA(_xlfn.XLOOKUP($A6,INDIRECT("'"&amp;D$4&amp;"'!$E$10:$E$44"),INDIRECT("'"&amp;D$4&amp;"'!$b$10:$b$44"))," ")</f>
        <v/>
      </c>
      <c r="E6" s="61">
        <f t="array" ref="E6">_xlfn.IFNA(_xlfn.XLOOKUP($A6,INDIRECT("'"&amp;E$4&amp;"'!$E$10:$E$44"),INDIRECT("'"&amp;E$4&amp;"'!$b$10:$b$44"))," ")</f>
        <v/>
      </c>
      <c r="F6" s="61">
        <f t="array" ref="F6">_xlfn.IFNA(_xlfn.XLOOKUP($A6,INDIRECT("'"&amp;F$4&amp;"'!$E$10:$E$44"),INDIRECT("'"&amp;F$4&amp;"'!$b$10:$b$44"))," ")</f>
        <v/>
      </c>
      <c r="G6" s="61">
        <f t="array" ref="G6">_xlfn.IFNA(_xlfn.XLOOKUP($A6,INDIRECT("'"&amp;G$4&amp;"'!$E$10:$E$44"),INDIRECT("'"&amp;G$4&amp;"'!$b$10:$b$44"))," ")</f>
        <v/>
      </c>
      <c r="H6" s="61">
        <f t="array" ref="H6">_xlfn.IFNA(_xlfn.XLOOKUP($A6,INDIRECT("'"&amp;H$4&amp;"'!$E$10:$E$44"),INDIRECT("'"&amp;H$4&amp;"'!$b$10:$b$44"))," ")</f>
        <v/>
      </c>
      <c r="I6" s="61">
        <f t="array" ref="I6">_xlfn.IFNA(_xlfn.XLOOKUP($A6,INDIRECT("'"&amp;I$4&amp;"'!$E$10:$E$44"),INDIRECT("'"&amp;I$4&amp;"'!$b$10:$b$44"))," ")</f>
        <v/>
      </c>
      <c r="J6" s="61">
        <f t="array" ref="J6">_xlfn.IFNA(_xlfn.XLOOKUP($A6,INDIRECT("'"&amp;J$4&amp;"'!$E$10:$E$44"),INDIRECT("'"&amp;J$4&amp;"'!$b$10:$b$44"))," ")</f>
        <v/>
      </c>
      <c r="K6" s="61">
        <f t="array" ref="K6">_xlfn.IFNA(_xlfn.XLOOKUP($A6,INDIRECT("'"&amp;K$4&amp;"'!$E$10:$E$44"),INDIRECT("'"&amp;K$4&amp;"'!$b$10:$b$44"))," ")</f>
        <v/>
      </c>
      <c r="L6" s="61">
        <f t="array" ref="L6">_xlfn.IFNA(_xlfn.XLOOKUP($A6,INDIRECT("'"&amp;L$4&amp;"'!$E$10:$E$44"),INDIRECT("'"&amp;L$4&amp;"'!$b$10:$b$44"))," ")</f>
        <v/>
      </c>
      <c r="M6" s="61">
        <f t="array" ref="M6">_xlfn.IFNA(_xlfn.XLOOKUP($A6,INDIRECT("'"&amp;M$4&amp;"'!$E$10:$E$44"),INDIRECT("'"&amp;M$4&amp;"'!$b$10:$b$44"))," ")</f>
        <v/>
      </c>
      <c r="N6" s="61">
        <f t="array" ref="N6">_xlfn.IFNA(_xlfn.XLOOKUP($A6,INDIRECT("'"&amp;N$4&amp;"'!$E$10:$E$44"),INDIRECT("'"&amp;N$4&amp;"'!$b$10:$b$44"))," ")</f>
        <v/>
      </c>
      <c r="O6" s="61">
        <f t="array" ref="O6">_xlfn.IFNA(_xlfn.XLOOKUP($A6,INDIRECT("'"&amp;O$4&amp;"'!$E$10:$E$44"),INDIRECT("'"&amp;O$4&amp;"'!$b$10:$b$44"))," ")</f>
        <v/>
      </c>
      <c r="P6" s="61">
        <f t="array" ref="P6">_xlfn.IFNA(_xlfn.XLOOKUP($A6,INDIRECT("'"&amp;P$4&amp;"'!$E$10:$E$44"),INDIRECT("'"&amp;P$4&amp;"'!$b$10:$b$44"))," ")</f>
        <v/>
      </c>
      <c r="Q6" s="61">
        <f t="array" ref="Q6">_xlfn.IFNA(_xlfn.XLOOKUP($A6,INDIRECT("'"&amp;Q$4&amp;"'!$E$10:$E$44"),INDIRECT("'"&amp;Q$4&amp;"'!$b$10:$b$44"))," ")</f>
        <v/>
      </c>
      <c r="T6" s="61">
        <f>SUM(B6:K6)</f>
        <v/>
      </c>
      <c r="U6" s="19">
        <f>IFERROR(AVERAGEIF(B6:Q6,"&gt;=0"),0)</f>
        <v/>
      </c>
      <c r="V6" s="61">
        <f>IFERROR(MAX(B6:Q6),0)</f>
        <v/>
      </c>
      <c r="W6" s="61">
        <f>IFERROR(_xlfn.MINIFS(B6:Q6,B6:Q6,"&gt;0"),0)</f>
        <v/>
      </c>
      <c r="X6" s="61">
        <f>RANK(T6,$T$5:$T$39)+COUNTIF($T$5:T6,T6)-1</f>
        <v/>
      </c>
      <c r="Y6" s="34">
        <f t="array" ref="Y6">IFERROR(T6/SUMPRODUCT(($B6:$C6&lt;&gt;"")*$B$3:$C$3),0)</f>
        <v/>
      </c>
    </row>
    <row r="7">
      <c r="A7" t="inlineStr">
        <is>
          <t>CraneGuy936</t>
        </is>
      </c>
      <c r="B7" s="61">
        <f t="array" ref="B7">_xlfn.IFNA(_xlfn.XLOOKUP($A7,INDIRECT("'"&amp;B$4&amp;"'!$E$10:$E$44"),INDIRECT("'"&amp;B$4&amp;"'!$b$10:$b$44"))," ")</f>
        <v/>
      </c>
      <c r="C7" s="61">
        <f t="array" ref="C7">_xlfn.IFNA(_xlfn.XLOOKUP($A7,INDIRECT("'"&amp;C$4&amp;"'!$E$10:$E$44"),INDIRECT("'"&amp;C$4&amp;"'!$b$10:$b$44"))," ")</f>
        <v/>
      </c>
      <c r="D7" s="61">
        <f t="array" ref="D7">_xlfn.IFNA(_xlfn.XLOOKUP($A7,INDIRECT("'"&amp;D$4&amp;"'!$E$10:$E$44"),INDIRECT("'"&amp;D$4&amp;"'!$b$10:$b$44"))," ")</f>
        <v/>
      </c>
      <c r="E7" s="61">
        <f t="array" ref="E7">_xlfn.IFNA(_xlfn.XLOOKUP($A7,INDIRECT("'"&amp;E$4&amp;"'!$E$10:$E$44"),INDIRECT("'"&amp;E$4&amp;"'!$b$10:$b$44"))," ")</f>
        <v/>
      </c>
      <c r="F7" s="61">
        <f t="array" ref="F7">_xlfn.IFNA(_xlfn.XLOOKUP($A7,INDIRECT("'"&amp;F$4&amp;"'!$E$10:$E$44"),INDIRECT("'"&amp;F$4&amp;"'!$b$10:$b$44"))," ")</f>
        <v/>
      </c>
      <c r="G7" s="61">
        <f t="array" ref="G7">_xlfn.IFNA(_xlfn.XLOOKUP($A7,INDIRECT("'"&amp;G$4&amp;"'!$E$10:$E$44"),INDIRECT("'"&amp;G$4&amp;"'!$b$10:$b$44"))," ")</f>
        <v/>
      </c>
      <c r="H7" s="61">
        <f t="array" ref="H7">_xlfn.IFNA(_xlfn.XLOOKUP($A7,INDIRECT("'"&amp;H$4&amp;"'!$E$10:$E$44"),INDIRECT("'"&amp;H$4&amp;"'!$b$10:$b$44"))," ")</f>
        <v/>
      </c>
      <c r="I7" s="61">
        <f t="array" ref="I7">_xlfn.IFNA(_xlfn.XLOOKUP($A7,INDIRECT("'"&amp;I$4&amp;"'!$E$10:$E$44"),INDIRECT("'"&amp;I$4&amp;"'!$b$10:$b$44"))," ")</f>
        <v/>
      </c>
      <c r="J7" s="61">
        <f t="array" ref="J7">_xlfn.IFNA(_xlfn.XLOOKUP($A7,INDIRECT("'"&amp;J$4&amp;"'!$E$10:$E$44"),INDIRECT("'"&amp;J$4&amp;"'!$b$10:$b$44"))," ")</f>
        <v/>
      </c>
      <c r="K7" s="61">
        <f t="array" ref="K7">_xlfn.IFNA(_xlfn.XLOOKUP($A7,INDIRECT("'"&amp;K$4&amp;"'!$E$10:$E$44"),INDIRECT("'"&amp;K$4&amp;"'!$b$10:$b$44"))," ")</f>
        <v/>
      </c>
      <c r="L7" s="61">
        <f t="array" ref="L7">_xlfn.IFNA(_xlfn.XLOOKUP($A7,INDIRECT("'"&amp;L$4&amp;"'!$E$10:$E$44"),INDIRECT("'"&amp;L$4&amp;"'!$b$10:$b$44"))," ")</f>
        <v/>
      </c>
      <c r="M7" s="61">
        <f t="array" ref="M7">_xlfn.IFNA(_xlfn.XLOOKUP($A7,INDIRECT("'"&amp;M$4&amp;"'!$E$10:$E$44"),INDIRECT("'"&amp;M$4&amp;"'!$b$10:$b$44"))," ")</f>
        <v/>
      </c>
      <c r="N7" s="61">
        <f t="array" ref="N7">_xlfn.IFNA(_xlfn.XLOOKUP($A7,INDIRECT("'"&amp;N$4&amp;"'!$E$10:$E$44"),INDIRECT("'"&amp;N$4&amp;"'!$b$10:$b$44"))," ")</f>
        <v/>
      </c>
      <c r="O7" s="61">
        <f t="array" ref="O7">_xlfn.IFNA(_xlfn.XLOOKUP($A7,INDIRECT("'"&amp;O$4&amp;"'!$E$10:$E$44"),INDIRECT("'"&amp;O$4&amp;"'!$b$10:$b$44"))," ")</f>
        <v/>
      </c>
      <c r="P7" s="61">
        <f t="array" ref="P7">_xlfn.IFNA(_xlfn.XLOOKUP($A7,INDIRECT("'"&amp;P$4&amp;"'!$E$10:$E$44"),INDIRECT("'"&amp;P$4&amp;"'!$b$10:$b$44"))," ")</f>
        <v/>
      </c>
      <c r="Q7" s="61">
        <f t="array" ref="Q7">_xlfn.IFNA(_xlfn.XLOOKUP($A7,INDIRECT("'"&amp;Q$4&amp;"'!$E$10:$E$44"),INDIRECT("'"&amp;Q$4&amp;"'!$b$10:$b$44"))," ")</f>
        <v/>
      </c>
      <c r="T7" s="61">
        <f>SUM(B7:K7)</f>
        <v/>
      </c>
      <c r="U7" s="19">
        <f>IFERROR(AVERAGEIF(B7:Q7,"&gt;=0"),0)</f>
        <v/>
      </c>
      <c r="V7" s="61">
        <f>IFERROR(MAX(B7:Q7),0)</f>
        <v/>
      </c>
      <c r="W7" s="61">
        <f>IFERROR(_xlfn.MINIFS(B7:Q7,B7:Q7,"&gt;0"),0)</f>
        <v/>
      </c>
      <c r="X7" s="61">
        <f>RANK(T7,$T$5:$T$39)+COUNTIF($T$5:T7,T7)-1</f>
        <v/>
      </c>
      <c r="Y7" s="34">
        <f t="array" ref="Y7">IFERROR(T7/SUMPRODUCT(($B7:$C7&lt;&gt;"")*$B$3:$C$3),0)</f>
        <v/>
      </c>
    </row>
    <row r="8">
      <c r="A8" t="inlineStr">
        <is>
          <t>cuetop</t>
        </is>
      </c>
      <c r="B8" s="61">
        <f t="array" ref="B8">_xlfn.IFNA(_xlfn.XLOOKUP($A8,INDIRECT("'"&amp;B$4&amp;"'!$E$10:$E$44"),INDIRECT("'"&amp;B$4&amp;"'!$b$10:$b$44"))," ")</f>
        <v/>
      </c>
      <c r="C8" s="61">
        <f t="array" ref="C8">_xlfn.IFNA(_xlfn.XLOOKUP($A8,INDIRECT("'"&amp;C$4&amp;"'!$E$10:$E$44"),INDIRECT("'"&amp;C$4&amp;"'!$b$10:$b$44"))," ")</f>
        <v/>
      </c>
      <c r="D8" s="61">
        <f t="array" ref="D8">_xlfn.IFNA(_xlfn.XLOOKUP($A8,INDIRECT("'"&amp;D$4&amp;"'!$E$10:$E$44"),INDIRECT("'"&amp;D$4&amp;"'!$b$10:$b$44"))," ")</f>
        <v/>
      </c>
      <c r="E8" s="61">
        <f t="array" ref="E8">_xlfn.IFNA(_xlfn.XLOOKUP($A8,INDIRECT("'"&amp;E$4&amp;"'!$E$10:$E$44"),INDIRECT("'"&amp;E$4&amp;"'!$b$10:$b$44"))," ")</f>
        <v/>
      </c>
      <c r="F8" s="61">
        <f t="array" ref="F8">_xlfn.IFNA(_xlfn.XLOOKUP($A8,INDIRECT("'"&amp;F$4&amp;"'!$E$10:$E$44"),INDIRECT("'"&amp;F$4&amp;"'!$b$10:$b$44"))," ")</f>
        <v/>
      </c>
      <c r="G8" s="61">
        <f t="array" ref="G8">_xlfn.IFNA(_xlfn.XLOOKUP($A8,INDIRECT("'"&amp;G$4&amp;"'!$E$10:$E$44"),INDIRECT("'"&amp;G$4&amp;"'!$b$10:$b$44"))," ")</f>
        <v/>
      </c>
      <c r="H8" s="61">
        <f t="array" ref="H8">_xlfn.IFNA(_xlfn.XLOOKUP($A8,INDIRECT("'"&amp;H$4&amp;"'!$E$10:$E$44"),INDIRECT("'"&amp;H$4&amp;"'!$b$10:$b$44"))," ")</f>
        <v/>
      </c>
      <c r="I8" s="61">
        <f t="array" ref="I8">_xlfn.IFNA(_xlfn.XLOOKUP($A8,INDIRECT("'"&amp;I$4&amp;"'!$E$10:$E$44"),INDIRECT("'"&amp;I$4&amp;"'!$b$10:$b$44"))," ")</f>
        <v/>
      </c>
      <c r="J8" s="61">
        <f t="array" ref="J8">_xlfn.IFNA(_xlfn.XLOOKUP($A8,INDIRECT("'"&amp;J$4&amp;"'!$E$10:$E$44"),INDIRECT("'"&amp;J$4&amp;"'!$b$10:$b$44"))," ")</f>
        <v/>
      </c>
      <c r="K8" s="61">
        <f t="array" ref="K8">_xlfn.IFNA(_xlfn.XLOOKUP($A8,INDIRECT("'"&amp;K$4&amp;"'!$E$10:$E$44"),INDIRECT("'"&amp;K$4&amp;"'!$b$10:$b$44"))," ")</f>
        <v/>
      </c>
      <c r="L8" s="61">
        <f t="array" ref="L8">_xlfn.IFNA(_xlfn.XLOOKUP($A8,INDIRECT("'"&amp;L$4&amp;"'!$E$10:$E$44"),INDIRECT("'"&amp;L$4&amp;"'!$b$10:$b$44"))," ")</f>
        <v/>
      </c>
      <c r="M8" s="61">
        <f t="array" ref="M8">_xlfn.IFNA(_xlfn.XLOOKUP($A8,INDIRECT("'"&amp;M$4&amp;"'!$E$10:$E$44"),INDIRECT("'"&amp;M$4&amp;"'!$b$10:$b$44"))," ")</f>
        <v/>
      </c>
      <c r="N8" s="61">
        <f t="array" ref="N8">_xlfn.IFNA(_xlfn.XLOOKUP($A8,INDIRECT("'"&amp;N$4&amp;"'!$E$10:$E$44"),INDIRECT("'"&amp;N$4&amp;"'!$b$10:$b$44"))," ")</f>
        <v/>
      </c>
      <c r="O8" s="61">
        <f t="array" ref="O8">_xlfn.IFNA(_xlfn.XLOOKUP($A8,INDIRECT("'"&amp;O$4&amp;"'!$E$10:$E$44"),INDIRECT("'"&amp;O$4&amp;"'!$b$10:$b$44"))," ")</f>
        <v/>
      </c>
      <c r="P8" s="61">
        <f t="array" ref="P8">_xlfn.IFNA(_xlfn.XLOOKUP($A8,INDIRECT("'"&amp;P$4&amp;"'!$E$10:$E$44"),INDIRECT("'"&amp;P$4&amp;"'!$b$10:$b$44"))," ")</f>
        <v/>
      </c>
      <c r="Q8" s="61">
        <f t="array" ref="Q8">_xlfn.IFNA(_xlfn.XLOOKUP($A8,INDIRECT("'"&amp;Q$4&amp;"'!$E$10:$E$44"),INDIRECT("'"&amp;Q$4&amp;"'!$b$10:$b$44"))," ")</f>
        <v/>
      </c>
      <c r="T8" s="61">
        <f>SUM(B8:K8)</f>
        <v/>
      </c>
      <c r="U8" s="19">
        <f>IFERROR(AVERAGEIF(B8:Q8,"&gt;=0"),0)</f>
        <v/>
      </c>
      <c r="V8" s="61">
        <f>IFERROR(MAX(B8:Q8),0)</f>
        <v/>
      </c>
      <c r="W8" s="61">
        <f>IFERROR(_xlfn.MINIFS(B8:Q8,B8:Q8,"&gt;0"),0)</f>
        <v/>
      </c>
      <c r="X8" s="61">
        <f>RANK(T8,$T$5:$T$39)+COUNTIF($T$5:T8,T8)-1</f>
        <v/>
      </c>
      <c r="Y8" s="34">
        <f t="array" ref="Y8">IFERROR(T8/SUMPRODUCT(($B8:$C8&lt;&gt;"")*$B$3:$C$3),0)</f>
        <v/>
      </c>
    </row>
    <row r="9">
      <c r="A9" t="inlineStr">
        <is>
          <t>Ddupuy</t>
        </is>
      </c>
      <c r="B9" s="61">
        <f t="array" ref="B9">_xlfn.IFNA(_xlfn.XLOOKUP($A9,INDIRECT("'"&amp;B$4&amp;"'!$E$10:$E$44"),INDIRECT("'"&amp;B$4&amp;"'!$b$10:$b$44"))," ")</f>
        <v/>
      </c>
      <c r="C9" s="61">
        <f t="array" ref="C9">_xlfn.IFNA(_xlfn.XLOOKUP($A9,INDIRECT("'"&amp;C$4&amp;"'!$E$10:$E$44"),INDIRECT("'"&amp;C$4&amp;"'!$b$10:$b$44"))," ")</f>
        <v/>
      </c>
      <c r="D9" s="61">
        <f t="array" ref="D9">_xlfn.IFNA(_xlfn.XLOOKUP($A9,INDIRECT("'"&amp;D$4&amp;"'!$E$10:$E$44"),INDIRECT("'"&amp;D$4&amp;"'!$b$10:$b$44"))," ")</f>
        <v/>
      </c>
      <c r="E9" s="61">
        <f t="array" ref="E9">_xlfn.IFNA(_xlfn.XLOOKUP($A9,INDIRECT("'"&amp;E$4&amp;"'!$E$10:$E$44"),INDIRECT("'"&amp;E$4&amp;"'!$b$10:$b$44"))," ")</f>
        <v/>
      </c>
      <c r="F9" s="61">
        <f t="array" ref="F9">_xlfn.IFNA(_xlfn.XLOOKUP($A9,INDIRECT("'"&amp;F$4&amp;"'!$E$10:$E$44"),INDIRECT("'"&amp;F$4&amp;"'!$b$10:$b$44"))," ")</f>
        <v/>
      </c>
      <c r="G9" s="61">
        <f t="array" ref="G9">_xlfn.IFNA(_xlfn.XLOOKUP($A9,INDIRECT("'"&amp;G$4&amp;"'!$E$10:$E$44"),INDIRECT("'"&amp;G$4&amp;"'!$b$10:$b$44"))," ")</f>
        <v/>
      </c>
      <c r="H9" s="61">
        <f t="array" ref="H9">_xlfn.IFNA(_xlfn.XLOOKUP($A9,INDIRECT("'"&amp;H$4&amp;"'!$E$10:$E$44"),INDIRECT("'"&amp;H$4&amp;"'!$b$10:$b$44"))," ")</f>
        <v/>
      </c>
      <c r="I9" s="61">
        <f t="array" ref="I9">_xlfn.IFNA(_xlfn.XLOOKUP($A9,INDIRECT("'"&amp;I$4&amp;"'!$E$10:$E$44"),INDIRECT("'"&amp;I$4&amp;"'!$b$10:$b$44"))," ")</f>
        <v/>
      </c>
      <c r="J9" s="61">
        <f t="array" ref="J9">_xlfn.IFNA(_xlfn.XLOOKUP($A9,INDIRECT("'"&amp;J$4&amp;"'!$E$10:$E$44"),INDIRECT("'"&amp;J$4&amp;"'!$b$10:$b$44"))," ")</f>
        <v/>
      </c>
      <c r="K9" s="61">
        <f t="array" ref="K9">_xlfn.IFNA(_xlfn.XLOOKUP($A9,INDIRECT("'"&amp;K$4&amp;"'!$E$10:$E$44"),INDIRECT("'"&amp;K$4&amp;"'!$b$10:$b$44"))," ")</f>
        <v/>
      </c>
      <c r="L9" s="61">
        <f t="array" ref="L9">_xlfn.IFNA(_xlfn.XLOOKUP($A9,INDIRECT("'"&amp;L$4&amp;"'!$E$10:$E$44"),INDIRECT("'"&amp;L$4&amp;"'!$b$10:$b$44"))," ")</f>
        <v/>
      </c>
      <c r="M9" s="61">
        <f t="array" ref="M9">_xlfn.IFNA(_xlfn.XLOOKUP($A9,INDIRECT("'"&amp;M$4&amp;"'!$E$10:$E$44"),INDIRECT("'"&amp;M$4&amp;"'!$b$10:$b$44"))," ")</f>
        <v/>
      </c>
      <c r="N9" s="61">
        <f t="array" ref="N9">_xlfn.IFNA(_xlfn.XLOOKUP($A9,INDIRECT("'"&amp;N$4&amp;"'!$E$10:$E$44"),INDIRECT("'"&amp;N$4&amp;"'!$b$10:$b$44"))," ")</f>
        <v/>
      </c>
      <c r="O9" s="61">
        <f t="array" ref="O9">_xlfn.IFNA(_xlfn.XLOOKUP($A9,INDIRECT("'"&amp;O$4&amp;"'!$E$10:$E$44"),INDIRECT("'"&amp;O$4&amp;"'!$b$10:$b$44"))," ")</f>
        <v/>
      </c>
      <c r="P9" s="61">
        <f t="array" ref="P9">_xlfn.IFNA(_xlfn.XLOOKUP($A9,INDIRECT("'"&amp;P$4&amp;"'!$E$10:$E$44"),INDIRECT("'"&amp;P$4&amp;"'!$b$10:$b$44"))," ")</f>
        <v/>
      </c>
      <c r="Q9" s="61">
        <f t="array" ref="Q9">_xlfn.IFNA(_xlfn.XLOOKUP($A9,INDIRECT("'"&amp;Q$4&amp;"'!$E$10:$E$44"),INDIRECT("'"&amp;Q$4&amp;"'!$b$10:$b$44"))," ")</f>
        <v/>
      </c>
      <c r="T9" s="61">
        <f>SUM(B9:K9)</f>
        <v/>
      </c>
      <c r="U9" s="19">
        <f>IFERROR(AVERAGEIF(B9:Q9,"&gt;=0"),0)</f>
        <v/>
      </c>
      <c r="V9" s="61">
        <f>IFERROR(MAX(B9:Q9),0)</f>
        <v/>
      </c>
      <c r="W9" s="61">
        <f>IFERROR(_xlfn.MINIFS(B9:Q9,B9:Q9,"&gt;0"),0)</f>
        <v/>
      </c>
      <c r="X9" s="61">
        <f>RANK(T9,$T$5:$T$39)+COUNTIF($T$5:T9,T9)-1</f>
        <v/>
      </c>
      <c r="Y9" s="34">
        <f t="array" ref="Y9">IFERROR(T9/SUMPRODUCT(($B9:$C9&lt;&gt;"")*$B$3:$C$3),0)</f>
        <v/>
      </c>
    </row>
    <row r="10">
      <c r="A10" t="inlineStr">
        <is>
          <t>Debe</t>
        </is>
      </c>
      <c r="B10" s="61">
        <f t="array" ref="B10">_xlfn.IFNA(_xlfn.XLOOKUP($A10,INDIRECT("'"&amp;B$4&amp;"'!$E$10:$E$44"),INDIRECT("'"&amp;B$4&amp;"'!$b$10:$b$44"))," ")</f>
        <v/>
      </c>
      <c r="C10" s="61">
        <f t="array" ref="C10">_xlfn.IFNA(_xlfn.XLOOKUP($A10,INDIRECT("'"&amp;C$4&amp;"'!$E$10:$E$44"),INDIRECT("'"&amp;C$4&amp;"'!$b$10:$b$44"))," ")</f>
        <v/>
      </c>
      <c r="D10" s="61">
        <f t="array" ref="D10">_xlfn.IFNA(_xlfn.XLOOKUP($A10,INDIRECT("'"&amp;D$4&amp;"'!$E$10:$E$44"),INDIRECT("'"&amp;D$4&amp;"'!$b$10:$b$44"))," ")</f>
        <v/>
      </c>
      <c r="E10" s="61">
        <f t="array" ref="E10">_xlfn.IFNA(_xlfn.XLOOKUP($A10,INDIRECT("'"&amp;E$4&amp;"'!$E$10:$E$44"),INDIRECT("'"&amp;E$4&amp;"'!$b$10:$b$44"))," ")</f>
        <v/>
      </c>
      <c r="F10" s="61">
        <f t="array" ref="F10">_xlfn.IFNA(_xlfn.XLOOKUP($A10,INDIRECT("'"&amp;F$4&amp;"'!$E$10:$E$44"),INDIRECT("'"&amp;F$4&amp;"'!$b$10:$b$44"))," ")</f>
        <v/>
      </c>
      <c r="G10" s="61">
        <f t="array" ref="G10">_xlfn.IFNA(_xlfn.XLOOKUP($A10,INDIRECT("'"&amp;G$4&amp;"'!$E$10:$E$44"),INDIRECT("'"&amp;G$4&amp;"'!$b$10:$b$44"))," ")</f>
        <v/>
      </c>
      <c r="H10" s="61">
        <f t="array" ref="H10">_xlfn.IFNA(_xlfn.XLOOKUP($A10,INDIRECT("'"&amp;H$4&amp;"'!$E$10:$E$44"),INDIRECT("'"&amp;H$4&amp;"'!$b$10:$b$44"))," ")</f>
        <v/>
      </c>
      <c r="I10" s="61">
        <f t="array" ref="I10">_xlfn.IFNA(_xlfn.XLOOKUP($A10,INDIRECT("'"&amp;I$4&amp;"'!$E$10:$E$44"),INDIRECT("'"&amp;I$4&amp;"'!$b$10:$b$44"))," ")</f>
        <v/>
      </c>
      <c r="J10" s="61">
        <f t="array" ref="J10">_xlfn.IFNA(_xlfn.XLOOKUP($A10,INDIRECT("'"&amp;J$4&amp;"'!$E$10:$E$44"),INDIRECT("'"&amp;J$4&amp;"'!$b$10:$b$44"))," ")</f>
        <v/>
      </c>
      <c r="K10" s="61">
        <f t="array" ref="K10">_xlfn.IFNA(_xlfn.XLOOKUP($A10,INDIRECT("'"&amp;K$4&amp;"'!$E$10:$E$44"),INDIRECT("'"&amp;K$4&amp;"'!$b$10:$b$44"))," ")</f>
        <v/>
      </c>
      <c r="L10" s="61">
        <f t="array" ref="L10">_xlfn.IFNA(_xlfn.XLOOKUP($A10,INDIRECT("'"&amp;L$4&amp;"'!$E$10:$E$44"),INDIRECT("'"&amp;L$4&amp;"'!$b$10:$b$44"))," ")</f>
        <v/>
      </c>
      <c r="M10" s="61">
        <f t="array" ref="M10">_xlfn.IFNA(_xlfn.XLOOKUP($A10,INDIRECT("'"&amp;M$4&amp;"'!$E$10:$E$44"),INDIRECT("'"&amp;M$4&amp;"'!$b$10:$b$44"))," ")</f>
        <v/>
      </c>
      <c r="N10" s="61">
        <f t="array" ref="N10">_xlfn.IFNA(_xlfn.XLOOKUP($A10,INDIRECT("'"&amp;N$4&amp;"'!$E$10:$E$44"),INDIRECT("'"&amp;N$4&amp;"'!$b$10:$b$44"))," ")</f>
        <v/>
      </c>
      <c r="O10" s="61">
        <f t="array" ref="O10">_xlfn.IFNA(_xlfn.XLOOKUP($A10,INDIRECT("'"&amp;O$4&amp;"'!$E$10:$E$44"),INDIRECT("'"&amp;O$4&amp;"'!$b$10:$b$44"))," ")</f>
        <v/>
      </c>
      <c r="P10" s="61">
        <f t="array" ref="P10">_xlfn.IFNA(_xlfn.XLOOKUP($A10,INDIRECT("'"&amp;P$4&amp;"'!$E$10:$E$44"),INDIRECT("'"&amp;P$4&amp;"'!$b$10:$b$44"))," ")</f>
        <v/>
      </c>
      <c r="Q10" s="61">
        <f t="array" ref="Q10">_xlfn.IFNA(_xlfn.XLOOKUP($A10,INDIRECT("'"&amp;Q$4&amp;"'!$E$10:$E$44"),INDIRECT("'"&amp;Q$4&amp;"'!$b$10:$b$44"))," ")</f>
        <v/>
      </c>
      <c r="T10" s="61">
        <f>SUM(B10:K10)</f>
        <v/>
      </c>
      <c r="U10" s="19">
        <f>IFERROR(AVERAGEIF(B10:Q10,"&gt;=0"),0)</f>
        <v/>
      </c>
      <c r="V10" s="61">
        <f>IFERROR(MAX(B10:Q10),0)</f>
        <v/>
      </c>
      <c r="W10" s="61">
        <f>IFERROR(_xlfn.MINIFS(B10:Q10,B10:Q10,"&gt;0"),0)</f>
        <v/>
      </c>
      <c r="X10" s="61">
        <f>RANK(T10,$T$5:$T$39)+COUNTIF($T$5:T10,T10)-1</f>
        <v/>
      </c>
      <c r="Y10" s="34">
        <f t="array" ref="Y10">IFERROR(T10/SUMPRODUCT(($B10:$C10&lt;&gt;"")*$B$3:$C$3),0)</f>
        <v/>
      </c>
    </row>
    <row r="11">
      <c r="A11" t="inlineStr">
        <is>
          <t>DPSOG</t>
        </is>
      </c>
      <c r="B11" s="61">
        <f t="array" ref="B11">_xlfn.IFNA(_xlfn.XLOOKUP($A11,INDIRECT("'"&amp;B$4&amp;"'!$E$10:$E$44"),INDIRECT("'"&amp;B$4&amp;"'!$b$10:$b$44"))," ")</f>
        <v/>
      </c>
      <c r="C11" s="61">
        <f t="array" ref="C11">_xlfn.IFNA(_xlfn.XLOOKUP($A11,INDIRECT("'"&amp;C$4&amp;"'!$E$10:$E$44"),INDIRECT("'"&amp;C$4&amp;"'!$b$10:$b$44"))," ")</f>
        <v/>
      </c>
      <c r="D11" s="61">
        <f t="array" ref="D11">_xlfn.IFNA(_xlfn.XLOOKUP($A11,INDIRECT("'"&amp;D$4&amp;"'!$E$10:$E$44"),INDIRECT("'"&amp;D$4&amp;"'!$b$10:$b$44"))," ")</f>
        <v/>
      </c>
      <c r="E11" s="61">
        <f t="array" ref="E11">_xlfn.IFNA(_xlfn.XLOOKUP($A11,INDIRECT("'"&amp;E$4&amp;"'!$E$10:$E$44"),INDIRECT("'"&amp;E$4&amp;"'!$b$10:$b$44"))," ")</f>
        <v/>
      </c>
      <c r="F11" s="61">
        <f t="array" ref="F11">_xlfn.IFNA(_xlfn.XLOOKUP($A11,INDIRECT("'"&amp;F$4&amp;"'!$E$10:$E$44"),INDIRECT("'"&amp;F$4&amp;"'!$b$10:$b$44"))," ")</f>
        <v/>
      </c>
      <c r="G11" s="61">
        <f t="array" ref="G11">_xlfn.IFNA(_xlfn.XLOOKUP($A11,INDIRECT("'"&amp;G$4&amp;"'!$E$10:$E$44"),INDIRECT("'"&amp;G$4&amp;"'!$b$10:$b$44"))," ")</f>
        <v/>
      </c>
      <c r="H11" s="61">
        <f t="array" ref="H11">_xlfn.IFNA(_xlfn.XLOOKUP($A11,INDIRECT("'"&amp;H$4&amp;"'!$E$10:$E$44"),INDIRECT("'"&amp;H$4&amp;"'!$b$10:$b$44"))," ")</f>
        <v/>
      </c>
      <c r="I11" s="61">
        <f t="array" ref="I11">_xlfn.IFNA(_xlfn.XLOOKUP($A11,INDIRECT("'"&amp;I$4&amp;"'!$E$10:$E$44"),INDIRECT("'"&amp;I$4&amp;"'!$b$10:$b$44"))," ")</f>
        <v/>
      </c>
      <c r="J11" s="61">
        <f t="array" ref="J11">_xlfn.IFNA(_xlfn.XLOOKUP($A11,INDIRECT("'"&amp;J$4&amp;"'!$E$10:$E$44"),INDIRECT("'"&amp;J$4&amp;"'!$b$10:$b$44"))," ")</f>
        <v/>
      </c>
      <c r="K11" s="61">
        <f t="array" ref="K11">_xlfn.IFNA(_xlfn.XLOOKUP($A11,INDIRECT("'"&amp;K$4&amp;"'!$E$10:$E$44"),INDIRECT("'"&amp;K$4&amp;"'!$b$10:$b$44"))," ")</f>
        <v/>
      </c>
      <c r="L11" s="61">
        <f t="array" ref="L11">_xlfn.IFNA(_xlfn.XLOOKUP($A11,INDIRECT("'"&amp;L$4&amp;"'!$E$10:$E$44"),INDIRECT("'"&amp;L$4&amp;"'!$b$10:$b$44"))," ")</f>
        <v/>
      </c>
      <c r="M11" s="61">
        <f t="array" ref="M11">_xlfn.IFNA(_xlfn.XLOOKUP($A11,INDIRECT("'"&amp;M$4&amp;"'!$E$10:$E$44"),INDIRECT("'"&amp;M$4&amp;"'!$b$10:$b$44"))," ")</f>
        <v/>
      </c>
      <c r="N11" s="61">
        <f t="array" ref="N11">_xlfn.IFNA(_xlfn.XLOOKUP($A11,INDIRECT("'"&amp;N$4&amp;"'!$E$10:$E$44"),INDIRECT("'"&amp;N$4&amp;"'!$b$10:$b$44"))," ")</f>
        <v/>
      </c>
      <c r="O11" s="61">
        <f t="array" ref="O11">_xlfn.IFNA(_xlfn.XLOOKUP($A11,INDIRECT("'"&amp;O$4&amp;"'!$E$10:$E$44"),INDIRECT("'"&amp;O$4&amp;"'!$b$10:$b$44"))," ")</f>
        <v/>
      </c>
      <c r="P11" s="61">
        <f t="array" ref="P11">_xlfn.IFNA(_xlfn.XLOOKUP($A11,INDIRECT("'"&amp;P$4&amp;"'!$E$10:$E$44"),INDIRECT("'"&amp;P$4&amp;"'!$b$10:$b$44"))," ")</f>
        <v/>
      </c>
      <c r="Q11" s="61">
        <f t="array" ref="Q11">_xlfn.IFNA(_xlfn.XLOOKUP($A11,INDIRECT("'"&amp;Q$4&amp;"'!$E$10:$E$44"),INDIRECT("'"&amp;Q$4&amp;"'!$b$10:$b$44"))," ")</f>
        <v/>
      </c>
      <c r="T11" s="61">
        <f>SUM(B11:K11)</f>
        <v/>
      </c>
      <c r="U11" s="19">
        <f>IFERROR(AVERAGEIF(B11:Q11,"&gt;=0"),0)</f>
        <v/>
      </c>
      <c r="V11" s="61">
        <f>IFERROR(MAX(B11:Q11),0)</f>
        <v/>
      </c>
      <c r="W11" s="61">
        <f>IFERROR(_xlfn.MINIFS(B11:Q11,B11:Q11,"&gt;0"),0)</f>
        <v/>
      </c>
      <c r="X11" s="61">
        <f>RANK(T11,$T$5:$T$39)+COUNTIF($T$5:T11,T11)-1</f>
        <v/>
      </c>
      <c r="Y11" s="34">
        <f t="array" ref="Y11">IFERROR(T11/SUMPRODUCT(($B11:$C11&lt;&gt;"")*$B$3:$C$3),0)</f>
        <v/>
      </c>
    </row>
    <row r="12">
      <c r="A12" t="inlineStr">
        <is>
          <t>FMF Doc</t>
        </is>
      </c>
      <c r="B12" s="61">
        <f t="array" ref="B12">_xlfn.IFNA(_xlfn.XLOOKUP($A12,INDIRECT("'"&amp;B$4&amp;"'!$E$10:$E$44"),INDIRECT("'"&amp;B$4&amp;"'!$b$10:$b$44"))," ")</f>
        <v/>
      </c>
      <c r="C12" s="61">
        <f t="array" ref="C12">_xlfn.IFNA(_xlfn.XLOOKUP($A12,INDIRECT("'"&amp;C$4&amp;"'!$E$10:$E$44"),INDIRECT("'"&amp;C$4&amp;"'!$b$10:$b$44"))," ")</f>
        <v/>
      </c>
      <c r="D12" s="61">
        <f t="array" ref="D12">_xlfn.IFNA(_xlfn.XLOOKUP($A12,INDIRECT("'"&amp;D$4&amp;"'!$E$10:$E$44"),INDIRECT("'"&amp;D$4&amp;"'!$b$10:$b$44"))," ")</f>
        <v/>
      </c>
      <c r="E12" s="61">
        <f t="array" ref="E12">_xlfn.IFNA(_xlfn.XLOOKUP($A12,INDIRECT("'"&amp;E$4&amp;"'!$E$10:$E$44"),INDIRECT("'"&amp;E$4&amp;"'!$b$10:$b$44"))," ")</f>
        <v/>
      </c>
      <c r="F12" s="61">
        <f t="array" ref="F12">_xlfn.IFNA(_xlfn.XLOOKUP($A12,INDIRECT("'"&amp;F$4&amp;"'!$E$10:$E$44"),INDIRECT("'"&amp;F$4&amp;"'!$b$10:$b$44"))," ")</f>
        <v/>
      </c>
      <c r="G12" s="61">
        <f t="array" ref="G12">_xlfn.IFNA(_xlfn.XLOOKUP($A12,INDIRECT("'"&amp;G$4&amp;"'!$E$10:$E$44"),INDIRECT("'"&amp;G$4&amp;"'!$b$10:$b$44"))," ")</f>
        <v/>
      </c>
      <c r="H12" s="61">
        <f t="array" ref="H12">_xlfn.IFNA(_xlfn.XLOOKUP($A12,INDIRECT("'"&amp;H$4&amp;"'!$E$10:$E$44"),INDIRECT("'"&amp;H$4&amp;"'!$b$10:$b$44"))," ")</f>
        <v/>
      </c>
      <c r="I12" s="61">
        <f t="array" ref="I12">_xlfn.IFNA(_xlfn.XLOOKUP($A12,INDIRECT("'"&amp;I$4&amp;"'!$E$10:$E$44"),INDIRECT("'"&amp;I$4&amp;"'!$b$10:$b$44"))," ")</f>
        <v/>
      </c>
      <c r="J12" s="61">
        <f t="array" ref="J12">_xlfn.IFNA(_xlfn.XLOOKUP($A12,INDIRECT("'"&amp;J$4&amp;"'!$E$10:$E$44"),INDIRECT("'"&amp;J$4&amp;"'!$b$10:$b$44"))," ")</f>
        <v/>
      </c>
      <c r="K12" s="61">
        <f t="array" ref="K12">_xlfn.IFNA(_xlfn.XLOOKUP($A12,INDIRECT("'"&amp;K$4&amp;"'!$E$10:$E$44"),INDIRECT("'"&amp;K$4&amp;"'!$b$10:$b$44"))," ")</f>
        <v/>
      </c>
      <c r="L12" s="61">
        <f t="array" ref="L12">_xlfn.IFNA(_xlfn.XLOOKUP($A12,INDIRECT("'"&amp;L$4&amp;"'!$E$10:$E$44"),INDIRECT("'"&amp;L$4&amp;"'!$b$10:$b$44"))," ")</f>
        <v/>
      </c>
      <c r="M12" s="61">
        <f t="array" ref="M12">_xlfn.IFNA(_xlfn.XLOOKUP($A12,INDIRECT("'"&amp;M$4&amp;"'!$E$10:$E$44"),INDIRECT("'"&amp;M$4&amp;"'!$b$10:$b$44"))," ")</f>
        <v/>
      </c>
      <c r="N12" s="61">
        <f t="array" ref="N12">_xlfn.IFNA(_xlfn.XLOOKUP($A12,INDIRECT("'"&amp;N$4&amp;"'!$E$10:$E$44"),INDIRECT("'"&amp;N$4&amp;"'!$b$10:$b$44"))," ")</f>
        <v/>
      </c>
      <c r="O12" s="61">
        <f t="array" ref="O12">_xlfn.IFNA(_xlfn.XLOOKUP($A12,INDIRECT("'"&amp;O$4&amp;"'!$E$10:$E$44"),INDIRECT("'"&amp;O$4&amp;"'!$b$10:$b$44"))," ")</f>
        <v/>
      </c>
      <c r="P12" s="61">
        <f t="array" ref="P12">_xlfn.IFNA(_xlfn.XLOOKUP($A12,INDIRECT("'"&amp;P$4&amp;"'!$E$10:$E$44"),INDIRECT("'"&amp;P$4&amp;"'!$b$10:$b$44"))," ")</f>
        <v/>
      </c>
      <c r="Q12" s="61">
        <f t="array" ref="Q12">_xlfn.IFNA(_xlfn.XLOOKUP($A12,INDIRECT("'"&amp;Q$4&amp;"'!$E$10:$E$44"),INDIRECT("'"&amp;Q$4&amp;"'!$b$10:$b$44"))," ")</f>
        <v/>
      </c>
      <c r="T12" s="61">
        <f>SUM(B12:K12)</f>
        <v/>
      </c>
      <c r="U12" s="19">
        <f>IFERROR(AVERAGEIF(B12:Q12,"&gt;=0"),0)</f>
        <v/>
      </c>
      <c r="V12" s="61">
        <f>IFERROR(MAX(B12:Q12),0)</f>
        <v/>
      </c>
      <c r="W12" s="61">
        <f>IFERROR(_xlfn.MINIFS(B12:Q12,B12:Q12,"&gt;0"),0)</f>
        <v/>
      </c>
      <c r="X12" s="61">
        <f>RANK(T12,$T$5:$T$39)+COUNTIF($T$5:T12,T12)-1</f>
        <v/>
      </c>
      <c r="Y12" s="34">
        <f t="array" ref="Y12">IFERROR(T12/SUMPRODUCT(($B12:$C12&lt;&gt;"")*$B$3:$C$3),0)</f>
        <v/>
      </c>
    </row>
    <row r="13">
      <c r="A13" t="inlineStr">
        <is>
          <t>Frankethetank</t>
        </is>
      </c>
      <c r="B13" s="61">
        <f t="array" ref="B13">_xlfn.IFNA(_xlfn.XLOOKUP($A13,INDIRECT("'"&amp;B$4&amp;"'!$E$10:$E$44"),INDIRECT("'"&amp;B$4&amp;"'!$b$10:$b$44"))," ")</f>
        <v/>
      </c>
      <c r="C13" s="61">
        <f t="array" ref="C13">_xlfn.IFNA(_xlfn.XLOOKUP($A13,INDIRECT("'"&amp;C$4&amp;"'!$E$10:$E$44"),INDIRECT("'"&amp;C$4&amp;"'!$b$10:$b$44"))," ")</f>
        <v/>
      </c>
      <c r="D13" s="61">
        <f t="array" ref="D13">_xlfn.IFNA(_xlfn.XLOOKUP($A13,INDIRECT("'"&amp;D$4&amp;"'!$E$10:$E$44"),INDIRECT("'"&amp;D$4&amp;"'!$b$10:$b$44"))," ")</f>
        <v/>
      </c>
      <c r="E13" s="61">
        <f t="array" ref="E13">_xlfn.IFNA(_xlfn.XLOOKUP($A13,INDIRECT("'"&amp;E$4&amp;"'!$E$10:$E$44"),INDIRECT("'"&amp;E$4&amp;"'!$b$10:$b$44"))," ")</f>
        <v/>
      </c>
      <c r="F13" s="61">
        <f t="array" ref="F13">_xlfn.IFNA(_xlfn.XLOOKUP($A13,INDIRECT("'"&amp;F$4&amp;"'!$E$10:$E$44"),INDIRECT("'"&amp;F$4&amp;"'!$b$10:$b$44"))," ")</f>
        <v/>
      </c>
      <c r="G13" s="61">
        <f t="array" ref="G13">_xlfn.IFNA(_xlfn.XLOOKUP($A13,INDIRECT("'"&amp;G$4&amp;"'!$E$10:$E$44"),INDIRECT("'"&amp;G$4&amp;"'!$b$10:$b$44"))," ")</f>
        <v/>
      </c>
      <c r="H13" s="61">
        <f t="array" ref="H13">_xlfn.IFNA(_xlfn.XLOOKUP($A13,INDIRECT("'"&amp;H$4&amp;"'!$E$10:$E$44"),INDIRECT("'"&amp;H$4&amp;"'!$b$10:$b$44"))," ")</f>
        <v/>
      </c>
      <c r="I13" s="61">
        <f t="array" ref="I13">_xlfn.IFNA(_xlfn.XLOOKUP($A13,INDIRECT("'"&amp;I$4&amp;"'!$E$10:$E$44"),INDIRECT("'"&amp;I$4&amp;"'!$b$10:$b$44"))," ")</f>
        <v/>
      </c>
      <c r="J13" s="61">
        <f t="array" ref="J13">_xlfn.IFNA(_xlfn.XLOOKUP($A13,INDIRECT("'"&amp;J$4&amp;"'!$E$10:$E$44"),INDIRECT("'"&amp;J$4&amp;"'!$b$10:$b$44"))," ")</f>
        <v/>
      </c>
      <c r="K13" s="61">
        <f t="array" ref="K13">_xlfn.IFNA(_xlfn.XLOOKUP($A13,INDIRECT("'"&amp;K$4&amp;"'!$E$10:$E$44"),INDIRECT("'"&amp;K$4&amp;"'!$b$10:$b$44"))," ")</f>
        <v/>
      </c>
      <c r="L13" s="61">
        <f t="array" ref="L13">_xlfn.IFNA(_xlfn.XLOOKUP($A13,INDIRECT("'"&amp;L$4&amp;"'!$E$10:$E$44"),INDIRECT("'"&amp;L$4&amp;"'!$b$10:$b$44"))," ")</f>
        <v/>
      </c>
      <c r="M13" s="61">
        <f t="array" ref="M13">_xlfn.IFNA(_xlfn.XLOOKUP($A13,INDIRECT("'"&amp;M$4&amp;"'!$E$10:$E$44"),INDIRECT("'"&amp;M$4&amp;"'!$b$10:$b$44"))," ")</f>
        <v/>
      </c>
      <c r="N13" s="61">
        <f t="array" ref="N13">_xlfn.IFNA(_xlfn.XLOOKUP($A13,INDIRECT("'"&amp;N$4&amp;"'!$E$10:$E$44"),INDIRECT("'"&amp;N$4&amp;"'!$b$10:$b$44"))," ")</f>
        <v/>
      </c>
      <c r="O13" s="61">
        <f t="array" ref="O13">_xlfn.IFNA(_xlfn.XLOOKUP($A13,INDIRECT("'"&amp;O$4&amp;"'!$E$10:$E$44"),INDIRECT("'"&amp;O$4&amp;"'!$b$10:$b$44"))," ")</f>
        <v/>
      </c>
      <c r="P13" s="61">
        <f t="array" ref="P13">_xlfn.IFNA(_xlfn.XLOOKUP($A13,INDIRECT("'"&amp;P$4&amp;"'!$E$10:$E$44"),INDIRECT("'"&amp;P$4&amp;"'!$b$10:$b$44"))," ")</f>
        <v/>
      </c>
      <c r="Q13" s="61">
        <f t="array" ref="Q13">_xlfn.IFNA(_xlfn.XLOOKUP($A13,INDIRECT("'"&amp;Q$4&amp;"'!$E$10:$E$44"),INDIRECT("'"&amp;Q$4&amp;"'!$b$10:$b$44"))," ")</f>
        <v/>
      </c>
      <c r="T13" s="61">
        <f>SUM(B13:K13)</f>
        <v/>
      </c>
      <c r="U13" s="19">
        <f>IFERROR(AVERAGEIF(B13:Q13,"&gt;=0"),0)</f>
        <v/>
      </c>
      <c r="V13" s="61">
        <f>IFERROR(MAX(B13:Q13),0)</f>
        <v/>
      </c>
      <c r="W13" s="61">
        <f>IFERROR(_xlfn.MINIFS(B13:Q13,B13:Q13,"&gt;0"),0)</f>
        <v/>
      </c>
      <c r="X13" s="61">
        <f>RANK(T13,$T$5:$T$39)+COUNTIF($T$5:T13,T13)-1</f>
        <v/>
      </c>
      <c r="Y13" s="34">
        <f t="array" ref="Y13">IFERROR(T13/SUMPRODUCT(($B13:$C13&lt;&gt;"")*$B$3:$C$3),0)</f>
        <v/>
      </c>
    </row>
    <row r="14">
      <c r="A14" t="inlineStr">
        <is>
          <t>Gr8granpa</t>
        </is>
      </c>
      <c r="B14" s="61">
        <f t="array" ref="B14">_xlfn.IFNA(_xlfn.XLOOKUP($A14,INDIRECT("'"&amp;B$4&amp;"'!$E$10:$E$44"),INDIRECT("'"&amp;B$4&amp;"'!$b$10:$b$44"))," ")</f>
        <v/>
      </c>
      <c r="C14" s="61">
        <f t="array" ref="C14">_xlfn.IFNA(_xlfn.XLOOKUP($A14,INDIRECT("'"&amp;C$4&amp;"'!$E$10:$E$44"),INDIRECT("'"&amp;C$4&amp;"'!$b$10:$b$44"))," ")</f>
        <v/>
      </c>
      <c r="D14" s="61">
        <f t="array" ref="D14">_xlfn.IFNA(_xlfn.XLOOKUP($A14,INDIRECT("'"&amp;D$4&amp;"'!$E$10:$E$44"),INDIRECT("'"&amp;D$4&amp;"'!$b$10:$b$44"))," ")</f>
        <v/>
      </c>
      <c r="E14" s="61">
        <f t="array" ref="E14">_xlfn.IFNA(_xlfn.XLOOKUP($A14,INDIRECT("'"&amp;E$4&amp;"'!$E$10:$E$44"),INDIRECT("'"&amp;E$4&amp;"'!$b$10:$b$44"))," ")</f>
        <v/>
      </c>
      <c r="F14" s="61">
        <f t="array" ref="F14">_xlfn.IFNA(_xlfn.XLOOKUP($A14,INDIRECT("'"&amp;F$4&amp;"'!$E$10:$E$44"),INDIRECT("'"&amp;F$4&amp;"'!$b$10:$b$44"))," ")</f>
        <v/>
      </c>
      <c r="G14" s="61">
        <f t="array" ref="G14">_xlfn.IFNA(_xlfn.XLOOKUP($A14,INDIRECT("'"&amp;G$4&amp;"'!$E$10:$E$44"),INDIRECT("'"&amp;G$4&amp;"'!$b$10:$b$44"))," ")</f>
        <v/>
      </c>
      <c r="H14" s="61">
        <f t="array" ref="H14">_xlfn.IFNA(_xlfn.XLOOKUP($A14,INDIRECT("'"&amp;H$4&amp;"'!$E$10:$E$44"),INDIRECT("'"&amp;H$4&amp;"'!$b$10:$b$44"))," ")</f>
        <v/>
      </c>
      <c r="I14" s="61">
        <f t="array" ref="I14">_xlfn.IFNA(_xlfn.XLOOKUP($A14,INDIRECT("'"&amp;I$4&amp;"'!$E$10:$E$44"),INDIRECT("'"&amp;I$4&amp;"'!$b$10:$b$44"))," ")</f>
        <v/>
      </c>
      <c r="J14" s="61">
        <f t="array" ref="J14">_xlfn.IFNA(_xlfn.XLOOKUP($A14,INDIRECT("'"&amp;J$4&amp;"'!$E$10:$E$44"),INDIRECT("'"&amp;J$4&amp;"'!$b$10:$b$44"))," ")</f>
        <v/>
      </c>
      <c r="K14" s="61">
        <f t="array" ref="K14">_xlfn.IFNA(_xlfn.XLOOKUP($A14,INDIRECT("'"&amp;K$4&amp;"'!$E$10:$E$44"),INDIRECT("'"&amp;K$4&amp;"'!$b$10:$b$44"))," ")</f>
        <v/>
      </c>
      <c r="L14" s="61">
        <f t="array" ref="L14">_xlfn.IFNA(_xlfn.XLOOKUP($A14,INDIRECT("'"&amp;L$4&amp;"'!$E$10:$E$44"),INDIRECT("'"&amp;L$4&amp;"'!$b$10:$b$44"))," ")</f>
        <v/>
      </c>
      <c r="M14" s="61">
        <f t="array" ref="M14">_xlfn.IFNA(_xlfn.XLOOKUP($A14,INDIRECT("'"&amp;M$4&amp;"'!$E$10:$E$44"),INDIRECT("'"&amp;M$4&amp;"'!$b$10:$b$44"))," ")</f>
        <v/>
      </c>
      <c r="N14" s="61">
        <f t="array" ref="N14">_xlfn.IFNA(_xlfn.XLOOKUP($A14,INDIRECT("'"&amp;N$4&amp;"'!$E$10:$E$44"),INDIRECT("'"&amp;N$4&amp;"'!$b$10:$b$44"))," ")</f>
        <v/>
      </c>
      <c r="O14" s="61">
        <f t="array" ref="O14">_xlfn.IFNA(_xlfn.XLOOKUP($A14,INDIRECT("'"&amp;O$4&amp;"'!$E$10:$E$44"),INDIRECT("'"&amp;O$4&amp;"'!$b$10:$b$44"))," ")</f>
        <v/>
      </c>
      <c r="P14" s="61">
        <f t="array" ref="P14">_xlfn.IFNA(_xlfn.XLOOKUP($A14,INDIRECT("'"&amp;P$4&amp;"'!$E$10:$E$44"),INDIRECT("'"&amp;P$4&amp;"'!$b$10:$b$44"))," ")</f>
        <v/>
      </c>
      <c r="Q14" s="61">
        <f t="array" ref="Q14">_xlfn.IFNA(_xlfn.XLOOKUP($A14,INDIRECT("'"&amp;Q$4&amp;"'!$E$10:$E$44"),INDIRECT("'"&amp;Q$4&amp;"'!$b$10:$b$44"))," ")</f>
        <v/>
      </c>
      <c r="T14" s="61">
        <f>SUM(B14:K14)</f>
        <v/>
      </c>
      <c r="U14" s="19">
        <f>IFERROR(AVERAGEIF(B14:Q14,"&gt;=0"),0)</f>
        <v/>
      </c>
      <c r="V14" s="61">
        <f>IFERROR(MAX(B14:Q14),0)</f>
        <v/>
      </c>
      <c r="W14" s="61">
        <f>IFERROR(_xlfn.MINIFS(B14:Q14,B14:Q14,"&gt;0"),0)</f>
        <v/>
      </c>
      <c r="X14" s="61">
        <f>RANK(T14,$T$5:$T$39)+COUNTIF($T$5:T14,T14)-1</f>
        <v/>
      </c>
      <c r="Y14" s="34">
        <f t="array" ref="Y14">IFERROR(T14/SUMPRODUCT(($B14:$C14&lt;&gt;"")*$B$3:$C$3),0)</f>
        <v/>
      </c>
    </row>
    <row r="15">
      <c r="A15" t="inlineStr">
        <is>
          <t>Ian</t>
        </is>
      </c>
      <c r="B15" s="61">
        <f t="array" ref="B15">_xlfn.IFNA(_xlfn.XLOOKUP($A15,INDIRECT("'"&amp;B$4&amp;"'!$E$10:$E$44"),INDIRECT("'"&amp;B$4&amp;"'!$b$10:$b$44"))," ")</f>
        <v/>
      </c>
      <c r="C15" s="61">
        <f t="array" ref="C15">_xlfn.IFNA(_xlfn.XLOOKUP($A15,INDIRECT("'"&amp;C$4&amp;"'!$E$10:$E$44"),INDIRECT("'"&amp;C$4&amp;"'!$b$10:$b$44"))," ")</f>
        <v/>
      </c>
      <c r="D15" s="61">
        <f t="array" ref="D15">_xlfn.IFNA(_xlfn.XLOOKUP($A15,INDIRECT("'"&amp;D$4&amp;"'!$E$10:$E$44"),INDIRECT("'"&amp;D$4&amp;"'!$b$10:$b$44"))," ")</f>
        <v/>
      </c>
      <c r="E15" s="61">
        <f t="array" ref="E15">_xlfn.IFNA(_xlfn.XLOOKUP($A15,INDIRECT("'"&amp;E$4&amp;"'!$E$10:$E$44"),INDIRECT("'"&amp;E$4&amp;"'!$b$10:$b$44"))," ")</f>
        <v/>
      </c>
      <c r="F15" s="61">
        <f t="array" ref="F15">_xlfn.IFNA(_xlfn.XLOOKUP($A15,INDIRECT("'"&amp;F$4&amp;"'!$E$10:$E$44"),INDIRECT("'"&amp;F$4&amp;"'!$b$10:$b$44"))," ")</f>
        <v/>
      </c>
      <c r="G15" s="61">
        <f t="array" ref="G15">_xlfn.IFNA(_xlfn.XLOOKUP($A15,INDIRECT("'"&amp;G$4&amp;"'!$E$10:$E$44"),INDIRECT("'"&amp;G$4&amp;"'!$b$10:$b$44"))," ")</f>
        <v/>
      </c>
      <c r="H15" s="61">
        <f t="array" ref="H15">_xlfn.IFNA(_xlfn.XLOOKUP($A15,INDIRECT("'"&amp;H$4&amp;"'!$E$10:$E$44"),INDIRECT("'"&amp;H$4&amp;"'!$b$10:$b$44"))," ")</f>
        <v/>
      </c>
      <c r="I15" s="61">
        <f t="array" ref="I15">_xlfn.IFNA(_xlfn.XLOOKUP($A15,INDIRECT("'"&amp;I$4&amp;"'!$E$10:$E$44"),INDIRECT("'"&amp;I$4&amp;"'!$b$10:$b$44"))," ")</f>
        <v/>
      </c>
      <c r="J15" s="61">
        <f t="array" ref="J15">_xlfn.IFNA(_xlfn.XLOOKUP($A15,INDIRECT("'"&amp;J$4&amp;"'!$E$10:$E$44"),INDIRECT("'"&amp;J$4&amp;"'!$b$10:$b$44"))," ")</f>
        <v/>
      </c>
      <c r="K15" s="61">
        <f t="array" ref="K15">_xlfn.IFNA(_xlfn.XLOOKUP($A15,INDIRECT("'"&amp;K$4&amp;"'!$E$10:$E$44"),INDIRECT("'"&amp;K$4&amp;"'!$b$10:$b$44"))," ")</f>
        <v/>
      </c>
      <c r="L15" s="61">
        <f t="array" ref="L15">_xlfn.IFNA(_xlfn.XLOOKUP($A15,INDIRECT("'"&amp;L$4&amp;"'!$E$10:$E$44"),INDIRECT("'"&amp;L$4&amp;"'!$b$10:$b$44"))," ")</f>
        <v/>
      </c>
      <c r="M15" s="61">
        <f t="array" ref="M15">_xlfn.IFNA(_xlfn.XLOOKUP($A15,INDIRECT("'"&amp;M$4&amp;"'!$E$10:$E$44"),INDIRECT("'"&amp;M$4&amp;"'!$b$10:$b$44"))," ")</f>
        <v/>
      </c>
      <c r="N15" s="61">
        <f t="array" ref="N15">_xlfn.IFNA(_xlfn.XLOOKUP($A15,INDIRECT("'"&amp;N$4&amp;"'!$E$10:$E$44"),INDIRECT("'"&amp;N$4&amp;"'!$b$10:$b$44"))," ")</f>
        <v/>
      </c>
      <c r="O15" s="61">
        <f t="array" ref="O15">_xlfn.IFNA(_xlfn.XLOOKUP($A15,INDIRECT("'"&amp;O$4&amp;"'!$E$10:$E$44"),INDIRECT("'"&amp;O$4&amp;"'!$b$10:$b$44"))," ")</f>
        <v/>
      </c>
      <c r="P15" s="61">
        <f t="array" ref="P15">_xlfn.IFNA(_xlfn.XLOOKUP($A15,INDIRECT("'"&amp;P$4&amp;"'!$E$10:$E$44"),INDIRECT("'"&amp;P$4&amp;"'!$b$10:$b$44"))," ")</f>
        <v/>
      </c>
      <c r="Q15" s="61">
        <f t="array" ref="Q15">_xlfn.IFNA(_xlfn.XLOOKUP($A15,INDIRECT("'"&amp;Q$4&amp;"'!$E$10:$E$44"),INDIRECT("'"&amp;Q$4&amp;"'!$b$10:$b$44"))," ")</f>
        <v/>
      </c>
      <c r="T15" s="61">
        <f>SUM(B15:K15)</f>
        <v/>
      </c>
      <c r="U15" s="19">
        <f>IFERROR(AVERAGEIF(B15:Q15,"&gt;=0"),0)</f>
        <v/>
      </c>
      <c r="V15" s="61">
        <f>IFERROR(MAX(B15:Q15),0)</f>
        <v/>
      </c>
      <c r="W15" s="61">
        <f>IFERROR(_xlfn.MINIFS(B15:Q15,B15:Q15,"&gt;0"),0)</f>
        <v/>
      </c>
      <c r="X15" s="61">
        <f>RANK(T15,$T$5:$T$39)+COUNTIF($T$5:T15,T15)-1</f>
        <v/>
      </c>
      <c r="Y15" s="34">
        <f t="array" ref="Y15">IFERROR(T15/SUMPRODUCT(($B15:$C15&lt;&gt;"")*$B$3:$C$3),0)</f>
        <v/>
      </c>
    </row>
    <row r="16">
      <c r="A16" t="inlineStr">
        <is>
          <t>Jim T</t>
        </is>
      </c>
      <c r="B16" s="61">
        <f t="array" ref="B16">_xlfn.IFNA(_xlfn.XLOOKUP($A16,INDIRECT("'"&amp;B$4&amp;"'!$E$10:$E$44"),INDIRECT("'"&amp;B$4&amp;"'!$b$10:$b$44"))," ")</f>
        <v/>
      </c>
      <c r="C16" s="61">
        <f t="array" ref="C16">_xlfn.IFNA(_xlfn.XLOOKUP($A16,INDIRECT("'"&amp;C$4&amp;"'!$E$10:$E$44"),INDIRECT("'"&amp;C$4&amp;"'!$b$10:$b$44"))," ")</f>
        <v/>
      </c>
      <c r="D16" s="61">
        <f t="array" ref="D16">_xlfn.IFNA(_xlfn.XLOOKUP($A16,INDIRECT("'"&amp;D$4&amp;"'!$E$10:$E$44"),INDIRECT("'"&amp;D$4&amp;"'!$b$10:$b$44"))," ")</f>
        <v/>
      </c>
      <c r="E16" s="61">
        <f t="array" ref="E16">_xlfn.IFNA(_xlfn.XLOOKUP($A16,INDIRECT("'"&amp;E$4&amp;"'!$E$10:$E$44"),INDIRECT("'"&amp;E$4&amp;"'!$b$10:$b$44"))," ")</f>
        <v/>
      </c>
      <c r="F16" s="61">
        <f t="array" ref="F16">_xlfn.IFNA(_xlfn.XLOOKUP($A16,INDIRECT("'"&amp;F$4&amp;"'!$E$10:$E$44"),INDIRECT("'"&amp;F$4&amp;"'!$b$10:$b$44"))," ")</f>
        <v/>
      </c>
      <c r="G16" s="61">
        <f t="array" ref="G16">_xlfn.IFNA(_xlfn.XLOOKUP($A16,INDIRECT("'"&amp;G$4&amp;"'!$E$10:$E$44"),INDIRECT("'"&amp;G$4&amp;"'!$b$10:$b$44"))," ")</f>
        <v/>
      </c>
      <c r="H16" s="61">
        <f t="array" ref="H16">_xlfn.IFNA(_xlfn.XLOOKUP($A16,INDIRECT("'"&amp;H$4&amp;"'!$E$10:$E$44"),INDIRECT("'"&amp;H$4&amp;"'!$b$10:$b$44"))," ")</f>
        <v/>
      </c>
      <c r="I16" s="61">
        <f t="array" ref="I16">_xlfn.IFNA(_xlfn.XLOOKUP($A16,INDIRECT("'"&amp;I$4&amp;"'!$E$10:$E$44"),INDIRECT("'"&amp;I$4&amp;"'!$b$10:$b$44"))," ")</f>
        <v/>
      </c>
      <c r="J16" s="61">
        <f t="array" ref="J16">_xlfn.IFNA(_xlfn.XLOOKUP($A16,INDIRECT("'"&amp;J$4&amp;"'!$E$10:$E$44"),INDIRECT("'"&amp;J$4&amp;"'!$b$10:$b$44"))," ")</f>
        <v/>
      </c>
      <c r="K16" s="61">
        <f t="array" ref="K16">_xlfn.IFNA(_xlfn.XLOOKUP($A16,INDIRECT("'"&amp;K$4&amp;"'!$E$10:$E$44"),INDIRECT("'"&amp;K$4&amp;"'!$b$10:$b$44"))," ")</f>
        <v/>
      </c>
      <c r="L16" s="61">
        <f t="array" ref="L16">_xlfn.IFNA(_xlfn.XLOOKUP($A16,INDIRECT("'"&amp;L$4&amp;"'!$E$10:$E$44"),INDIRECT("'"&amp;L$4&amp;"'!$b$10:$b$44"))," ")</f>
        <v/>
      </c>
      <c r="M16" s="61">
        <f t="array" ref="M16">_xlfn.IFNA(_xlfn.XLOOKUP($A16,INDIRECT("'"&amp;M$4&amp;"'!$E$10:$E$44"),INDIRECT("'"&amp;M$4&amp;"'!$b$10:$b$44"))," ")</f>
        <v/>
      </c>
      <c r="N16" s="61">
        <f t="array" ref="N16">_xlfn.IFNA(_xlfn.XLOOKUP($A16,INDIRECT("'"&amp;N$4&amp;"'!$E$10:$E$44"),INDIRECT("'"&amp;N$4&amp;"'!$b$10:$b$44"))," ")</f>
        <v/>
      </c>
      <c r="O16" s="61">
        <f t="array" ref="O16">_xlfn.IFNA(_xlfn.XLOOKUP($A16,INDIRECT("'"&amp;O$4&amp;"'!$E$10:$E$44"),INDIRECT("'"&amp;O$4&amp;"'!$b$10:$b$44"))," ")</f>
        <v/>
      </c>
      <c r="P16" s="61">
        <f t="array" ref="P16">_xlfn.IFNA(_xlfn.XLOOKUP($A16,INDIRECT("'"&amp;P$4&amp;"'!$E$10:$E$44"),INDIRECT("'"&amp;P$4&amp;"'!$b$10:$b$44"))," ")</f>
        <v/>
      </c>
      <c r="Q16" s="61">
        <f t="array" ref="Q16">_xlfn.IFNA(_xlfn.XLOOKUP($A16,INDIRECT("'"&amp;Q$4&amp;"'!$E$10:$E$44"),INDIRECT("'"&amp;Q$4&amp;"'!$b$10:$b$44"))," ")</f>
        <v/>
      </c>
      <c r="T16" s="61">
        <f>SUM(B16:K16)</f>
        <v/>
      </c>
      <c r="U16" s="19">
        <f>IFERROR(AVERAGEIF(B16:Q16,"&gt;=0"),0)</f>
        <v/>
      </c>
      <c r="V16" s="61">
        <f>IFERROR(MAX(B16:Q16),0)</f>
        <v/>
      </c>
      <c r="W16" s="61">
        <f>IFERROR(_xlfn.MINIFS(B16:Q16,B16:Q16,"&gt;0"),0)</f>
        <v/>
      </c>
      <c r="X16" s="61">
        <f>RANK(T16,$T$5:$T$39)+COUNTIF($T$5:T16,T16)-1</f>
        <v/>
      </c>
      <c r="Y16" s="34">
        <f t="array" ref="Y16">IFERROR(T16/SUMPRODUCT(($B16:$C16&lt;&gt;"")*$B$3:$C$3),0)</f>
        <v/>
      </c>
    </row>
    <row r="17">
      <c r="A17" t="inlineStr">
        <is>
          <t>Katie A</t>
        </is>
      </c>
      <c r="B17" s="61">
        <f t="array" ref="B17">_xlfn.IFNA(_xlfn.XLOOKUP($A17,INDIRECT("'"&amp;B$4&amp;"'!$E$10:$E$44"),INDIRECT("'"&amp;B$4&amp;"'!$b$10:$b$44"))," ")</f>
        <v/>
      </c>
      <c r="C17" s="61">
        <f t="array" ref="C17">_xlfn.IFNA(_xlfn.XLOOKUP($A17,INDIRECT("'"&amp;C$4&amp;"'!$E$10:$E$44"),INDIRECT("'"&amp;C$4&amp;"'!$b$10:$b$44"))," ")</f>
        <v/>
      </c>
      <c r="D17" s="61">
        <f t="array" ref="D17">_xlfn.IFNA(_xlfn.XLOOKUP($A17,INDIRECT("'"&amp;D$4&amp;"'!$E$10:$E$44"),INDIRECT("'"&amp;D$4&amp;"'!$b$10:$b$44"))," ")</f>
        <v/>
      </c>
      <c r="E17" s="61">
        <f t="array" ref="E17">_xlfn.IFNA(_xlfn.XLOOKUP($A17,INDIRECT("'"&amp;E$4&amp;"'!$E$10:$E$44"),INDIRECT("'"&amp;E$4&amp;"'!$b$10:$b$44"))," ")</f>
        <v/>
      </c>
      <c r="F17" s="61">
        <f t="array" ref="F17">_xlfn.IFNA(_xlfn.XLOOKUP($A17,INDIRECT("'"&amp;F$4&amp;"'!$E$10:$E$44"),INDIRECT("'"&amp;F$4&amp;"'!$b$10:$b$44"))," ")</f>
        <v/>
      </c>
      <c r="G17" s="61">
        <f t="array" ref="G17">_xlfn.IFNA(_xlfn.XLOOKUP($A17,INDIRECT("'"&amp;G$4&amp;"'!$E$10:$E$44"),INDIRECT("'"&amp;G$4&amp;"'!$b$10:$b$44"))," ")</f>
        <v/>
      </c>
      <c r="H17" s="61">
        <f t="array" ref="H17">_xlfn.IFNA(_xlfn.XLOOKUP($A17,INDIRECT("'"&amp;H$4&amp;"'!$E$10:$E$44"),INDIRECT("'"&amp;H$4&amp;"'!$b$10:$b$44"))," ")</f>
        <v/>
      </c>
      <c r="I17" s="61">
        <f t="array" ref="I17">_xlfn.IFNA(_xlfn.XLOOKUP($A17,INDIRECT("'"&amp;I$4&amp;"'!$E$10:$E$44"),INDIRECT("'"&amp;I$4&amp;"'!$b$10:$b$44"))," ")</f>
        <v/>
      </c>
      <c r="J17" s="61">
        <f t="array" ref="J17">_xlfn.IFNA(_xlfn.XLOOKUP($A17,INDIRECT("'"&amp;J$4&amp;"'!$E$10:$E$44"),INDIRECT("'"&amp;J$4&amp;"'!$b$10:$b$44"))," ")</f>
        <v/>
      </c>
      <c r="K17" s="61">
        <f t="array" ref="K17">_xlfn.IFNA(_xlfn.XLOOKUP($A17,INDIRECT("'"&amp;K$4&amp;"'!$E$10:$E$44"),INDIRECT("'"&amp;K$4&amp;"'!$b$10:$b$44"))," ")</f>
        <v/>
      </c>
      <c r="L17" s="61">
        <f t="array" ref="L17">_xlfn.IFNA(_xlfn.XLOOKUP($A17,INDIRECT("'"&amp;L$4&amp;"'!$E$10:$E$44"),INDIRECT("'"&amp;L$4&amp;"'!$b$10:$b$44"))," ")</f>
        <v/>
      </c>
      <c r="M17" s="61">
        <f t="array" ref="M17">_xlfn.IFNA(_xlfn.XLOOKUP($A17,INDIRECT("'"&amp;M$4&amp;"'!$E$10:$E$44"),INDIRECT("'"&amp;M$4&amp;"'!$b$10:$b$44"))," ")</f>
        <v/>
      </c>
      <c r="N17" s="61">
        <f t="array" ref="N17">_xlfn.IFNA(_xlfn.XLOOKUP($A17,INDIRECT("'"&amp;N$4&amp;"'!$E$10:$E$44"),INDIRECT("'"&amp;N$4&amp;"'!$b$10:$b$44"))," ")</f>
        <v/>
      </c>
      <c r="O17" s="61">
        <f t="array" ref="O17">_xlfn.IFNA(_xlfn.XLOOKUP($A17,INDIRECT("'"&amp;O$4&amp;"'!$E$10:$E$44"),INDIRECT("'"&amp;O$4&amp;"'!$b$10:$b$44"))," ")</f>
        <v/>
      </c>
      <c r="P17" s="61">
        <f t="array" ref="P17">_xlfn.IFNA(_xlfn.XLOOKUP($A17,INDIRECT("'"&amp;P$4&amp;"'!$E$10:$E$44"),INDIRECT("'"&amp;P$4&amp;"'!$b$10:$b$44"))," ")</f>
        <v/>
      </c>
      <c r="Q17" s="61">
        <f t="array" ref="Q17">_xlfn.IFNA(_xlfn.XLOOKUP($A17,INDIRECT("'"&amp;Q$4&amp;"'!$E$10:$E$44"),INDIRECT("'"&amp;Q$4&amp;"'!$b$10:$b$44"))," ")</f>
        <v/>
      </c>
      <c r="T17" s="61">
        <f>SUM(B17:K17)</f>
        <v/>
      </c>
      <c r="U17" s="19">
        <f>IFERROR(AVERAGEIF(B17:Q17,"&gt;=0"),0)</f>
        <v/>
      </c>
      <c r="V17" s="61">
        <f>IFERROR(MAX(B17:Q17),0)</f>
        <v/>
      </c>
      <c r="W17" s="61">
        <f>IFERROR(_xlfn.MINIFS(B17:Q17,B17:Q17,"&gt;0"),0)</f>
        <v/>
      </c>
      <c r="X17" s="61">
        <f>RANK(T17,$T$5:$T$39)+COUNTIF($T$5:T17,T17)-1</f>
        <v/>
      </c>
      <c r="Y17" s="34">
        <f t="array" ref="Y17">IFERROR(T17/SUMPRODUCT(($B17:$C17&lt;&gt;"")*$B$3:$C$3),0)</f>
        <v/>
      </c>
    </row>
    <row r="18">
      <c r="A18" t="inlineStr">
        <is>
          <t>Kit</t>
        </is>
      </c>
      <c r="B18" s="61">
        <f t="array" ref="B18">_xlfn.IFNA(_xlfn.XLOOKUP($A18,INDIRECT("'"&amp;B$4&amp;"'!$E$10:$E$44"),INDIRECT("'"&amp;B$4&amp;"'!$b$10:$b$44"))," ")</f>
        <v/>
      </c>
      <c r="C18" s="61">
        <f t="array" ref="C18">_xlfn.IFNA(_xlfn.XLOOKUP($A18,INDIRECT("'"&amp;C$4&amp;"'!$E$10:$E$44"),INDIRECT("'"&amp;C$4&amp;"'!$b$10:$b$44"))," ")</f>
        <v/>
      </c>
      <c r="D18" s="61">
        <f t="array" ref="D18">_xlfn.IFNA(_xlfn.XLOOKUP($A18,INDIRECT("'"&amp;D$4&amp;"'!$E$10:$E$44"),INDIRECT("'"&amp;D$4&amp;"'!$b$10:$b$44"))," ")</f>
        <v/>
      </c>
      <c r="E18" s="61">
        <f t="array" ref="E18">_xlfn.IFNA(_xlfn.XLOOKUP($A18,INDIRECT("'"&amp;E$4&amp;"'!$E$10:$E$44"),INDIRECT("'"&amp;E$4&amp;"'!$b$10:$b$44"))," ")</f>
        <v/>
      </c>
      <c r="F18" s="61">
        <f t="array" ref="F18">_xlfn.IFNA(_xlfn.XLOOKUP($A18,INDIRECT("'"&amp;F$4&amp;"'!$E$10:$E$44"),INDIRECT("'"&amp;F$4&amp;"'!$b$10:$b$44"))," ")</f>
        <v/>
      </c>
      <c r="G18" s="61">
        <f t="array" ref="G18">_xlfn.IFNA(_xlfn.XLOOKUP($A18,INDIRECT("'"&amp;G$4&amp;"'!$E$10:$E$44"),INDIRECT("'"&amp;G$4&amp;"'!$b$10:$b$44"))," ")</f>
        <v/>
      </c>
      <c r="H18" s="61">
        <f t="array" ref="H18">_xlfn.IFNA(_xlfn.XLOOKUP($A18,INDIRECT("'"&amp;H$4&amp;"'!$E$10:$E$44"),INDIRECT("'"&amp;H$4&amp;"'!$b$10:$b$44"))," ")</f>
        <v/>
      </c>
      <c r="I18" s="61">
        <f t="array" ref="I18">_xlfn.IFNA(_xlfn.XLOOKUP($A18,INDIRECT("'"&amp;I$4&amp;"'!$E$10:$E$44"),INDIRECT("'"&amp;I$4&amp;"'!$b$10:$b$44"))," ")</f>
        <v/>
      </c>
      <c r="J18" s="61">
        <f t="array" ref="J18">_xlfn.IFNA(_xlfn.XLOOKUP($A18,INDIRECT("'"&amp;J$4&amp;"'!$E$10:$E$44"),INDIRECT("'"&amp;J$4&amp;"'!$b$10:$b$44"))," ")</f>
        <v/>
      </c>
      <c r="K18" s="61">
        <f t="array" ref="K18">_xlfn.IFNA(_xlfn.XLOOKUP($A18,INDIRECT("'"&amp;K$4&amp;"'!$E$10:$E$44"),INDIRECT("'"&amp;K$4&amp;"'!$b$10:$b$44"))," ")</f>
        <v/>
      </c>
      <c r="L18" s="61">
        <f t="array" ref="L18">_xlfn.IFNA(_xlfn.XLOOKUP($A18,INDIRECT("'"&amp;L$4&amp;"'!$E$10:$E$44"),INDIRECT("'"&amp;L$4&amp;"'!$b$10:$b$44"))," ")</f>
        <v/>
      </c>
      <c r="M18" s="61">
        <f t="array" ref="M18">_xlfn.IFNA(_xlfn.XLOOKUP($A18,INDIRECT("'"&amp;M$4&amp;"'!$E$10:$E$44"),INDIRECT("'"&amp;M$4&amp;"'!$b$10:$b$44"))," ")</f>
        <v/>
      </c>
      <c r="N18" s="61">
        <f t="array" ref="N18">_xlfn.IFNA(_xlfn.XLOOKUP($A18,INDIRECT("'"&amp;N$4&amp;"'!$E$10:$E$44"),INDIRECT("'"&amp;N$4&amp;"'!$b$10:$b$44"))," ")</f>
        <v/>
      </c>
      <c r="O18" s="61">
        <f t="array" ref="O18">_xlfn.IFNA(_xlfn.XLOOKUP($A18,INDIRECT("'"&amp;O$4&amp;"'!$E$10:$E$44"),INDIRECT("'"&amp;O$4&amp;"'!$b$10:$b$44"))," ")</f>
        <v/>
      </c>
      <c r="P18" s="61">
        <f t="array" ref="P18">_xlfn.IFNA(_xlfn.XLOOKUP($A18,INDIRECT("'"&amp;P$4&amp;"'!$E$10:$E$44"),INDIRECT("'"&amp;P$4&amp;"'!$b$10:$b$44"))," ")</f>
        <v/>
      </c>
      <c r="Q18" s="61">
        <f t="array" ref="Q18">_xlfn.IFNA(_xlfn.XLOOKUP($A18,INDIRECT("'"&amp;Q$4&amp;"'!$E$10:$E$44"),INDIRECT("'"&amp;Q$4&amp;"'!$b$10:$b$44"))," ")</f>
        <v/>
      </c>
      <c r="T18" s="61">
        <f>SUM(B18:K18)</f>
        <v/>
      </c>
      <c r="U18" s="19">
        <f>IFERROR(AVERAGEIF(B18:Q18,"&gt;=0"),0)</f>
        <v/>
      </c>
      <c r="V18" s="61">
        <f>IFERROR(MAX(B18:Q18),0)</f>
        <v/>
      </c>
      <c r="W18" s="61">
        <f>IFERROR(_xlfn.MINIFS(B18:Q18,B18:Q18,"&gt;0"),0)</f>
        <v/>
      </c>
      <c r="X18" s="61">
        <f>RANK(T18,$T$5:$T$39)+COUNTIF($T$5:T18,T18)-1</f>
        <v/>
      </c>
      <c r="Y18" s="34">
        <f t="array" ref="Y18">IFERROR(T18/SUMPRODUCT(($B18:$C18&lt;&gt;"")*$B$3:$C$3),0)</f>
        <v/>
      </c>
    </row>
    <row r="19">
      <c r="A19" t="inlineStr">
        <is>
          <t>Line-Pony</t>
        </is>
      </c>
      <c r="B19" s="61">
        <f t="array" ref="B19">_xlfn.IFNA(_xlfn.XLOOKUP($A19,INDIRECT("'"&amp;B$4&amp;"'!$E$10:$E$44"),INDIRECT("'"&amp;B$4&amp;"'!$b$10:$b$44"))," ")</f>
        <v/>
      </c>
      <c r="C19" s="61">
        <f t="array" ref="C19">_xlfn.IFNA(_xlfn.XLOOKUP($A19,INDIRECT("'"&amp;C$4&amp;"'!$E$10:$E$44"),INDIRECT("'"&amp;C$4&amp;"'!$b$10:$b$44"))," ")</f>
        <v/>
      </c>
      <c r="D19" s="61">
        <f t="array" ref="D19">_xlfn.IFNA(_xlfn.XLOOKUP($A19,INDIRECT("'"&amp;D$4&amp;"'!$E$10:$E$44"),INDIRECT("'"&amp;D$4&amp;"'!$b$10:$b$44"))," ")</f>
        <v/>
      </c>
      <c r="E19" s="61">
        <f t="array" ref="E19">_xlfn.IFNA(_xlfn.XLOOKUP($A19,INDIRECT("'"&amp;E$4&amp;"'!$E$10:$E$44"),INDIRECT("'"&amp;E$4&amp;"'!$b$10:$b$44"))," ")</f>
        <v/>
      </c>
      <c r="F19" s="61">
        <f t="array" ref="F19">_xlfn.IFNA(_xlfn.XLOOKUP($A19,INDIRECT("'"&amp;F$4&amp;"'!$E$10:$E$44"),INDIRECT("'"&amp;F$4&amp;"'!$b$10:$b$44"))," ")</f>
        <v/>
      </c>
      <c r="G19" s="61">
        <f t="array" ref="G19">_xlfn.IFNA(_xlfn.XLOOKUP($A19,INDIRECT("'"&amp;G$4&amp;"'!$E$10:$E$44"),INDIRECT("'"&amp;G$4&amp;"'!$b$10:$b$44"))," ")</f>
        <v/>
      </c>
      <c r="H19" s="61">
        <f t="array" ref="H19">_xlfn.IFNA(_xlfn.XLOOKUP($A19,INDIRECT("'"&amp;H$4&amp;"'!$E$10:$E$44"),INDIRECT("'"&amp;H$4&amp;"'!$b$10:$b$44"))," ")</f>
        <v/>
      </c>
      <c r="I19" s="61">
        <f t="array" ref="I19">_xlfn.IFNA(_xlfn.XLOOKUP($A19,INDIRECT("'"&amp;I$4&amp;"'!$E$10:$E$44"),INDIRECT("'"&amp;I$4&amp;"'!$b$10:$b$44"))," ")</f>
        <v/>
      </c>
      <c r="J19" s="61">
        <f t="array" ref="J19">_xlfn.IFNA(_xlfn.XLOOKUP($A19,INDIRECT("'"&amp;J$4&amp;"'!$E$10:$E$44"),INDIRECT("'"&amp;J$4&amp;"'!$b$10:$b$44"))," ")</f>
        <v/>
      </c>
      <c r="K19" s="61">
        <f t="array" ref="K19">_xlfn.IFNA(_xlfn.XLOOKUP($A19,INDIRECT("'"&amp;K$4&amp;"'!$E$10:$E$44"),INDIRECT("'"&amp;K$4&amp;"'!$b$10:$b$44"))," ")</f>
        <v/>
      </c>
      <c r="L19" s="61">
        <f t="array" ref="L19">_xlfn.IFNA(_xlfn.XLOOKUP($A19,INDIRECT("'"&amp;L$4&amp;"'!$E$10:$E$44"),INDIRECT("'"&amp;L$4&amp;"'!$b$10:$b$44"))," ")</f>
        <v/>
      </c>
      <c r="M19" s="61">
        <f t="array" ref="M19">_xlfn.IFNA(_xlfn.XLOOKUP($A19,INDIRECT("'"&amp;M$4&amp;"'!$E$10:$E$44"),INDIRECT("'"&amp;M$4&amp;"'!$b$10:$b$44"))," ")</f>
        <v/>
      </c>
      <c r="N19" s="61">
        <f t="array" ref="N19">_xlfn.IFNA(_xlfn.XLOOKUP($A19,INDIRECT("'"&amp;N$4&amp;"'!$E$10:$E$44"),INDIRECT("'"&amp;N$4&amp;"'!$b$10:$b$44"))," ")</f>
        <v/>
      </c>
      <c r="O19" s="61">
        <f t="array" ref="O19">_xlfn.IFNA(_xlfn.XLOOKUP($A19,INDIRECT("'"&amp;O$4&amp;"'!$E$10:$E$44"),INDIRECT("'"&amp;O$4&amp;"'!$b$10:$b$44"))," ")</f>
        <v/>
      </c>
      <c r="P19" s="61">
        <f t="array" ref="P19">_xlfn.IFNA(_xlfn.XLOOKUP($A19,INDIRECT("'"&amp;P$4&amp;"'!$E$10:$E$44"),INDIRECT("'"&amp;P$4&amp;"'!$b$10:$b$44"))," ")</f>
        <v/>
      </c>
      <c r="Q19" s="61">
        <f t="array" ref="Q19">_xlfn.IFNA(_xlfn.XLOOKUP($A19,INDIRECT("'"&amp;Q$4&amp;"'!$E$10:$E$44"),INDIRECT("'"&amp;Q$4&amp;"'!$b$10:$b$44"))," ")</f>
        <v/>
      </c>
      <c r="T19" s="61">
        <f>SUM(B19:K19)</f>
        <v/>
      </c>
      <c r="U19" s="19">
        <f>IFERROR(AVERAGEIF(B19:Q19,"&gt;=0"),0)</f>
        <v/>
      </c>
      <c r="V19" s="61">
        <f>IFERROR(MAX(B19:Q19),0)</f>
        <v/>
      </c>
      <c r="W19" s="61">
        <f>IFERROR(_xlfn.MINIFS(B19:Q19,B19:Q19,"&gt;0"),0)</f>
        <v/>
      </c>
      <c r="X19" s="61">
        <f>RANK(T19,$T$5:$T$39)+COUNTIF($T$5:T19,T19)-1</f>
        <v/>
      </c>
      <c r="Y19" s="34">
        <f t="array" ref="Y19">IFERROR(T19/SUMPRODUCT(($B19:$C19&lt;&gt;"")*$B$3:$C$3),0)</f>
        <v/>
      </c>
    </row>
    <row r="20">
      <c r="A20" t="inlineStr">
        <is>
          <t>MayeDay! MayeDay!</t>
        </is>
      </c>
      <c r="B20" s="61">
        <f t="array" ref="B20">_xlfn.IFNA(_xlfn.XLOOKUP($A20,INDIRECT("'"&amp;B$4&amp;"'!$E$10:$E$44"),INDIRECT("'"&amp;B$4&amp;"'!$b$10:$b$44"))," ")</f>
        <v/>
      </c>
      <c r="C20" s="61">
        <f t="array" ref="C20">_xlfn.IFNA(_xlfn.XLOOKUP($A20,INDIRECT("'"&amp;C$4&amp;"'!$E$10:$E$44"),INDIRECT("'"&amp;C$4&amp;"'!$b$10:$b$44"))," ")</f>
        <v/>
      </c>
      <c r="D20" s="61">
        <f t="array" ref="D20">_xlfn.IFNA(_xlfn.XLOOKUP($A20,INDIRECT("'"&amp;D$4&amp;"'!$E$10:$E$44"),INDIRECT("'"&amp;D$4&amp;"'!$b$10:$b$44"))," ")</f>
        <v/>
      </c>
      <c r="E20" s="61">
        <f t="array" ref="E20">_xlfn.IFNA(_xlfn.XLOOKUP($A20,INDIRECT("'"&amp;E$4&amp;"'!$E$10:$E$44"),INDIRECT("'"&amp;E$4&amp;"'!$b$10:$b$44"))," ")</f>
        <v/>
      </c>
      <c r="F20" s="61">
        <f t="array" ref="F20">_xlfn.IFNA(_xlfn.XLOOKUP($A20,INDIRECT("'"&amp;F$4&amp;"'!$E$10:$E$44"),INDIRECT("'"&amp;F$4&amp;"'!$b$10:$b$44"))," ")</f>
        <v/>
      </c>
      <c r="G20" s="61">
        <f t="array" ref="G20">_xlfn.IFNA(_xlfn.XLOOKUP($A20,INDIRECT("'"&amp;G$4&amp;"'!$E$10:$E$44"),INDIRECT("'"&amp;G$4&amp;"'!$b$10:$b$44"))," ")</f>
        <v/>
      </c>
      <c r="H20" s="61">
        <f t="array" ref="H20">_xlfn.IFNA(_xlfn.XLOOKUP($A20,INDIRECT("'"&amp;H$4&amp;"'!$E$10:$E$44"),INDIRECT("'"&amp;H$4&amp;"'!$b$10:$b$44"))," ")</f>
        <v/>
      </c>
      <c r="I20" s="61">
        <f t="array" ref="I20">_xlfn.IFNA(_xlfn.XLOOKUP($A20,INDIRECT("'"&amp;I$4&amp;"'!$E$10:$E$44"),INDIRECT("'"&amp;I$4&amp;"'!$b$10:$b$44"))," ")</f>
        <v/>
      </c>
      <c r="J20" s="61">
        <f t="array" ref="J20">_xlfn.IFNA(_xlfn.XLOOKUP($A20,INDIRECT("'"&amp;J$4&amp;"'!$E$10:$E$44"),INDIRECT("'"&amp;J$4&amp;"'!$b$10:$b$44"))," ")</f>
        <v/>
      </c>
      <c r="K20" s="61">
        <f t="array" ref="K20">_xlfn.IFNA(_xlfn.XLOOKUP($A20,INDIRECT("'"&amp;K$4&amp;"'!$E$10:$E$44"),INDIRECT("'"&amp;K$4&amp;"'!$b$10:$b$44"))," ")</f>
        <v/>
      </c>
      <c r="L20" s="61">
        <f t="array" ref="L20">_xlfn.IFNA(_xlfn.XLOOKUP($A20,INDIRECT("'"&amp;L$4&amp;"'!$E$10:$E$44"),INDIRECT("'"&amp;L$4&amp;"'!$b$10:$b$44"))," ")</f>
        <v/>
      </c>
      <c r="M20" s="61">
        <f t="array" ref="M20">_xlfn.IFNA(_xlfn.XLOOKUP($A20,INDIRECT("'"&amp;M$4&amp;"'!$E$10:$E$44"),INDIRECT("'"&amp;M$4&amp;"'!$b$10:$b$44"))," ")</f>
        <v/>
      </c>
      <c r="N20" s="61">
        <f t="array" ref="N20">_xlfn.IFNA(_xlfn.XLOOKUP($A20,INDIRECT("'"&amp;N$4&amp;"'!$E$10:$E$44"),INDIRECT("'"&amp;N$4&amp;"'!$b$10:$b$44"))," ")</f>
        <v/>
      </c>
      <c r="O20" s="61">
        <f t="array" ref="O20">_xlfn.IFNA(_xlfn.XLOOKUP($A20,INDIRECT("'"&amp;O$4&amp;"'!$E$10:$E$44"),INDIRECT("'"&amp;O$4&amp;"'!$b$10:$b$44"))," ")</f>
        <v/>
      </c>
      <c r="P20" s="61">
        <f t="array" ref="P20">_xlfn.IFNA(_xlfn.XLOOKUP($A20,INDIRECT("'"&amp;P$4&amp;"'!$E$10:$E$44"),INDIRECT("'"&amp;P$4&amp;"'!$b$10:$b$44"))," ")</f>
        <v/>
      </c>
      <c r="Q20" s="61">
        <f t="array" ref="Q20">_xlfn.IFNA(_xlfn.XLOOKUP($A20,INDIRECT("'"&amp;Q$4&amp;"'!$E$10:$E$44"),INDIRECT("'"&amp;Q$4&amp;"'!$b$10:$b$44"))," ")</f>
        <v/>
      </c>
      <c r="T20" s="61">
        <f>SUM(B20:K20)</f>
        <v/>
      </c>
      <c r="U20" s="19">
        <f>IFERROR(AVERAGEIF(B20:Q20,"&gt;=0"),0)</f>
        <v/>
      </c>
      <c r="V20" s="61">
        <f>IFERROR(MAX(B20:Q20),0)</f>
        <v/>
      </c>
      <c r="W20" s="61">
        <f>IFERROR(_xlfn.MINIFS(B20:Q20,B20:Q20,"&gt;0"),0)</f>
        <v/>
      </c>
      <c r="X20" s="61">
        <f>RANK(T20,$T$5:$T$39)+COUNTIF($T$5:T20,T20)-1</f>
        <v/>
      </c>
      <c r="Y20" s="34">
        <f t="array" ref="Y20">IFERROR(T20/SUMPRODUCT(($B20:$C20&lt;&gt;"")*$B$3:$C$3),0)</f>
        <v/>
      </c>
    </row>
    <row r="21">
      <c r="A21" t="inlineStr">
        <is>
          <t>meatloaf</t>
        </is>
      </c>
      <c r="B21" s="61">
        <f t="array" ref="B21">_xlfn.IFNA(_xlfn.XLOOKUP($A21,INDIRECT("'"&amp;B$4&amp;"'!$E$10:$E$44"),INDIRECT("'"&amp;B$4&amp;"'!$b$10:$b$44"))," ")</f>
        <v/>
      </c>
      <c r="C21" s="61">
        <f t="array" ref="C21">_xlfn.IFNA(_xlfn.XLOOKUP($A21,INDIRECT("'"&amp;C$4&amp;"'!$E$10:$E$44"),INDIRECT("'"&amp;C$4&amp;"'!$b$10:$b$44"))," ")</f>
        <v/>
      </c>
      <c r="D21" s="61">
        <f t="array" ref="D21">_xlfn.IFNA(_xlfn.XLOOKUP($A21,INDIRECT("'"&amp;D$4&amp;"'!$E$10:$E$44"),INDIRECT("'"&amp;D$4&amp;"'!$b$10:$b$44"))," ")</f>
        <v/>
      </c>
      <c r="E21" s="61">
        <f t="array" ref="E21">_xlfn.IFNA(_xlfn.XLOOKUP($A21,INDIRECT("'"&amp;E$4&amp;"'!$E$10:$E$44"),INDIRECT("'"&amp;E$4&amp;"'!$b$10:$b$44"))," ")</f>
        <v/>
      </c>
      <c r="F21" s="61">
        <f t="array" ref="F21">_xlfn.IFNA(_xlfn.XLOOKUP($A21,INDIRECT("'"&amp;F$4&amp;"'!$E$10:$E$44"),INDIRECT("'"&amp;F$4&amp;"'!$b$10:$b$44"))," ")</f>
        <v/>
      </c>
      <c r="G21" s="61">
        <f t="array" ref="G21">_xlfn.IFNA(_xlfn.XLOOKUP($A21,INDIRECT("'"&amp;G$4&amp;"'!$E$10:$E$44"),INDIRECT("'"&amp;G$4&amp;"'!$b$10:$b$44"))," ")</f>
        <v/>
      </c>
      <c r="H21" s="61">
        <f t="array" ref="H21">_xlfn.IFNA(_xlfn.XLOOKUP($A21,INDIRECT("'"&amp;H$4&amp;"'!$E$10:$E$44"),INDIRECT("'"&amp;H$4&amp;"'!$b$10:$b$44"))," ")</f>
        <v/>
      </c>
      <c r="I21" s="61">
        <f t="array" ref="I21">_xlfn.IFNA(_xlfn.XLOOKUP($A21,INDIRECT("'"&amp;I$4&amp;"'!$E$10:$E$44"),INDIRECT("'"&amp;I$4&amp;"'!$b$10:$b$44"))," ")</f>
        <v/>
      </c>
      <c r="J21" s="61">
        <f t="array" ref="J21">_xlfn.IFNA(_xlfn.XLOOKUP($A21,INDIRECT("'"&amp;J$4&amp;"'!$E$10:$E$44"),INDIRECT("'"&amp;J$4&amp;"'!$b$10:$b$44"))," ")</f>
        <v/>
      </c>
      <c r="K21" s="61">
        <f t="array" ref="K21">_xlfn.IFNA(_xlfn.XLOOKUP($A21,INDIRECT("'"&amp;K$4&amp;"'!$E$10:$E$44"),INDIRECT("'"&amp;K$4&amp;"'!$b$10:$b$44"))," ")</f>
        <v/>
      </c>
      <c r="L21" s="61">
        <f t="array" ref="L21">_xlfn.IFNA(_xlfn.XLOOKUP($A21,INDIRECT("'"&amp;L$4&amp;"'!$E$10:$E$44"),INDIRECT("'"&amp;L$4&amp;"'!$b$10:$b$44"))," ")</f>
        <v/>
      </c>
      <c r="M21" s="61">
        <f t="array" ref="M21">_xlfn.IFNA(_xlfn.XLOOKUP($A21,INDIRECT("'"&amp;M$4&amp;"'!$E$10:$E$44"),INDIRECT("'"&amp;M$4&amp;"'!$b$10:$b$44"))," ")</f>
        <v/>
      </c>
      <c r="N21" s="61">
        <f t="array" ref="N21">_xlfn.IFNA(_xlfn.XLOOKUP($A21,INDIRECT("'"&amp;N$4&amp;"'!$E$10:$E$44"),INDIRECT("'"&amp;N$4&amp;"'!$b$10:$b$44"))," ")</f>
        <v/>
      </c>
      <c r="O21" s="61">
        <f t="array" ref="O21">_xlfn.IFNA(_xlfn.XLOOKUP($A21,INDIRECT("'"&amp;O$4&amp;"'!$E$10:$E$44"),INDIRECT("'"&amp;O$4&amp;"'!$b$10:$b$44"))," ")</f>
        <v/>
      </c>
      <c r="P21" s="61">
        <f t="array" ref="P21">_xlfn.IFNA(_xlfn.XLOOKUP($A21,INDIRECT("'"&amp;P$4&amp;"'!$E$10:$E$44"),INDIRECT("'"&amp;P$4&amp;"'!$b$10:$b$44"))," ")</f>
        <v/>
      </c>
      <c r="Q21" s="61">
        <f t="array" ref="Q21">_xlfn.IFNA(_xlfn.XLOOKUP($A21,INDIRECT("'"&amp;Q$4&amp;"'!$E$10:$E$44"),INDIRECT("'"&amp;Q$4&amp;"'!$b$10:$b$44"))," ")</f>
        <v/>
      </c>
      <c r="T21" s="61">
        <f>SUM(B21:K21)</f>
        <v/>
      </c>
      <c r="U21" s="19">
        <f>IFERROR(AVERAGEIF(B21:Q21,"&gt;=0"),0)</f>
        <v/>
      </c>
      <c r="V21" s="61">
        <f>IFERROR(MAX(B21:Q21),0)</f>
        <v/>
      </c>
      <c r="W21" s="61">
        <f>IFERROR(_xlfn.MINIFS(B21:Q21,B21:Q21,"&gt;0"),0)</f>
        <v/>
      </c>
      <c r="X21" s="61">
        <f>RANK(T21,$T$5:$T$39)+COUNTIF($T$5:T21,T21)-1</f>
        <v/>
      </c>
      <c r="Y21" s="34">
        <f t="array" ref="Y21">IFERROR(T21/SUMPRODUCT(($B21:$C21&lt;&gt;"")*$B$3:$C$3),0)</f>
        <v/>
      </c>
    </row>
    <row r="22">
      <c r="A22" t="inlineStr">
        <is>
          <t>MiMi</t>
        </is>
      </c>
      <c r="B22" s="61">
        <f t="array" ref="B22">_xlfn.IFNA(_xlfn.XLOOKUP($A22,INDIRECT("'"&amp;B$4&amp;"'!$E$10:$E$44"),INDIRECT("'"&amp;B$4&amp;"'!$b$10:$b$44"))," ")</f>
        <v/>
      </c>
      <c r="C22" s="61">
        <f t="array" ref="C22">_xlfn.IFNA(_xlfn.XLOOKUP($A22,INDIRECT("'"&amp;C$4&amp;"'!$E$10:$E$44"),INDIRECT("'"&amp;C$4&amp;"'!$b$10:$b$44"))," ")</f>
        <v/>
      </c>
      <c r="D22" s="61">
        <f t="array" ref="D22">_xlfn.IFNA(_xlfn.XLOOKUP($A22,INDIRECT("'"&amp;D$4&amp;"'!$E$10:$E$44"),INDIRECT("'"&amp;D$4&amp;"'!$b$10:$b$44"))," ")</f>
        <v/>
      </c>
      <c r="E22" s="61">
        <f t="array" ref="E22">_xlfn.IFNA(_xlfn.XLOOKUP($A22,INDIRECT("'"&amp;E$4&amp;"'!$E$10:$E$44"),INDIRECT("'"&amp;E$4&amp;"'!$b$10:$b$44"))," ")</f>
        <v/>
      </c>
      <c r="F22" s="61">
        <f t="array" ref="F22">_xlfn.IFNA(_xlfn.XLOOKUP($A22,INDIRECT("'"&amp;F$4&amp;"'!$E$10:$E$44"),INDIRECT("'"&amp;F$4&amp;"'!$b$10:$b$44"))," ")</f>
        <v/>
      </c>
      <c r="G22" s="61">
        <f t="array" ref="G22">_xlfn.IFNA(_xlfn.XLOOKUP($A22,INDIRECT("'"&amp;G$4&amp;"'!$E$10:$E$44"),INDIRECT("'"&amp;G$4&amp;"'!$b$10:$b$44"))," ")</f>
        <v/>
      </c>
      <c r="H22" s="61">
        <f t="array" ref="H22">_xlfn.IFNA(_xlfn.XLOOKUP($A22,INDIRECT("'"&amp;H$4&amp;"'!$E$10:$E$44"),INDIRECT("'"&amp;H$4&amp;"'!$b$10:$b$44"))," ")</f>
        <v/>
      </c>
      <c r="I22" s="61">
        <f t="array" ref="I22">_xlfn.IFNA(_xlfn.XLOOKUP($A22,INDIRECT("'"&amp;I$4&amp;"'!$E$10:$E$44"),INDIRECT("'"&amp;I$4&amp;"'!$b$10:$b$44"))," ")</f>
        <v/>
      </c>
      <c r="J22" s="61">
        <f t="array" ref="J22">_xlfn.IFNA(_xlfn.XLOOKUP($A22,INDIRECT("'"&amp;J$4&amp;"'!$E$10:$E$44"),INDIRECT("'"&amp;J$4&amp;"'!$b$10:$b$44"))," ")</f>
        <v/>
      </c>
      <c r="K22" s="61">
        <f t="array" ref="K22">_xlfn.IFNA(_xlfn.XLOOKUP($A22,INDIRECT("'"&amp;K$4&amp;"'!$E$10:$E$44"),INDIRECT("'"&amp;K$4&amp;"'!$b$10:$b$44"))," ")</f>
        <v/>
      </c>
      <c r="L22" s="61">
        <f t="array" ref="L22">_xlfn.IFNA(_xlfn.XLOOKUP($A22,INDIRECT("'"&amp;L$4&amp;"'!$E$10:$E$44"),INDIRECT("'"&amp;L$4&amp;"'!$b$10:$b$44"))," ")</f>
        <v/>
      </c>
      <c r="M22" s="61">
        <f t="array" ref="M22">_xlfn.IFNA(_xlfn.XLOOKUP($A22,INDIRECT("'"&amp;M$4&amp;"'!$E$10:$E$44"),INDIRECT("'"&amp;M$4&amp;"'!$b$10:$b$44"))," ")</f>
        <v/>
      </c>
      <c r="N22" s="61">
        <f t="array" ref="N22">_xlfn.IFNA(_xlfn.XLOOKUP($A22,INDIRECT("'"&amp;N$4&amp;"'!$E$10:$E$44"),INDIRECT("'"&amp;N$4&amp;"'!$b$10:$b$44"))," ")</f>
        <v/>
      </c>
      <c r="O22" s="61">
        <f t="array" ref="O22">_xlfn.IFNA(_xlfn.XLOOKUP($A22,INDIRECT("'"&amp;O$4&amp;"'!$E$10:$E$44"),INDIRECT("'"&amp;O$4&amp;"'!$b$10:$b$44"))," ")</f>
        <v/>
      </c>
      <c r="P22" s="61">
        <f t="array" ref="P22">_xlfn.IFNA(_xlfn.XLOOKUP($A22,INDIRECT("'"&amp;P$4&amp;"'!$E$10:$E$44"),INDIRECT("'"&amp;P$4&amp;"'!$b$10:$b$44"))," ")</f>
        <v/>
      </c>
      <c r="Q22" s="61">
        <f t="array" ref="Q22">_xlfn.IFNA(_xlfn.XLOOKUP($A22,INDIRECT("'"&amp;Q$4&amp;"'!$E$10:$E$44"),INDIRECT("'"&amp;Q$4&amp;"'!$b$10:$b$44"))," ")</f>
        <v/>
      </c>
      <c r="T22" s="61">
        <f>SUM(B22:K22)</f>
        <v/>
      </c>
      <c r="U22" s="19">
        <f>IFERROR(AVERAGEIF(B22:Q22,"&gt;=0"),0)</f>
        <v/>
      </c>
      <c r="V22" s="61">
        <f>IFERROR(MAX(B22:Q22),0)</f>
        <v/>
      </c>
      <c r="W22" s="61">
        <f>IFERROR(_xlfn.MINIFS(B22:Q22,B22:Q22,"&gt;0"),0)</f>
        <v/>
      </c>
      <c r="X22" s="61">
        <f>RANK(T22,$T$5:$T$39)+COUNTIF($T$5:T22,T22)-1</f>
        <v/>
      </c>
      <c r="Y22" s="34">
        <f t="array" ref="Y22">IFERROR(T22/SUMPRODUCT(($B22:$C22&lt;&gt;"")*$B$3:$C$3),0)</f>
        <v/>
      </c>
    </row>
    <row r="23">
      <c r="A23" t="inlineStr">
        <is>
          <t>Mrp4real</t>
        </is>
      </c>
      <c r="B23" s="61">
        <f t="array" ref="B23">_xlfn.IFNA(_xlfn.XLOOKUP($A23,INDIRECT("'"&amp;B$4&amp;"'!$E$10:$E$44"),INDIRECT("'"&amp;B$4&amp;"'!$b$10:$b$44"))," ")</f>
        <v/>
      </c>
      <c r="C23" s="61">
        <f t="array" ref="C23">_xlfn.IFNA(_xlfn.XLOOKUP($A23,INDIRECT("'"&amp;C$4&amp;"'!$E$10:$E$44"),INDIRECT("'"&amp;C$4&amp;"'!$b$10:$b$44"))," ")</f>
        <v/>
      </c>
      <c r="D23" s="61">
        <f t="array" ref="D23">_xlfn.IFNA(_xlfn.XLOOKUP($A23,INDIRECT("'"&amp;D$4&amp;"'!$E$10:$E$44"),INDIRECT("'"&amp;D$4&amp;"'!$b$10:$b$44"))," ")</f>
        <v/>
      </c>
      <c r="E23" s="61">
        <f t="array" ref="E23">_xlfn.IFNA(_xlfn.XLOOKUP($A23,INDIRECT("'"&amp;E$4&amp;"'!$E$10:$E$44"),INDIRECT("'"&amp;E$4&amp;"'!$b$10:$b$44"))," ")</f>
        <v/>
      </c>
      <c r="F23" s="61">
        <f t="array" ref="F23">_xlfn.IFNA(_xlfn.XLOOKUP($A23,INDIRECT("'"&amp;F$4&amp;"'!$E$10:$E$44"),INDIRECT("'"&amp;F$4&amp;"'!$b$10:$b$44"))," ")</f>
        <v/>
      </c>
      <c r="G23" s="61">
        <f t="array" ref="G23">_xlfn.IFNA(_xlfn.XLOOKUP($A23,INDIRECT("'"&amp;G$4&amp;"'!$E$10:$E$44"),INDIRECT("'"&amp;G$4&amp;"'!$b$10:$b$44"))," ")</f>
        <v/>
      </c>
      <c r="H23" s="61">
        <f t="array" ref="H23">_xlfn.IFNA(_xlfn.XLOOKUP($A23,INDIRECT("'"&amp;H$4&amp;"'!$E$10:$E$44"),INDIRECT("'"&amp;H$4&amp;"'!$b$10:$b$44"))," ")</f>
        <v/>
      </c>
      <c r="I23" s="61">
        <f t="array" ref="I23">_xlfn.IFNA(_xlfn.XLOOKUP($A23,INDIRECT("'"&amp;I$4&amp;"'!$E$10:$E$44"),INDIRECT("'"&amp;I$4&amp;"'!$b$10:$b$44"))," ")</f>
        <v/>
      </c>
      <c r="J23" s="61">
        <f t="array" ref="J23">_xlfn.IFNA(_xlfn.XLOOKUP($A23,INDIRECT("'"&amp;J$4&amp;"'!$E$10:$E$44"),INDIRECT("'"&amp;J$4&amp;"'!$b$10:$b$44"))," ")</f>
        <v/>
      </c>
      <c r="K23" s="61">
        <f t="array" ref="K23">_xlfn.IFNA(_xlfn.XLOOKUP($A23,INDIRECT("'"&amp;K$4&amp;"'!$E$10:$E$44"),INDIRECT("'"&amp;K$4&amp;"'!$b$10:$b$44"))," ")</f>
        <v/>
      </c>
      <c r="L23" s="61">
        <f t="array" ref="L23">_xlfn.IFNA(_xlfn.XLOOKUP($A23,INDIRECT("'"&amp;L$4&amp;"'!$E$10:$E$44"),INDIRECT("'"&amp;L$4&amp;"'!$b$10:$b$44"))," ")</f>
        <v/>
      </c>
      <c r="M23" s="61">
        <f t="array" ref="M23">_xlfn.IFNA(_xlfn.XLOOKUP($A23,INDIRECT("'"&amp;M$4&amp;"'!$E$10:$E$44"),INDIRECT("'"&amp;M$4&amp;"'!$b$10:$b$44"))," ")</f>
        <v/>
      </c>
      <c r="N23" s="61">
        <f t="array" ref="N23">_xlfn.IFNA(_xlfn.XLOOKUP($A23,INDIRECT("'"&amp;N$4&amp;"'!$E$10:$E$44"),INDIRECT("'"&amp;N$4&amp;"'!$b$10:$b$44"))," ")</f>
        <v/>
      </c>
      <c r="O23" s="61">
        <f t="array" ref="O23">_xlfn.IFNA(_xlfn.XLOOKUP($A23,INDIRECT("'"&amp;O$4&amp;"'!$E$10:$E$44"),INDIRECT("'"&amp;O$4&amp;"'!$b$10:$b$44"))," ")</f>
        <v/>
      </c>
      <c r="P23" s="61">
        <f t="array" ref="P23">_xlfn.IFNA(_xlfn.XLOOKUP($A23,INDIRECT("'"&amp;P$4&amp;"'!$E$10:$E$44"),INDIRECT("'"&amp;P$4&amp;"'!$b$10:$b$44"))," ")</f>
        <v/>
      </c>
      <c r="Q23" s="61">
        <f t="array" ref="Q23">_xlfn.IFNA(_xlfn.XLOOKUP($A23,INDIRECT("'"&amp;Q$4&amp;"'!$E$10:$E$44"),INDIRECT("'"&amp;Q$4&amp;"'!$b$10:$b$44"))," ")</f>
        <v/>
      </c>
      <c r="T23" s="61">
        <f>SUM(B23:K23)</f>
        <v/>
      </c>
      <c r="U23" s="19">
        <f>IFERROR(AVERAGEIF(B23:Q23,"&gt;=0"),0)</f>
        <v/>
      </c>
      <c r="V23" s="61">
        <f>IFERROR(MAX(B23:Q23),0)</f>
        <v/>
      </c>
      <c r="W23" s="61">
        <f>IFERROR(_xlfn.MINIFS(B23:Q23,B23:Q23,"&gt;0"),0)</f>
        <v/>
      </c>
      <c r="X23" s="61">
        <f>RANK(T23,$T$5:$T$39)+COUNTIF($T$5:T23,T23)-1</f>
        <v/>
      </c>
      <c r="Y23" s="34">
        <f t="array" ref="Y23">IFERROR(T23/SUMPRODUCT(($B23:$C23&lt;&gt;"")*$B$3:$C$3),0)</f>
        <v/>
      </c>
    </row>
    <row r="24">
      <c r="A24" t="inlineStr">
        <is>
          <t>Navygolfer</t>
        </is>
      </c>
      <c r="B24" s="61">
        <f t="array" ref="B24">_xlfn.IFNA(_xlfn.XLOOKUP($A24,INDIRECT("'"&amp;B$4&amp;"'!$E$10:$E$44"),INDIRECT("'"&amp;B$4&amp;"'!$b$10:$b$44"))," ")</f>
        <v/>
      </c>
      <c r="C24" s="61">
        <f t="array" ref="C24">_xlfn.IFNA(_xlfn.XLOOKUP($A24,INDIRECT("'"&amp;C$4&amp;"'!$E$10:$E$44"),INDIRECT("'"&amp;C$4&amp;"'!$b$10:$b$44"))," ")</f>
        <v/>
      </c>
      <c r="D24" s="61">
        <f t="array" ref="D24">_xlfn.IFNA(_xlfn.XLOOKUP($A24,INDIRECT("'"&amp;D$4&amp;"'!$E$10:$E$44"),INDIRECT("'"&amp;D$4&amp;"'!$b$10:$b$44"))," ")</f>
        <v/>
      </c>
      <c r="E24" s="61">
        <f t="array" ref="E24">_xlfn.IFNA(_xlfn.XLOOKUP($A24,INDIRECT("'"&amp;E$4&amp;"'!$E$10:$E$44"),INDIRECT("'"&amp;E$4&amp;"'!$b$10:$b$44"))," ")</f>
        <v/>
      </c>
      <c r="F24" s="61">
        <f t="array" ref="F24">_xlfn.IFNA(_xlfn.XLOOKUP($A24,INDIRECT("'"&amp;F$4&amp;"'!$E$10:$E$44"),INDIRECT("'"&amp;F$4&amp;"'!$b$10:$b$44"))," ")</f>
        <v/>
      </c>
      <c r="G24" s="61">
        <f t="array" ref="G24">_xlfn.IFNA(_xlfn.XLOOKUP($A24,INDIRECT("'"&amp;G$4&amp;"'!$E$10:$E$44"),INDIRECT("'"&amp;G$4&amp;"'!$b$10:$b$44"))," ")</f>
        <v/>
      </c>
      <c r="H24" s="61">
        <f t="array" ref="H24">_xlfn.IFNA(_xlfn.XLOOKUP($A24,INDIRECT("'"&amp;H$4&amp;"'!$E$10:$E$44"),INDIRECT("'"&amp;H$4&amp;"'!$b$10:$b$44"))," ")</f>
        <v/>
      </c>
      <c r="I24" s="61">
        <f t="array" ref="I24">_xlfn.IFNA(_xlfn.XLOOKUP($A24,INDIRECT("'"&amp;I$4&amp;"'!$E$10:$E$44"),INDIRECT("'"&amp;I$4&amp;"'!$b$10:$b$44"))," ")</f>
        <v/>
      </c>
      <c r="J24" s="61">
        <f t="array" ref="J24">_xlfn.IFNA(_xlfn.XLOOKUP($A24,INDIRECT("'"&amp;J$4&amp;"'!$E$10:$E$44"),INDIRECT("'"&amp;J$4&amp;"'!$b$10:$b$44"))," ")</f>
        <v/>
      </c>
      <c r="K24" s="61">
        <f t="array" ref="K24">_xlfn.IFNA(_xlfn.XLOOKUP($A24,INDIRECT("'"&amp;K$4&amp;"'!$E$10:$E$44"),INDIRECT("'"&amp;K$4&amp;"'!$b$10:$b$44"))," ")</f>
        <v/>
      </c>
      <c r="L24" s="61">
        <f t="array" ref="L24">_xlfn.IFNA(_xlfn.XLOOKUP($A24,INDIRECT("'"&amp;L$4&amp;"'!$E$10:$E$44"),INDIRECT("'"&amp;L$4&amp;"'!$b$10:$b$44"))," ")</f>
        <v/>
      </c>
      <c r="M24" s="61">
        <f t="array" ref="M24">_xlfn.IFNA(_xlfn.XLOOKUP($A24,INDIRECT("'"&amp;M$4&amp;"'!$E$10:$E$44"),INDIRECT("'"&amp;M$4&amp;"'!$b$10:$b$44"))," ")</f>
        <v/>
      </c>
      <c r="N24" s="61">
        <f t="array" ref="N24">_xlfn.IFNA(_xlfn.XLOOKUP($A24,INDIRECT("'"&amp;N$4&amp;"'!$E$10:$E$44"),INDIRECT("'"&amp;N$4&amp;"'!$b$10:$b$44"))," ")</f>
        <v/>
      </c>
      <c r="O24" s="61">
        <f t="array" ref="O24">_xlfn.IFNA(_xlfn.XLOOKUP($A24,INDIRECT("'"&amp;O$4&amp;"'!$E$10:$E$44"),INDIRECT("'"&amp;O$4&amp;"'!$b$10:$b$44"))," ")</f>
        <v/>
      </c>
      <c r="P24" s="61">
        <f t="array" ref="P24">_xlfn.IFNA(_xlfn.XLOOKUP($A24,INDIRECT("'"&amp;P$4&amp;"'!$E$10:$E$44"),INDIRECT("'"&amp;P$4&amp;"'!$b$10:$b$44"))," ")</f>
        <v/>
      </c>
      <c r="Q24" s="61">
        <f t="array" ref="Q24">_xlfn.IFNA(_xlfn.XLOOKUP($A24,INDIRECT("'"&amp;Q$4&amp;"'!$E$10:$E$44"),INDIRECT("'"&amp;Q$4&amp;"'!$b$10:$b$44"))," ")</f>
        <v/>
      </c>
      <c r="T24" s="61">
        <f>SUM(B24:K24)</f>
        <v/>
      </c>
      <c r="U24" s="19">
        <f>IFERROR(AVERAGEIF(B24:Q24,"&gt;=0"),0)</f>
        <v/>
      </c>
      <c r="V24" s="61">
        <f>IFERROR(MAX(B24:Q24),0)</f>
        <v/>
      </c>
      <c r="W24" s="61">
        <f>IFERROR(_xlfn.MINIFS(B24:Q24,B24:Q24,"&gt;0"),0)</f>
        <v/>
      </c>
      <c r="X24" s="61">
        <f>RANK(T24,$T$5:$T$39)+COUNTIF($T$5:T24,T24)-1</f>
        <v/>
      </c>
      <c r="Y24" s="34">
        <f t="array" ref="Y24">IFERROR(T24/SUMPRODUCT(($B24:$C24&lt;&gt;"")*$B$3:$C$3),0)</f>
        <v/>
      </c>
    </row>
    <row r="25">
      <c r="A25" s="25" t="inlineStr">
        <is>
          <t>Phelps Phamily</t>
        </is>
      </c>
      <c r="B25" s="26">
        <f t="array" ref="B25">_xlfn.IFNA(_xlfn.XLOOKUP($A25,INDIRECT("'"&amp;B$4&amp;"'!$E$10:$E$44"),INDIRECT("'"&amp;B$4&amp;"'!$b$10:$b$44"))," ")</f>
        <v/>
      </c>
      <c r="C25" s="26">
        <f t="array" ref="C25">_xlfn.IFNA(_xlfn.XLOOKUP($A25,INDIRECT("'"&amp;C$4&amp;"'!$E$10:$E$44"),INDIRECT("'"&amp;C$4&amp;"'!$b$10:$b$44"))," ")</f>
        <v/>
      </c>
      <c r="D25" s="26">
        <f t="array" ref="D25">_xlfn.IFNA(_xlfn.XLOOKUP($A25,INDIRECT("'"&amp;D$4&amp;"'!$E$10:$E$44"),INDIRECT("'"&amp;D$4&amp;"'!$b$10:$b$44"))," ")</f>
        <v/>
      </c>
      <c r="E25" s="26">
        <f t="array" ref="E25">_xlfn.IFNA(_xlfn.XLOOKUP($A25,INDIRECT("'"&amp;E$4&amp;"'!$E$10:$E$44"),INDIRECT("'"&amp;E$4&amp;"'!$b$10:$b$44"))," ")</f>
        <v/>
      </c>
      <c r="F25" s="26">
        <f t="array" ref="F25">_xlfn.IFNA(_xlfn.XLOOKUP($A25,INDIRECT("'"&amp;F$4&amp;"'!$E$10:$E$44"),INDIRECT("'"&amp;F$4&amp;"'!$b$10:$b$44"))," ")</f>
        <v/>
      </c>
      <c r="G25" s="26">
        <f t="array" ref="G25">_xlfn.IFNA(_xlfn.XLOOKUP($A25,INDIRECT("'"&amp;G$4&amp;"'!$E$10:$E$44"),INDIRECT("'"&amp;G$4&amp;"'!$b$10:$b$44"))," ")</f>
        <v/>
      </c>
      <c r="H25" s="26">
        <f t="array" ref="H25">_xlfn.IFNA(_xlfn.XLOOKUP($A25,INDIRECT("'"&amp;H$4&amp;"'!$E$10:$E$44"),INDIRECT("'"&amp;H$4&amp;"'!$b$10:$b$44"))," ")</f>
        <v/>
      </c>
      <c r="I25" s="26">
        <f t="array" ref="I25">_xlfn.IFNA(_xlfn.XLOOKUP($A25,INDIRECT("'"&amp;I$4&amp;"'!$E$10:$E$44"),INDIRECT("'"&amp;I$4&amp;"'!$b$10:$b$44"))," ")</f>
        <v/>
      </c>
      <c r="J25" s="26">
        <f t="array" ref="J25">_xlfn.IFNA(_xlfn.XLOOKUP($A25,INDIRECT("'"&amp;J$4&amp;"'!$E$10:$E$44"),INDIRECT("'"&amp;J$4&amp;"'!$b$10:$b$44"))," ")</f>
        <v/>
      </c>
      <c r="K25" s="26">
        <f t="array" ref="K25">_xlfn.IFNA(_xlfn.XLOOKUP($A25,INDIRECT("'"&amp;K$4&amp;"'!$E$10:$E$44"),INDIRECT("'"&amp;K$4&amp;"'!$b$10:$b$44"))," ")</f>
        <v/>
      </c>
      <c r="L25" s="26">
        <f t="array" ref="L25">_xlfn.IFNA(_xlfn.XLOOKUP($A25,INDIRECT("'"&amp;L$4&amp;"'!$E$10:$E$44"),INDIRECT("'"&amp;L$4&amp;"'!$b$10:$b$44"))," ")</f>
        <v/>
      </c>
      <c r="M25" s="26">
        <f t="array" ref="M25">_xlfn.IFNA(_xlfn.XLOOKUP($A25,INDIRECT("'"&amp;M$4&amp;"'!$E$10:$E$44"),INDIRECT("'"&amp;M$4&amp;"'!$b$10:$b$44"))," ")</f>
        <v/>
      </c>
      <c r="N25" s="26">
        <f t="array" ref="N25">_xlfn.IFNA(_xlfn.XLOOKUP($A25,INDIRECT("'"&amp;N$4&amp;"'!$E$10:$E$44"),INDIRECT("'"&amp;N$4&amp;"'!$b$10:$b$44"))," ")</f>
        <v/>
      </c>
      <c r="O25" s="26">
        <f t="array" ref="O25">_xlfn.IFNA(_xlfn.XLOOKUP($A25,INDIRECT("'"&amp;O$4&amp;"'!$E$10:$E$44"),INDIRECT("'"&amp;O$4&amp;"'!$b$10:$b$44"))," ")</f>
        <v/>
      </c>
      <c r="P25" s="26">
        <f t="array" ref="P25">_xlfn.IFNA(_xlfn.XLOOKUP($A25,INDIRECT("'"&amp;P$4&amp;"'!$E$10:$E$44"),INDIRECT("'"&amp;P$4&amp;"'!$b$10:$b$44"))," ")</f>
        <v/>
      </c>
      <c r="Q25" s="26">
        <f t="array" ref="Q25">_xlfn.IFNA(_xlfn.XLOOKUP($A25,INDIRECT("'"&amp;Q$4&amp;"'!$E$10:$E$44"),INDIRECT("'"&amp;Q$4&amp;"'!$b$10:$b$44"))," ")</f>
        <v/>
      </c>
      <c r="R25" s="26" t="n"/>
      <c r="S25" s="26" t="n"/>
      <c r="T25" s="61">
        <f>SUM(B25:K25)</f>
        <v/>
      </c>
      <c r="U25" s="27">
        <f>IFERROR(AVERAGEIF(B25:Q25,"&gt;=0"),0)</f>
        <v/>
      </c>
      <c r="V25" s="26">
        <f>IFERROR(MAX(B25:Q25),0)</f>
        <v/>
      </c>
      <c r="W25" s="26">
        <f>IFERROR(_xlfn.MINIFS(B25:Q25,B25:Q25,"&gt;0"),0)</f>
        <v/>
      </c>
      <c r="X25" s="26">
        <f>RANK(T25,$T$5:$T$39)+COUNTIF($T$5:T25,T25)-1</f>
        <v/>
      </c>
      <c r="Y25" s="34">
        <f t="array" ref="Y25">IFERROR(T25/SUMPRODUCT(($B25:$C25&lt;&gt;"")*$B$3:$C$3),0)</f>
        <v/>
      </c>
    </row>
    <row r="26">
      <c r="A26" s="25" t="inlineStr">
        <is>
          <t>Phelpy</t>
        </is>
      </c>
      <c r="B26" s="26">
        <f t="array" ref="B26">_xlfn.IFNA(_xlfn.XLOOKUP($A26,INDIRECT("'"&amp;B$4&amp;"'!$E$10:$E$44"),INDIRECT("'"&amp;B$4&amp;"'!$b$10:$b$44"))," ")</f>
        <v/>
      </c>
      <c r="C26" s="26">
        <f t="array" ref="C26">_xlfn.IFNA(_xlfn.XLOOKUP($A26,INDIRECT("'"&amp;C$4&amp;"'!$E$10:$E$44"),INDIRECT("'"&amp;C$4&amp;"'!$b$10:$b$44"))," ")</f>
        <v/>
      </c>
      <c r="D26" s="26">
        <f t="array" ref="D26">_xlfn.IFNA(_xlfn.XLOOKUP($A26,INDIRECT("'"&amp;D$4&amp;"'!$E$10:$E$44"),INDIRECT("'"&amp;D$4&amp;"'!$b$10:$b$44"))," ")</f>
        <v/>
      </c>
      <c r="E26" s="26">
        <f t="array" ref="E26">_xlfn.IFNA(_xlfn.XLOOKUP($A26,INDIRECT("'"&amp;E$4&amp;"'!$E$10:$E$44"),INDIRECT("'"&amp;E$4&amp;"'!$b$10:$b$44"))," ")</f>
        <v/>
      </c>
      <c r="F26" s="26">
        <f t="array" ref="F26">_xlfn.IFNA(_xlfn.XLOOKUP($A26,INDIRECT("'"&amp;F$4&amp;"'!$E$10:$E$44"),INDIRECT("'"&amp;F$4&amp;"'!$b$10:$b$44"))," ")</f>
        <v/>
      </c>
      <c r="G26" s="26">
        <f t="array" ref="G26">_xlfn.IFNA(_xlfn.XLOOKUP($A26,INDIRECT("'"&amp;G$4&amp;"'!$E$10:$E$44"),INDIRECT("'"&amp;G$4&amp;"'!$b$10:$b$44"))," ")</f>
        <v/>
      </c>
      <c r="H26" s="26">
        <f t="array" ref="H26">_xlfn.IFNA(_xlfn.XLOOKUP($A26,INDIRECT("'"&amp;H$4&amp;"'!$E$10:$E$44"),INDIRECT("'"&amp;H$4&amp;"'!$b$10:$b$44"))," ")</f>
        <v/>
      </c>
      <c r="I26" s="26">
        <f t="array" ref="I26">_xlfn.IFNA(_xlfn.XLOOKUP($A26,INDIRECT("'"&amp;I$4&amp;"'!$E$10:$E$44"),INDIRECT("'"&amp;I$4&amp;"'!$b$10:$b$44"))," ")</f>
        <v/>
      </c>
      <c r="J26" s="26">
        <f t="array" ref="J26">_xlfn.IFNA(_xlfn.XLOOKUP($A26,INDIRECT("'"&amp;J$4&amp;"'!$E$10:$E$44"),INDIRECT("'"&amp;J$4&amp;"'!$b$10:$b$44"))," ")</f>
        <v/>
      </c>
      <c r="K26" s="26">
        <f t="array" ref="K26">_xlfn.IFNA(_xlfn.XLOOKUP($A26,INDIRECT("'"&amp;K$4&amp;"'!$E$10:$E$44"),INDIRECT("'"&amp;K$4&amp;"'!$b$10:$b$44"))," ")</f>
        <v/>
      </c>
      <c r="L26" s="26">
        <f t="array" ref="L26">_xlfn.IFNA(_xlfn.XLOOKUP($A26,INDIRECT("'"&amp;L$4&amp;"'!$E$10:$E$44"),INDIRECT("'"&amp;L$4&amp;"'!$b$10:$b$44"))," ")</f>
        <v/>
      </c>
      <c r="M26" s="26">
        <f t="array" ref="M26">_xlfn.IFNA(_xlfn.XLOOKUP($A26,INDIRECT("'"&amp;M$4&amp;"'!$E$10:$E$44"),INDIRECT("'"&amp;M$4&amp;"'!$b$10:$b$44"))," ")</f>
        <v/>
      </c>
      <c r="N26" s="26">
        <f t="array" ref="N26">_xlfn.IFNA(_xlfn.XLOOKUP($A26,INDIRECT("'"&amp;N$4&amp;"'!$E$10:$E$44"),INDIRECT("'"&amp;N$4&amp;"'!$b$10:$b$44"))," ")</f>
        <v/>
      </c>
      <c r="O26" s="26">
        <f t="array" ref="O26">_xlfn.IFNA(_xlfn.XLOOKUP($A26,INDIRECT("'"&amp;O$4&amp;"'!$E$10:$E$44"),INDIRECT("'"&amp;O$4&amp;"'!$b$10:$b$44"))," ")</f>
        <v/>
      </c>
      <c r="P26" s="26">
        <f t="array" ref="P26">_xlfn.IFNA(_xlfn.XLOOKUP($A26,INDIRECT("'"&amp;P$4&amp;"'!$E$10:$E$44"),INDIRECT("'"&amp;P$4&amp;"'!$b$10:$b$44"))," ")</f>
        <v/>
      </c>
      <c r="Q26" s="26">
        <f t="array" ref="Q26">_xlfn.IFNA(_xlfn.XLOOKUP($A26,INDIRECT("'"&amp;Q$4&amp;"'!$E$10:$E$44"),INDIRECT("'"&amp;Q$4&amp;"'!$b$10:$b$44"))," ")</f>
        <v/>
      </c>
      <c r="R26" s="26" t="n"/>
      <c r="S26" s="26" t="n"/>
      <c r="T26" s="61">
        <f>SUM(B26:K26)</f>
        <v/>
      </c>
      <c r="U26" s="27">
        <f>IFERROR(AVERAGEIF(B26:Q26,"&gt;=0"),0)</f>
        <v/>
      </c>
      <c r="V26" s="26">
        <f>IFERROR(MAX(B26:Q26),0)</f>
        <v/>
      </c>
      <c r="W26" s="26">
        <f>IFERROR(_xlfn.MINIFS(B26:Q26,B26:Q26,"&gt;0"),0)</f>
        <v/>
      </c>
      <c r="X26" s="26">
        <f>RANK(T26,$T$5:$T$39)+COUNTIF($T$5:T26,T26)-1</f>
        <v/>
      </c>
      <c r="Y26" s="34">
        <f t="array" ref="Y26">IFERROR(T26/SUMPRODUCT(($B26:$C26&lt;&gt;"")*$B$3:$C$3),0)</f>
        <v/>
      </c>
    </row>
    <row r="27">
      <c r="A27" t="inlineStr">
        <is>
          <t>Regltr5</t>
        </is>
      </c>
      <c r="B27" s="61">
        <f t="array" ref="B27">_xlfn.IFNA(_xlfn.XLOOKUP($A27,INDIRECT("'"&amp;B$4&amp;"'!$E$10:$E$44"),INDIRECT("'"&amp;B$4&amp;"'!$b$10:$b$44"))," ")</f>
        <v/>
      </c>
      <c r="C27" s="61">
        <f t="array" ref="C27">_xlfn.IFNA(_xlfn.XLOOKUP($A27,INDIRECT("'"&amp;C$4&amp;"'!$E$10:$E$44"),INDIRECT("'"&amp;C$4&amp;"'!$b$10:$b$44"))," ")</f>
        <v/>
      </c>
      <c r="D27" s="61">
        <f t="array" ref="D27">_xlfn.IFNA(_xlfn.XLOOKUP($A27,INDIRECT("'"&amp;D$4&amp;"'!$E$10:$E$44"),INDIRECT("'"&amp;D$4&amp;"'!$b$10:$b$44"))," ")</f>
        <v/>
      </c>
      <c r="E27" s="61">
        <f t="array" ref="E27">_xlfn.IFNA(_xlfn.XLOOKUP($A27,INDIRECT("'"&amp;E$4&amp;"'!$E$10:$E$44"),INDIRECT("'"&amp;E$4&amp;"'!$b$10:$b$44"))," ")</f>
        <v/>
      </c>
      <c r="F27" s="61">
        <f t="array" ref="F27">_xlfn.IFNA(_xlfn.XLOOKUP($A27,INDIRECT("'"&amp;F$4&amp;"'!$E$10:$E$44"),INDIRECT("'"&amp;F$4&amp;"'!$b$10:$b$44"))," ")</f>
        <v/>
      </c>
      <c r="G27" s="61">
        <f t="array" ref="G27">_xlfn.IFNA(_xlfn.XLOOKUP($A27,INDIRECT("'"&amp;G$4&amp;"'!$E$10:$E$44"),INDIRECT("'"&amp;G$4&amp;"'!$b$10:$b$44"))," ")</f>
        <v/>
      </c>
      <c r="H27" s="61">
        <f t="array" ref="H27">_xlfn.IFNA(_xlfn.XLOOKUP($A27,INDIRECT("'"&amp;H$4&amp;"'!$E$10:$E$44"),INDIRECT("'"&amp;H$4&amp;"'!$b$10:$b$44"))," ")</f>
        <v/>
      </c>
      <c r="I27" s="61">
        <f t="array" ref="I27">_xlfn.IFNA(_xlfn.XLOOKUP($A27,INDIRECT("'"&amp;I$4&amp;"'!$E$10:$E$44"),INDIRECT("'"&amp;I$4&amp;"'!$b$10:$b$44"))," ")</f>
        <v/>
      </c>
      <c r="J27" s="61">
        <f t="array" ref="J27">_xlfn.IFNA(_xlfn.XLOOKUP($A27,INDIRECT("'"&amp;J$4&amp;"'!$E$10:$E$44"),INDIRECT("'"&amp;J$4&amp;"'!$b$10:$b$44"))," ")</f>
        <v/>
      </c>
      <c r="K27" s="61">
        <f t="array" ref="K27">_xlfn.IFNA(_xlfn.XLOOKUP($A27,INDIRECT("'"&amp;K$4&amp;"'!$E$10:$E$44"),INDIRECT("'"&amp;K$4&amp;"'!$b$10:$b$44"))," ")</f>
        <v/>
      </c>
      <c r="L27" s="61">
        <f t="array" ref="L27">_xlfn.IFNA(_xlfn.XLOOKUP($A27,INDIRECT("'"&amp;L$4&amp;"'!$E$10:$E$44"),INDIRECT("'"&amp;L$4&amp;"'!$b$10:$b$44"))," ")</f>
        <v/>
      </c>
      <c r="M27" s="61">
        <f t="array" ref="M27">_xlfn.IFNA(_xlfn.XLOOKUP($A27,INDIRECT("'"&amp;M$4&amp;"'!$E$10:$E$44"),INDIRECT("'"&amp;M$4&amp;"'!$b$10:$b$44"))," ")</f>
        <v/>
      </c>
      <c r="N27" s="61">
        <f t="array" ref="N27">_xlfn.IFNA(_xlfn.XLOOKUP($A27,INDIRECT("'"&amp;N$4&amp;"'!$E$10:$E$44"),INDIRECT("'"&amp;N$4&amp;"'!$b$10:$b$44"))," ")</f>
        <v/>
      </c>
      <c r="O27" s="61">
        <f t="array" ref="O27">_xlfn.IFNA(_xlfn.XLOOKUP($A27,INDIRECT("'"&amp;O$4&amp;"'!$E$10:$E$44"),INDIRECT("'"&amp;O$4&amp;"'!$b$10:$b$44"))," ")</f>
        <v/>
      </c>
      <c r="P27" s="61">
        <f t="array" ref="P27">_xlfn.IFNA(_xlfn.XLOOKUP($A27,INDIRECT("'"&amp;P$4&amp;"'!$E$10:$E$44"),INDIRECT("'"&amp;P$4&amp;"'!$b$10:$b$44"))," ")</f>
        <v/>
      </c>
      <c r="Q27" s="61">
        <f t="array" ref="Q27">_xlfn.IFNA(_xlfn.XLOOKUP($A27,INDIRECT("'"&amp;Q$4&amp;"'!$E$10:$E$44"),INDIRECT("'"&amp;Q$4&amp;"'!$b$10:$b$44"))," ")</f>
        <v/>
      </c>
      <c r="T27" s="61">
        <f>SUM(B27:K27)</f>
        <v/>
      </c>
      <c r="U27" s="19">
        <f>IFERROR(AVERAGEIF(B27:Q27,"&gt;=0"),0)</f>
        <v/>
      </c>
      <c r="V27" s="61">
        <f>IFERROR(MAX(B27:Q27),0)</f>
        <v/>
      </c>
      <c r="W27" s="61">
        <f>IFERROR(_xlfn.MINIFS(B27:Q27,B27:Q27,"&gt;0"),0)</f>
        <v/>
      </c>
      <c r="X27" s="61">
        <f>RANK(T27,$T$5:$T$39)+COUNTIF($T$5:T27,T27)-1</f>
        <v/>
      </c>
      <c r="Y27" s="34">
        <f t="array" ref="Y27">IFERROR(T27/SUMPRODUCT(($B27:$C27&lt;&gt;"")*$B$3:$C$3),0)</f>
        <v/>
      </c>
    </row>
    <row r="28">
      <c r="A28" t="inlineStr">
        <is>
          <t>Rusted Ox</t>
        </is>
      </c>
      <c r="B28" s="61">
        <f t="array" ref="B28">_xlfn.IFNA(_xlfn.XLOOKUP($A28,INDIRECT("'"&amp;B$4&amp;"'!$E$10:$E$44"),INDIRECT("'"&amp;B$4&amp;"'!$b$10:$b$44"))," ")</f>
        <v/>
      </c>
      <c r="C28" s="61">
        <f t="array" ref="C28">_xlfn.IFNA(_xlfn.XLOOKUP($A28,INDIRECT("'"&amp;C$4&amp;"'!$E$10:$E$44"),INDIRECT("'"&amp;C$4&amp;"'!$b$10:$b$44"))," ")</f>
        <v/>
      </c>
      <c r="D28" s="61">
        <f t="array" ref="D28">_xlfn.IFNA(_xlfn.XLOOKUP($A28,INDIRECT("'"&amp;D$4&amp;"'!$E$10:$E$44"),INDIRECT("'"&amp;D$4&amp;"'!$b$10:$b$44"))," ")</f>
        <v/>
      </c>
      <c r="E28" s="61">
        <f t="array" ref="E28">_xlfn.IFNA(_xlfn.XLOOKUP($A28,INDIRECT("'"&amp;E$4&amp;"'!$E$10:$E$44"),INDIRECT("'"&amp;E$4&amp;"'!$b$10:$b$44"))," ")</f>
        <v/>
      </c>
      <c r="F28" s="61">
        <f t="array" ref="F28">_xlfn.IFNA(_xlfn.XLOOKUP($A28,INDIRECT("'"&amp;F$4&amp;"'!$E$10:$E$44"),INDIRECT("'"&amp;F$4&amp;"'!$b$10:$b$44"))," ")</f>
        <v/>
      </c>
      <c r="G28" s="61">
        <f t="array" ref="G28">_xlfn.IFNA(_xlfn.XLOOKUP($A28,INDIRECT("'"&amp;G$4&amp;"'!$E$10:$E$44"),INDIRECT("'"&amp;G$4&amp;"'!$b$10:$b$44"))," ")</f>
        <v/>
      </c>
      <c r="H28" s="61">
        <f t="array" ref="H28">_xlfn.IFNA(_xlfn.XLOOKUP($A28,INDIRECT("'"&amp;H$4&amp;"'!$E$10:$E$44"),INDIRECT("'"&amp;H$4&amp;"'!$b$10:$b$44"))," ")</f>
        <v/>
      </c>
      <c r="I28" s="61">
        <f t="array" ref="I28">_xlfn.IFNA(_xlfn.XLOOKUP($A28,INDIRECT("'"&amp;I$4&amp;"'!$E$10:$E$44"),INDIRECT("'"&amp;I$4&amp;"'!$b$10:$b$44"))," ")</f>
        <v/>
      </c>
      <c r="J28" s="61">
        <f t="array" ref="J28">_xlfn.IFNA(_xlfn.XLOOKUP($A28,INDIRECT("'"&amp;J$4&amp;"'!$E$10:$E$44"),INDIRECT("'"&amp;J$4&amp;"'!$b$10:$b$44"))," ")</f>
        <v/>
      </c>
      <c r="K28" s="61">
        <f t="array" ref="K28">_xlfn.IFNA(_xlfn.XLOOKUP($A28,INDIRECT("'"&amp;K$4&amp;"'!$E$10:$E$44"),INDIRECT("'"&amp;K$4&amp;"'!$b$10:$b$44"))," ")</f>
        <v/>
      </c>
      <c r="L28" s="61">
        <f t="array" ref="L28">_xlfn.IFNA(_xlfn.XLOOKUP($A28,INDIRECT("'"&amp;L$4&amp;"'!$E$10:$E$44"),INDIRECT("'"&amp;L$4&amp;"'!$b$10:$b$44"))," ")</f>
        <v/>
      </c>
      <c r="M28" s="61">
        <f t="array" ref="M28">_xlfn.IFNA(_xlfn.XLOOKUP($A28,INDIRECT("'"&amp;M$4&amp;"'!$E$10:$E$44"),INDIRECT("'"&amp;M$4&amp;"'!$b$10:$b$44"))," ")</f>
        <v/>
      </c>
      <c r="N28" s="61">
        <f t="array" ref="N28">_xlfn.IFNA(_xlfn.XLOOKUP($A28,INDIRECT("'"&amp;N$4&amp;"'!$E$10:$E$44"),INDIRECT("'"&amp;N$4&amp;"'!$b$10:$b$44"))," ")</f>
        <v/>
      </c>
      <c r="O28" s="61">
        <f t="array" ref="O28">_xlfn.IFNA(_xlfn.XLOOKUP($A28,INDIRECT("'"&amp;O$4&amp;"'!$E$10:$E$44"),INDIRECT("'"&amp;O$4&amp;"'!$b$10:$b$44"))," ")</f>
        <v/>
      </c>
      <c r="P28" s="61">
        <f t="array" ref="P28">_xlfn.IFNA(_xlfn.XLOOKUP($A28,INDIRECT("'"&amp;P$4&amp;"'!$E$10:$E$44"),INDIRECT("'"&amp;P$4&amp;"'!$b$10:$b$44"))," ")</f>
        <v/>
      </c>
      <c r="Q28" s="61">
        <f t="array" ref="Q28">_xlfn.IFNA(_xlfn.XLOOKUP($A28,INDIRECT("'"&amp;Q$4&amp;"'!$E$10:$E$44"),INDIRECT("'"&amp;Q$4&amp;"'!$b$10:$b$44"))," ")</f>
        <v/>
      </c>
      <c r="T28" s="61">
        <f>SUM(B28:K28)</f>
        <v/>
      </c>
      <c r="U28" s="19">
        <f>IFERROR(AVERAGEIF(B28:Q28,"&gt;=0"),0)</f>
        <v/>
      </c>
      <c r="V28" s="61">
        <f>IFERROR(MAX(B28:Q28),0)</f>
        <v/>
      </c>
      <c r="W28" s="61">
        <f>IFERROR(_xlfn.MINIFS(B28:Q28,B28:Q28,"&gt;0"),0)</f>
        <v/>
      </c>
      <c r="X28" s="61">
        <f>RANK(T28,$T$5:$T$39)+COUNTIF($T$5:T28,T28)-1</f>
        <v/>
      </c>
      <c r="Y28" s="34">
        <f t="array" ref="Y28">IFERROR(T28/SUMPRODUCT(($B28:$C28&lt;&gt;"")*$B$3:$C$3),0)</f>
        <v/>
      </c>
    </row>
    <row r="29">
      <c r="A29" t="inlineStr">
        <is>
          <t>Ryan S</t>
        </is>
      </c>
      <c r="B29" s="61">
        <f t="array" ref="B29">_xlfn.IFNA(_xlfn.XLOOKUP($A29,INDIRECT("'"&amp;B$4&amp;"'!$E$10:$E$44"),INDIRECT("'"&amp;B$4&amp;"'!$b$10:$b$44"))," ")</f>
        <v/>
      </c>
      <c r="C29" s="61">
        <f t="array" ref="C29">_xlfn.IFNA(_xlfn.XLOOKUP($A29,INDIRECT("'"&amp;C$4&amp;"'!$E$10:$E$44"),INDIRECT("'"&amp;C$4&amp;"'!$b$10:$b$44"))," ")</f>
        <v/>
      </c>
      <c r="D29" s="61">
        <f t="array" ref="D29">_xlfn.IFNA(_xlfn.XLOOKUP($A29,INDIRECT("'"&amp;D$4&amp;"'!$E$10:$E$44"),INDIRECT("'"&amp;D$4&amp;"'!$b$10:$b$44"))," ")</f>
        <v/>
      </c>
      <c r="E29" s="61">
        <f t="array" ref="E29">_xlfn.IFNA(_xlfn.XLOOKUP($A29,INDIRECT("'"&amp;E$4&amp;"'!$E$10:$E$44"),INDIRECT("'"&amp;E$4&amp;"'!$b$10:$b$44"))," ")</f>
        <v/>
      </c>
      <c r="F29" s="61">
        <f t="array" ref="F29">_xlfn.IFNA(_xlfn.XLOOKUP($A29,INDIRECT("'"&amp;F$4&amp;"'!$E$10:$E$44"),INDIRECT("'"&amp;F$4&amp;"'!$b$10:$b$44"))," ")</f>
        <v/>
      </c>
      <c r="G29" s="61">
        <f t="array" ref="G29">_xlfn.IFNA(_xlfn.XLOOKUP($A29,INDIRECT("'"&amp;G$4&amp;"'!$E$10:$E$44"),INDIRECT("'"&amp;G$4&amp;"'!$b$10:$b$44"))," ")</f>
        <v/>
      </c>
      <c r="H29" s="61">
        <f t="array" ref="H29">_xlfn.IFNA(_xlfn.XLOOKUP($A29,INDIRECT("'"&amp;H$4&amp;"'!$E$10:$E$44"),INDIRECT("'"&amp;H$4&amp;"'!$b$10:$b$44"))," ")</f>
        <v/>
      </c>
      <c r="I29" s="61">
        <f t="array" ref="I29">_xlfn.IFNA(_xlfn.XLOOKUP($A29,INDIRECT("'"&amp;I$4&amp;"'!$E$10:$E$44"),INDIRECT("'"&amp;I$4&amp;"'!$b$10:$b$44"))," ")</f>
        <v/>
      </c>
      <c r="J29" s="61">
        <f t="array" ref="J29">_xlfn.IFNA(_xlfn.XLOOKUP($A29,INDIRECT("'"&amp;J$4&amp;"'!$E$10:$E$44"),INDIRECT("'"&amp;J$4&amp;"'!$b$10:$b$44"))," ")</f>
        <v/>
      </c>
      <c r="K29" s="61">
        <f t="array" ref="K29">_xlfn.IFNA(_xlfn.XLOOKUP($A29,INDIRECT("'"&amp;K$4&amp;"'!$E$10:$E$44"),INDIRECT("'"&amp;K$4&amp;"'!$b$10:$b$44"))," ")</f>
        <v/>
      </c>
      <c r="L29" s="61">
        <f t="array" ref="L29">_xlfn.IFNA(_xlfn.XLOOKUP($A29,INDIRECT("'"&amp;L$4&amp;"'!$E$10:$E$44"),INDIRECT("'"&amp;L$4&amp;"'!$b$10:$b$44"))," ")</f>
        <v/>
      </c>
      <c r="M29" s="61">
        <f t="array" ref="M29">_xlfn.IFNA(_xlfn.XLOOKUP($A29,INDIRECT("'"&amp;M$4&amp;"'!$E$10:$E$44"),INDIRECT("'"&amp;M$4&amp;"'!$b$10:$b$44"))," ")</f>
        <v/>
      </c>
      <c r="N29" s="61">
        <f t="array" ref="N29">_xlfn.IFNA(_xlfn.XLOOKUP($A29,INDIRECT("'"&amp;N$4&amp;"'!$E$10:$E$44"),INDIRECT("'"&amp;N$4&amp;"'!$b$10:$b$44"))," ")</f>
        <v/>
      </c>
      <c r="O29" s="61">
        <f t="array" ref="O29">_xlfn.IFNA(_xlfn.XLOOKUP($A29,INDIRECT("'"&amp;O$4&amp;"'!$E$10:$E$44"),INDIRECT("'"&amp;O$4&amp;"'!$b$10:$b$44"))," ")</f>
        <v/>
      </c>
      <c r="P29" s="61">
        <f t="array" ref="P29">_xlfn.IFNA(_xlfn.XLOOKUP($A29,INDIRECT("'"&amp;P$4&amp;"'!$E$10:$E$44"),INDIRECT("'"&amp;P$4&amp;"'!$b$10:$b$44"))," ")</f>
        <v/>
      </c>
      <c r="Q29" s="61">
        <f t="array" ref="Q29">_xlfn.IFNA(_xlfn.XLOOKUP($A29,INDIRECT("'"&amp;Q$4&amp;"'!$E$10:$E$44"),INDIRECT("'"&amp;Q$4&amp;"'!$b$10:$b$44"))," ")</f>
        <v/>
      </c>
      <c r="T29" s="61">
        <f>SUM(B29:K29)</f>
        <v/>
      </c>
      <c r="U29" s="19">
        <f>IFERROR(AVERAGEIF(B29:Q29,"&gt;=0"),0)</f>
        <v/>
      </c>
      <c r="V29" s="61">
        <f>IFERROR(MAX(B29:Q29),0)</f>
        <v/>
      </c>
      <c r="W29" s="61">
        <f>IFERROR(_xlfn.MINIFS(B29:Q29,B29:Q29,"&gt;0"),0)</f>
        <v/>
      </c>
      <c r="X29" s="61">
        <f>RANK(T29,$T$5:$T$39)+COUNTIF($T$5:T29,T29)-1</f>
        <v/>
      </c>
      <c r="Y29" s="34">
        <f t="array" ref="Y29">IFERROR(T29/SUMPRODUCT(($B29:$C29&lt;&gt;"")*$B$3:$C$3),0)</f>
        <v/>
      </c>
    </row>
    <row r="30">
      <c r="A30" t="inlineStr">
        <is>
          <t>SaleeNmd</t>
        </is>
      </c>
      <c r="B30" s="61">
        <f t="array" ref="B30">_xlfn.IFNA(_xlfn.XLOOKUP($A30,INDIRECT("'"&amp;B$4&amp;"'!$E$10:$E$44"),INDIRECT("'"&amp;B$4&amp;"'!$b$10:$b$44"))," ")</f>
        <v/>
      </c>
      <c r="C30" s="61">
        <f t="array" ref="C30">_xlfn.IFNA(_xlfn.XLOOKUP($A30,INDIRECT("'"&amp;C$4&amp;"'!$E$10:$E$44"),INDIRECT("'"&amp;C$4&amp;"'!$b$10:$b$44"))," ")</f>
        <v/>
      </c>
      <c r="D30" s="61">
        <f t="array" ref="D30">_xlfn.IFNA(_xlfn.XLOOKUP($A30,INDIRECT("'"&amp;D$4&amp;"'!$E$10:$E$44"),INDIRECT("'"&amp;D$4&amp;"'!$b$10:$b$44"))," ")</f>
        <v/>
      </c>
      <c r="E30" s="61">
        <f t="array" ref="E30">_xlfn.IFNA(_xlfn.XLOOKUP($A30,INDIRECT("'"&amp;E$4&amp;"'!$E$10:$E$44"),INDIRECT("'"&amp;E$4&amp;"'!$b$10:$b$44"))," ")</f>
        <v/>
      </c>
      <c r="F30" s="61">
        <f t="array" ref="F30">_xlfn.IFNA(_xlfn.XLOOKUP($A30,INDIRECT("'"&amp;F$4&amp;"'!$E$10:$E$44"),INDIRECT("'"&amp;F$4&amp;"'!$b$10:$b$44"))," ")</f>
        <v/>
      </c>
      <c r="G30" s="61">
        <f t="array" ref="G30">_xlfn.IFNA(_xlfn.XLOOKUP($A30,INDIRECT("'"&amp;G$4&amp;"'!$E$10:$E$44"),INDIRECT("'"&amp;G$4&amp;"'!$b$10:$b$44"))," ")</f>
        <v/>
      </c>
      <c r="H30" s="61">
        <f t="array" ref="H30">_xlfn.IFNA(_xlfn.XLOOKUP($A30,INDIRECT("'"&amp;H$4&amp;"'!$E$10:$E$44"),INDIRECT("'"&amp;H$4&amp;"'!$b$10:$b$44"))," ")</f>
        <v/>
      </c>
      <c r="I30" s="61">
        <f t="array" ref="I30">_xlfn.IFNA(_xlfn.XLOOKUP($A30,INDIRECT("'"&amp;I$4&amp;"'!$E$10:$E$44"),INDIRECT("'"&amp;I$4&amp;"'!$b$10:$b$44"))," ")</f>
        <v/>
      </c>
      <c r="J30" s="61">
        <f t="array" ref="J30">_xlfn.IFNA(_xlfn.XLOOKUP($A30,INDIRECT("'"&amp;J$4&amp;"'!$E$10:$E$44"),INDIRECT("'"&amp;J$4&amp;"'!$b$10:$b$44"))," ")</f>
        <v/>
      </c>
      <c r="K30" s="61">
        <f t="array" ref="K30">_xlfn.IFNA(_xlfn.XLOOKUP($A30,INDIRECT("'"&amp;K$4&amp;"'!$E$10:$E$44"),INDIRECT("'"&amp;K$4&amp;"'!$b$10:$b$44"))," ")</f>
        <v/>
      </c>
      <c r="L30" s="61">
        <f t="array" ref="L30">_xlfn.IFNA(_xlfn.XLOOKUP($A30,INDIRECT("'"&amp;L$4&amp;"'!$E$10:$E$44"),INDIRECT("'"&amp;L$4&amp;"'!$b$10:$b$44"))," ")</f>
        <v/>
      </c>
      <c r="M30" s="61">
        <f t="array" ref="M30">_xlfn.IFNA(_xlfn.XLOOKUP($A30,INDIRECT("'"&amp;M$4&amp;"'!$E$10:$E$44"),INDIRECT("'"&amp;M$4&amp;"'!$b$10:$b$44"))," ")</f>
        <v/>
      </c>
      <c r="N30" s="61">
        <f t="array" ref="N30">_xlfn.IFNA(_xlfn.XLOOKUP($A30,INDIRECT("'"&amp;N$4&amp;"'!$E$10:$E$44"),INDIRECT("'"&amp;N$4&amp;"'!$b$10:$b$44"))," ")</f>
        <v/>
      </c>
      <c r="O30" s="61">
        <f t="array" ref="O30">_xlfn.IFNA(_xlfn.XLOOKUP($A30,INDIRECT("'"&amp;O$4&amp;"'!$E$10:$E$44"),INDIRECT("'"&amp;O$4&amp;"'!$b$10:$b$44"))," ")</f>
        <v/>
      </c>
      <c r="P30" s="61">
        <f t="array" ref="P30">_xlfn.IFNA(_xlfn.XLOOKUP($A30,INDIRECT("'"&amp;P$4&amp;"'!$E$10:$E$44"),INDIRECT("'"&amp;P$4&amp;"'!$b$10:$b$44"))," ")</f>
        <v/>
      </c>
      <c r="Q30" s="61">
        <f t="array" ref="Q30">_xlfn.IFNA(_xlfn.XLOOKUP($A30,INDIRECT("'"&amp;Q$4&amp;"'!$E$10:$E$44"),INDIRECT("'"&amp;Q$4&amp;"'!$b$10:$b$44"))," ")</f>
        <v/>
      </c>
      <c r="T30" s="61">
        <f>SUM(B30:K30)</f>
        <v/>
      </c>
      <c r="U30" s="19">
        <f>IFERROR(AVERAGEIF(B30:Q30,"&gt;=0"),0)</f>
        <v/>
      </c>
      <c r="V30" s="61">
        <f>IFERROR(MAX(B30:Q30),0)</f>
        <v/>
      </c>
      <c r="W30" s="61">
        <f>IFERROR(_xlfn.MINIFS(B30:Q30,B30:Q30,"&gt;0"),0)</f>
        <v/>
      </c>
      <c r="X30" s="61">
        <f>RANK(T30,$T$5:$T$39)+COUNTIF($T$5:T30,T30)-1</f>
        <v/>
      </c>
      <c r="Y30" s="34">
        <f t="array" ref="Y30">IFERROR(T30/SUMPRODUCT(($B30:$C30&lt;&gt;"")*$B$3:$C$3),0)</f>
        <v/>
      </c>
    </row>
    <row r="31">
      <c r="A31" s="25" t="inlineStr">
        <is>
          <t>Samsaunt</t>
        </is>
      </c>
      <c r="B31" s="26">
        <f t="array" ref="B31">_xlfn.IFNA(_xlfn.XLOOKUP($A31,INDIRECT("'"&amp;B$4&amp;"'!$E$10:$E$44"),INDIRECT("'"&amp;B$4&amp;"'!$b$10:$b$44"))," ")</f>
        <v/>
      </c>
      <c r="C31" s="26">
        <f t="array" ref="C31">_xlfn.IFNA(_xlfn.XLOOKUP($A31,INDIRECT("'"&amp;C$4&amp;"'!$E$10:$E$44"),INDIRECT("'"&amp;C$4&amp;"'!$b$10:$b$44"))," ")</f>
        <v/>
      </c>
      <c r="D31" s="26">
        <f t="array" ref="D31">_xlfn.IFNA(_xlfn.XLOOKUP($A31,INDIRECT("'"&amp;D$4&amp;"'!$E$10:$E$44"),INDIRECT("'"&amp;D$4&amp;"'!$b$10:$b$44"))," ")</f>
        <v/>
      </c>
      <c r="E31" s="26">
        <f t="array" ref="E31">_xlfn.IFNA(_xlfn.XLOOKUP($A31,INDIRECT("'"&amp;E$4&amp;"'!$E$10:$E$44"),INDIRECT("'"&amp;E$4&amp;"'!$b$10:$b$44"))," ")</f>
        <v/>
      </c>
      <c r="F31" s="26">
        <f t="array" ref="F31">_xlfn.IFNA(_xlfn.XLOOKUP($A31,INDIRECT("'"&amp;F$4&amp;"'!$E$10:$E$44"),INDIRECT("'"&amp;F$4&amp;"'!$b$10:$b$44"))," ")</f>
        <v/>
      </c>
      <c r="G31" s="26">
        <f t="array" ref="G31">_xlfn.IFNA(_xlfn.XLOOKUP($A31,INDIRECT("'"&amp;G$4&amp;"'!$E$10:$E$44"),INDIRECT("'"&amp;G$4&amp;"'!$b$10:$b$44"))," ")</f>
        <v/>
      </c>
      <c r="H31" s="26">
        <f t="array" ref="H31">_xlfn.IFNA(_xlfn.XLOOKUP($A31,INDIRECT("'"&amp;H$4&amp;"'!$E$10:$E$44"),INDIRECT("'"&amp;H$4&amp;"'!$b$10:$b$44"))," ")</f>
        <v/>
      </c>
      <c r="I31" s="26">
        <f t="array" ref="I31">_xlfn.IFNA(_xlfn.XLOOKUP($A31,INDIRECT("'"&amp;I$4&amp;"'!$E$10:$E$44"),INDIRECT("'"&amp;I$4&amp;"'!$b$10:$b$44"))," ")</f>
        <v/>
      </c>
      <c r="J31" s="26">
        <f t="array" ref="J31">_xlfn.IFNA(_xlfn.XLOOKUP($A31,INDIRECT("'"&amp;J$4&amp;"'!$E$10:$E$44"),INDIRECT("'"&amp;J$4&amp;"'!$b$10:$b$44"))," ")</f>
        <v/>
      </c>
      <c r="K31" s="26">
        <f t="array" ref="K31">_xlfn.IFNA(_xlfn.XLOOKUP($A31,INDIRECT("'"&amp;K$4&amp;"'!$E$10:$E$44"),INDIRECT("'"&amp;K$4&amp;"'!$b$10:$b$44"))," ")</f>
        <v/>
      </c>
      <c r="L31" s="26">
        <f t="array" ref="L31">_xlfn.IFNA(_xlfn.XLOOKUP($A31,INDIRECT("'"&amp;L$4&amp;"'!$E$10:$E$44"),INDIRECT("'"&amp;L$4&amp;"'!$b$10:$b$44"))," ")</f>
        <v/>
      </c>
      <c r="M31" s="26">
        <f t="array" ref="M31">_xlfn.IFNA(_xlfn.XLOOKUP($A31,INDIRECT("'"&amp;M$4&amp;"'!$E$10:$E$44"),INDIRECT("'"&amp;M$4&amp;"'!$b$10:$b$44"))," ")</f>
        <v/>
      </c>
      <c r="N31" s="26">
        <f t="array" ref="N31">_xlfn.IFNA(_xlfn.XLOOKUP($A31,INDIRECT("'"&amp;N$4&amp;"'!$E$10:$E$44"),INDIRECT("'"&amp;N$4&amp;"'!$b$10:$b$44"))," ")</f>
        <v/>
      </c>
      <c r="O31" s="26">
        <f t="array" ref="O31">_xlfn.IFNA(_xlfn.XLOOKUP($A31,INDIRECT("'"&amp;O$4&amp;"'!$E$10:$E$44"),INDIRECT("'"&amp;O$4&amp;"'!$b$10:$b$44"))," ")</f>
        <v/>
      </c>
      <c r="P31" s="26">
        <f t="array" ref="P31">_xlfn.IFNA(_xlfn.XLOOKUP($A31,INDIRECT("'"&amp;P$4&amp;"'!$E$10:$E$44"),INDIRECT("'"&amp;P$4&amp;"'!$b$10:$b$44"))," ")</f>
        <v/>
      </c>
      <c r="Q31" s="26">
        <f t="array" ref="Q31">_xlfn.IFNA(_xlfn.XLOOKUP($A31,INDIRECT("'"&amp;Q$4&amp;"'!$E$10:$E$44"),INDIRECT("'"&amp;Q$4&amp;"'!$b$10:$b$44"))," ")</f>
        <v/>
      </c>
      <c r="R31" s="26" t="n"/>
      <c r="S31" s="26" t="n"/>
      <c r="T31" s="61">
        <f>SUM(B31:K31)</f>
        <v/>
      </c>
      <c r="U31" s="27">
        <f>IFERROR(AVERAGEIF(B31:Q31,"&gt;=0"),0)</f>
        <v/>
      </c>
      <c r="V31" s="26">
        <f>IFERROR(MAX(B31:Q31),0)</f>
        <v/>
      </c>
      <c r="W31" s="26">
        <f>IFERROR(_xlfn.MINIFS(B31:Q31,B31:Q31,"&gt;0"),0)</f>
        <v/>
      </c>
      <c r="X31" s="26">
        <f>RANK(T31,$T$5:$T$39)+COUNTIF($T$5:T31,T31)-1</f>
        <v/>
      </c>
      <c r="Y31" s="34">
        <f t="array" ref="Y31">IFERROR(T31/SUMPRODUCT(($B31:$C31&lt;&gt;"")*$B$3:$C$3),0)</f>
        <v/>
      </c>
    </row>
    <row r="32">
      <c r="A32" t="inlineStr">
        <is>
          <t>Sista Sledge</t>
        </is>
      </c>
      <c r="B32" s="61">
        <f t="array" ref="B32">_xlfn.IFNA(_xlfn.XLOOKUP($A32,INDIRECT("'"&amp;B$4&amp;"'!$E$10:$E$44"),INDIRECT("'"&amp;B$4&amp;"'!$b$10:$b$44"))," ")</f>
        <v/>
      </c>
      <c r="C32" s="61">
        <f t="array" ref="C32">_xlfn.IFNA(_xlfn.XLOOKUP($A32,INDIRECT("'"&amp;C$4&amp;"'!$E$10:$E$44"),INDIRECT("'"&amp;C$4&amp;"'!$b$10:$b$44"))," ")</f>
        <v/>
      </c>
      <c r="D32" s="61">
        <f t="array" ref="D32">_xlfn.IFNA(_xlfn.XLOOKUP($A32,INDIRECT("'"&amp;D$4&amp;"'!$E$10:$E$44"),INDIRECT("'"&amp;D$4&amp;"'!$b$10:$b$44"))," ")</f>
        <v/>
      </c>
      <c r="E32" s="61">
        <f t="array" ref="E32">_xlfn.IFNA(_xlfn.XLOOKUP($A32,INDIRECT("'"&amp;E$4&amp;"'!$E$10:$E$44"),INDIRECT("'"&amp;E$4&amp;"'!$b$10:$b$44"))," ")</f>
        <v/>
      </c>
      <c r="F32" s="61">
        <f t="array" ref="F32">_xlfn.IFNA(_xlfn.XLOOKUP($A32,INDIRECT("'"&amp;F$4&amp;"'!$E$10:$E$44"),INDIRECT("'"&amp;F$4&amp;"'!$b$10:$b$44"))," ")</f>
        <v/>
      </c>
      <c r="G32" s="61">
        <f t="array" ref="G32">_xlfn.IFNA(_xlfn.XLOOKUP($A32,INDIRECT("'"&amp;G$4&amp;"'!$E$10:$E$44"),INDIRECT("'"&amp;G$4&amp;"'!$b$10:$b$44"))," ")</f>
        <v/>
      </c>
      <c r="H32" s="61">
        <f t="array" ref="H32">_xlfn.IFNA(_xlfn.XLOOKUP($A32,INDIRECT("'"&amp;H$4&amp;"'!$E$10:$E$44"),INDIRECT("'"&amp;H$4&amp;"'!$b$10:$b$44"))," ")</f>
        <v/>
      </c>
      <c r="I32" s="61">
        <f t="array" ref="I32">_xlfn.IFNA(_xlfn.XLOOKUP($A32,INDIRECT("'"&amp;I$4&amp;"'!$E$10:$E$44"),INDIRECT("'"&amp;I$4&amp;"'!$b$10:$b$44"))," ")</f>
        <v/>
      </c>
      <c r="J32" s="61">
        <f t="array" ref="J32">_xlfn.IFNA(_xlfn.XLOOKUP($A32,INDIRECT("'"&amp;J$4&amp;"'!$E$10:$E$44"),INDIRECT("'"&amp;J$4&amp;"'!$b$10:$b$44"))," ")</f>
        <v/>
      </c>
      <c r="K32" s="61">
        <f t="array" ref="K32">_xlfn.IFNA(_xlfn.XLOOKUP($A32,INDIRECT("'"&amp;K$4&amp;"'!$E$10:$E$44"),INDIRECT("'"&amp;K$4&amp;"'!$b$10:$b$44"))," ")</f>
        <v/>
      </c>
      <c r="L32" s="61">
        <f t="array" ref="L32">_xlfn.IFNA(_xlfn.XLOOKUP($A32,INDIRECT("'"&amp;L$4&amp;"'!$E$10:$E$44"),INDIRECT("'"&amp;L$4&amp;"'!$b$10:$b$44"))," ")</f>
        <v/>
      </c>
      <c r="M32" s="61">
        <f t="array" ref="M32">_xlfn.IFNA(_xlfn.XLOOKUP($A32,INDIRECT("'"&amp;M$4&amp;"'!$E$10:$E$44"),INDIRECT("'"&amp;M$4&amp;"'!$b$10:$b$44"))," ")</f>
        <v/>
      </c>
      <c r="N32" s="61">
        <f t="array" ref="N32">_xlfn.IFNA(_xlfn.XLOOKUP($A32,INDIRECT("'"&amp;N$4&amp;"'!$E$10:$E$44"),INDIRECT("'"&amp;N$4&amp;"'!$b$10:$b$44"))," ")</f>
        <v/>
      </c>
      <c r="O32" s="61">
        <f t="array" ref="O32">_xlfn.IFNA(_xlfn.XLOOKUP($A32,INDIRECT("'"&amp;O$4&amp;"'!$E$10:$E$44"),INDIRECT("'"&amp;O$4&amp;"'!$b$10:$b$44"))," ")</f>
        <v/>
      </c>
      <c r="P32" s="61">
        <f t="array" ref="P32">_xlfn.IFNA(_xlfn.XLOOKUP($A32,INDIRECT("'"&amp;P$4&amp;"'!$E$10:$E$44"),INDIRECT("'"&amp;P$4&amp;"'!$b$10:$b$44"))," ")</f>
        <v/>
      </c>
      <c r="Q32" s="61">
        <f t="array" ref="Q32">_xlfn.IFNA(_xlfn.XLOOKUP($A32,INDIRECT("'"&amp;Q$4&amp;"'!$E$10:$E$44"),INDIRECT("'"&amp;Q$4&amp;"'!$b$10:$b$44"))," ")</f>
        <v/>
      </c>
      <c r="T32" s="61">
        <f>SUM(B32:K32)</f>
        <v/>
      </c>
      <c r="U32" s="19">
        <f>IFERROR(AVERAGEIF(B32:Q32,"&gt;=0"),0)</f>
        <v/>
      </c>
      <c r="V32" s="61">
        <f>IFERROR(MAX(B32:Q32),0)</f>
        <v/>
      </c>
      <c r="W32" s="61">
        <f>IFERROR(_xlfn.MINIFS(B32:Q32,B32:Q32,"&gt;0"),0)</f>
        <v/>
      </c>
      <c r="X32" s="61">
        <f>RANK(T32,$T$5:$T$39)+COUNTIF($T$5:T32,T32)-1</f>
        <v/>
      </c>
      <c r="Y32" s="34">
        <f t="array" ref="Y32">IFERROR(T32/SUMPRODUCT(($B32:$C32&lt;&gt;"")*$B$3:$C$3),0)</f>
        <v/>
      </c>
    </row>
    <row r="33">
      <c r="A33" t="inlineStr">
        <is>
          <t>Stan</t>
        </is>
      </c>
      <c r="B33" s="61">
        <f t="array" ref="B33">_xlfn.IFNA(_xlfn.XLOOKUP($A33,INDIRECT("'"&amp;B$4&amp;"'!$E$10:$E$44"),INDIRECT("'"&amp;B$4&amp;"'!$b$10:$b$44"))," ")</f>
        <v/>
      </c>
      <c r="C33" s="61">
        <f t="array" ref="C33">_xlfn.IFNA(_xlfn.XLOOKUP($A33,INDIRECT("'"&amp;C$4&amp;"'!$E$10:$E$44"),INDIRECT("'"&amp;C$4&amp;"'!$b$10:$b$44"))," ")</f>
        <v/>
      </c>
      <c r="D33" s="61">
        <f t="array" ref="D33">_xlfn.IFNA(_xlfn.XLOOKUP($A33,INDIRECT("'"&amp;D$4&amp;"'!$E$10:$E$44"),INDIRECT("'"&amp;D$4&amp;"'!$b$10:$b$44"))," ")</f>
        <v/>
      </c>
      <c r="E33" s="61">
        <f t="array" ref="E33">_xlfn.IFNA(_xlfn.XLOOKUP($A33,INDIRECT("'"&amp;E$4&amp;"'!$E$10:$E$44"),INDIRECT("'"&amp;E$4&amp;"'!$b$10:$b$44"))," ")</f>
        <v/>
      </c>
      <c r="F33" s="61">
        <f t="array" ref="F33">_xlfn.IFNA(_xlfn.XLOOKUP($A33,INDIRECT("'"&amp;F$4&amp;"'!$E$10:$E$44"),INDIRECT("'"&amp;F$4&amp;"'!$b$10:$b$44"))," ")</f>
        <v/>
      </c>
      <c r="G33" s="61">
        <f t="array" ref="G33">_xlfn.IFNA(_xlfn.XLOOKUP($A33,INDIRECT("'"&amp;G$4&amp;"'!$E$10:$E$44"),INDIRECT("'"&amp;G$4&amp;"'!$b$10:$b$44"))," ")</f>
        <v/>
      </c>
      <c r="H33" s="61">
        <f t="array" ref="H33">_xlfn.IFNA(_xlfn.XLOOKUP($A33,INDIRECT("'"&amp;H$4&amp;"'!$E$10:$E$44"),INDIRECT("'"&amp;H$4&amp;"'!$b$10:$b$44"))," ")</f>
        <v/>
      </c>
      <c r="I33" s="61">
        <f t="array" ref="I33">_xlfn.IFNA(_xlfn.XLOOKUP($A33,INDIRECT("'"&amp;I$4&amp;"'!$E$10:$E$44"),INDIRECT("'"&amp;I$4&amp;"'!$b$10:$b$44"))," ")</f>
        <v/>
      </c>
      <c r="J33" s="61">
        <f t="array" ref="J33">_xlfn.IFNA(_xlfn.XLOOKUP($A33,INDIRECT("'"&amp;J$4&amp;"'!$E$10:$E$44"),INDIRECT("'"&amp;J$4&amp;"'!$b$10:$b$44"))," ")</f>
        <v/>
      </c>
      <c r="K33" s="61">
        <f t="array" ref="K33">_xlfn.IFNA(_xlfn.XLOOKUP($A33,INDIRECT("'"&amp;K$4&amp;"'!$E$10:$E$44"),INDIRECT("'"&amp;K$4&amp;"'!$b$10:$b$44"))," ")</f>
        <v/>
      </c>
      <c r="L33" s="61">
        <f t="array" ref="L33">_xlfn.IFNA(_xlfn.XLOOKUP($A33,INDIRECT("'"&amp;L$4&amp;"'!$E$10:$E$44"),INDIRECT("'"&amp;L$4&amp;"'!$b$10:$b$44"))," ")</f>
        <v/>
      </c>
      <c r="M33" s="61">
        <f t="array" ref="M33">_xlfn.IFNA(_xlfn.XLOOKUP($A33,INDIRECT("'"&amp;M$4&amp;"'!$E$10:$E$44"),INDIRECT("'"&amp;M$4&amp;"'!$b$10:$b$44"))," ")</f>
        <v/>
      </c>
      <c r="N33" s="61">
        <f t="array" ref="N33">_xlfn.IFNA(_xlfn.XLOOKUP($A33,INDIRECT("'"&amp;N$4&amp;"'!$E$10:$E$44"),INDIRECT("'"&amp;N$4&amp;"'!$b$10:$b$44"))," ")</f>
        <v/>
      </c>
      <c r="O33" s="61">
        <f t="array" ref="O33">_xlfn.IFNA(_xlfn.XLOOKUP($A33,INDIRECT("'"&amp;O$4&amp;"'!$E$10:$E$44"),INDIRECT("'"&amp;O$4&amp;"'!$b$10:$b$44"))," ")</f>
        <v/>
      </c>
      <c r="P33" s="61">
        <f t="array" ref="P33">_xlfn.IFNA(_xlfn.XLOOKUP($A33,INDIRECT("'"&amp;P$4&amp;"'!$E$10:$E$44"),INDIRECT("'"&amp;P$4&amp;"'!$b$10:$b$44"))," ")</f>
        <v/>
      </c>
      <c r="Q33" s="61">
        <f t="array" ref="Q33">_xlfn.IFNA(_xlfn.XLOOKUP($A33,INDIRECT("'"&amp;Q$4&amp;"'!$E$10:$E$44"),INDIRECT("'"&amp;Q$4&amp;"'!$b$10:$b$44"))," ")</f>
        <v/>
      </c>
      <c r="T33" s="61">
        <f>SUM(B33:K33)</f>
        <v/>
      </c>
      <c r="U33" s="19">
        <f>IFERROR(AVERAGEIF(B33:Q33,"&gt;=0"),0)</f>
        <v/>
      </c>
      <c r="V33" s="61">
        <f>IFERROR(MAX(B33:Q33),0)</f>
        <v/>
      </c>
      <c r="W33" s="61">
        <f>IFERROR(_xlfn.MINIFS(B33:Q33,B33:Q33,"&gt;0"),0)</f>
        <v/>
      </c>
      <c r="X33" s="61">
        <f>RANK(T33,$T$5:$T$39)+COUNTIF($T$5:T33,T33)-1</f>
        <v/>
      </c>
      <c r="Y33" s="34">
        <f t="array" ref="Y33">IFERROR(T33/SUMPRODUCT(($B33:$C33&lt;&gt;"")*$B$3:$C$3),0)</f>
        <v/>
      </c>
    </row>
    <row r="34">
      <c r="A34" t="inlineStr">
        <is>
          <t>tb</t>
        </is>
      </c>
      <c r="B34" s="61">
        <f t="array" ref="B34">_xlfn.IFNA(_xlfn.XLOOKUP($A34,INDIRECT("'"&amp;B$4&amp;"'!$E$10:$E$44"),INDIRECT("'"&amp;B$4&amp;"'!$b$10:$b$44"))," ")</f>
        <v/>
      </c>
      <c r="C34" s="61">
        <f t="array" ref="C34">_xlfn.IFNA(_xlfn.XLOOKUP($A34,INDIRECT("'"&amp;C$4&amp;"'!$E$10:$E$44"),INDIRECT("'"&amp;C$4&amp;"'!$b$10:$b$44"))," ")</f>
        <v/>
      </c>
      <c r="D34" s="61">
        <f t="array" ref="D34">_xlfn.IFNA(_xlfn.XLOOKUP($A34,INDIRECT("'"&amp;D$4&amp;"'!$E$10:$E$44"),INDIRECT("'"&amp;D$4&amp;"'!$b$10:$b$44"))," ")</f>
        <v/>
      </c>
      <c r="E34" s="61">
        <f t="array" ref="E34">_xlfn.IFNA(_xlfn.XLOOKUP($A34,INDIRECT("'"&amp;E$4&amp;"'!$E$10:$E$44"),INDIRECT("'"&amp;E$4&amp;"'!$b$10:$b$44"))," ")</f>
        <v/>
      </c>
      <c r="F34" s="61">
        <f t="array" ref="F34">_xlfn.IFNA(_xlfn.XLOOKUP($A34,INDIRECT("'"&amp;F$4&amp;"'!$E$10:$E$44"),INDIRECT("'"&amp;F$4&amp;"'!$b$10:$b$44"))," ")</f>
        <v/>
      </c>
      <c r="G34" s="61">
        <f t="array" ref="G34">_xlfn.IFNA(_xlfn.XLOOKUP($A34,INDIRECT("'"&amp;G$4&amp;"'!$E$10:$E$44"),INDIRECT("'"&amp;G$4&amp;"'!$b$10:$b$44"))," ")</f>
        <v/>
      </c>
      <c r="H34" s="61">
        <f t="array" ref="H34">_xlfn.IFNA(_xlfn.XLOOKUP($A34,INDIRECT("'"&amp;H$4&amp;"'!$E$10:$E$44"),INDIRECT("'"&amp;H$4&amp;"'!$b$10:$b$44"))," ")</f>
        <v/>
      </c>
      <c r="I34" s="61">
        <f t="array" ref="I34">_xlfn.IFNA(_xlfn.XLOOKUP($A34,INDIRECT("'"&amp;I$4&amp;"'!$E$10:$E$44"),INDIRECT("'"&amp;I$4&amp;"'!$b$10:$b$44"))," ")</f>
        <v/>
      </c>
      <c r="J34" s="61">
        <f t="array" ref="J34">_xlfn.IFNA(_xlfn.XLOOKUP($A34,INDIRECT("'"&amp;J$4&amp;"'!$E$10:$E$44"),INDIRECT("'"&amp;J$4&amp;"'!$b$10:$b$44"))," ")</f>
        <v/>
      </c>
      <c r="K34" s="61">
        <f t="array" ref="K34">_xlfn.IFNA(_xlfn.XLOOKUP($A34,INDIRECT("'"&amp;K$4&amp;"'!$E$10:$E$44"),INDIRECT("'"&amp;K$4&amp;"'!$b$10:$b$44"))," ")</f>
        <v/>
      </c>
      <c r="L34" s="61">
        <f t="array" ref="L34">_xlfn.IFNA(_xlfn.XLOOKUP($A34,INDIRECT("'"&amp;L$4&amp;"'!$E$10:$E$44"),INDIRECT("'"&amp;L$4&amp;"'!$b$10:$b$44"))," ")</f>
        <v/>
      </c>
      <c r="M34" s="61">
        <f t="array" ref="M34">_xlfn.IFNA(_xlfn.XLOOKUP($A34,INDIRECT("'"&amp;M$4&amp;"'!$E$10:$E$44"),INDIRECT("'"&amp;M$4&amp;"'!$b$10:$b$44"))," ")</f>
        <v/>
      </c>
      <c r="N34" s="61">
        <f t="array" ref="N34">_xlfn.IFNA(_xlfn.XLOOKUP($A34,INDIRECT("'"&amp;N$4&amp;"'!$E$10:$E$44"),INDIRECT("'"&amp;N$4&amp;"'!$b$10:$b$44"))," ")</f>
        <v/>
      </c>
      <c r="O34" s="61">
        <f t="array" ref="O34">_xlfn.IFNA(_xlfn.XLOOKUP($A34,INDIRECT("'"&amp;O$4&amp;"'!$E$10:$E$44"),INDIRECT("'"&amp;O$4&amp;"'!$b$10:$b$44"))," ")</f>
        <v/>
      </c>
      <c r="P34" s="61">
        <f t="array" ref="P34">_xlfn.IFNA(_xlfn.XLOOKUP($A34,INDIRECT("'"&amp;P$4&amp;"'!$E$10:$E$44"),INDIRECT("'"&amp;P$4&amp;"'!$b$10:$b$44"))," ")</f>
        <v/>
      </c>
      <c r="Q34" s="61">
        <f t="array" ref="Q34">_xlfn.IFNA(_xlfn.XLOOKUP($A34,INDIRECT("'"&amp;Q$4&amp;"'!$E$10:$E$44"),INDIRECT("'"&amp;Q$4&amp;"'!$b$10:$b$44"))," ")</f>
        <v/>
      </c>
      <c r="T34" s="61">
        <f>SUM(B34:K34)</f>
        <v/>
      </c>
      <c r="U34" s="19">
        <f>IFERROR(AVERAGEIF(B34:Q34,"&gt;=0"),0)</f>
        <v/>
      </c>
      <c r="V34" s="61">
        <f>IFERROR(MAX(B34:Q34),0)</f>
        <v/>
      </c>
      <c r="W34" s="61">
        <f>IFERROR(_xlfn.MINIFS(B34:Q34,B34:Q34,"&gt;0"),0)</f>
        <v/>
      </c>
      <c r="X34" s="61">
        <f>RANK(T34,$T$5:$T$39)+COUNTIF($T$5:T34,T34)-1</f>
        <v/>
      </c>
      <c r="Y34" s="34">
        <f t="array" ref="Y34">IFERROR(T34/SUMPRODUCT(($B34:$C34&lt;&gt;"")*$B$3:$C$3),0)</f>
        <v/>
      </c>
    </row>
    <row r="35">
      <c r="A35" t="inlineStr">
        <is>
          <t>The Dark Side</t>
        </is>
      </c>
      <c r="B35" s="61">
        <f t="array" ref="B35">_xlfn.IFNA(_xlfn.XLOOKUP($A35,INDIRECT("'"&amp;B$4&amp;"'!$E$10:$E$44"),INDIRECT("'"&amp;B$4&amp;"'!$b$10:$b$44"))," ")</f>
        <v/>
      </c>
      <c r="C35" s="61">
        <f t="array" ref="C35">_xlfn.IFNA(_xlfn.XLOOKUP($A35,INDIRECT("'"&amp;C$4&amp;"'!$E$10:$E$44"),INDIRECT("'"&amp;C$4&amp;"'!$b$10:$b$44"))," ")</f>
        <v/>
      </c>
      <c r="D35" s="61">
        <f t="array" ref="D35">_xlfn.IFNA(_xlfn.XLOOKUP($A35,INDIRECT("'"&amp;D$4&amp;"'!$E$10:$E$44"),INDIRECT("'"&amp;D$4&amp;"'!$b$10:$b$44"))," ")</f>
        <v/>
      </c>
      <c r="E35" s="61">
        <f t="array" ref="E35">_xlfn.IFNA(_xlfn.XLOOKUP($A35,INDIRECT("'"&amp;E$4&amp;"'!$E$10:$E$44"),INDIRECT("'"&amp;E$4&amp;"'!$b$10:$b$44"))," ")</f>
        <v/>
      </c>
      <c r="F35" s="61">
        <f t="array" ref="F35">_xlfn.IFNA(_xlfn.XLOOKUP($A35,INDIRECT("'"&amp;F$4&amp;"'!$E$10:$E$44"),INDIRECT("'"&amp;F$4&amp;"'!$b$10:$b$44"))," ")</f>
        <v/>
      </c>
      <c r="G35" s="61">
        <f t="array" ref="G35">_xlfn.IFNA(_xlfn.XLOOKUP($A35,INDIRECT("'"&amp;G$4&amp;"'!$E$10:$E$44"),INDIRECT("'"&amp;G$4&amp;"'!$b$10:$b$44"))," ")</f>
        <v/>
      </c>
      <c r="H35" s="61">
        <f t="array" ref="H35">_xlfn.IFNA(_xlfn.XLOOKUP($A35,INDIRECT("'"&amp;H$4&amp;"'!$E$10:$E$44"),INDIRECT("'"&amp;H$4&amp;"'!$b$10:$b$44"))," ")</f>
        <v/>
      </c>
      <c r="I35" s="61">
        <f t="array" ref="I35">_xlfn.IFNA(_xlfn.XLOOKUP($A35,INDIRECT("'"&amp;I$4&amp;"'!$E$10:$E$44"),INDIRECT("'"&amp;I$4&amp;"'!$b$10:$b$44"))," ")</f>
        <v/>
      </c>
      <c r="J35" s="61">
        <f t="array" ref="J35">_xlfn.IFNA(_xlfn.XLOOKUP($A35,INDIRECT("'"&amp;J$4&amp;"'!$E$10:$E$44"),INDIRECT("'"&amp;J$4&amp;"'!$b$10:$b$44"))," ")</f>
        <v/>
      </c>
      <c r="K35" s="61">
        <f t="array" ref="K35">_xlfn.IFNA(_xlfn.XLOOKUP($A35,INDIRECT("'"&amp;K$4&amp;"'!$E$10:$E$44"),INDIRECT("'"&amp;K$4&amp;"'!$b$10:$b$44"))," ")</f>
        <v/>
      </c>
      <c r="L35" s="61">
        <f t="array" ref="L35">_xlfn.IFNA(_xlfn.XLOOKUP($A35,INDIRECT("'"&amp;L$4&amp;"'!$E$10:$E$44"),INDIRECT("'"&amp;L$4&amp;"'!$b$10:$b$44"))," ")</f>
        <v/>
      </c>
      <c r="M35" s="61">
        <f t="array" ref="M35">_xlfn.IFNA(_xlfn.XLOOKUP($A35,INDIRECT("'"&amp;M$4&amp;"'!$E$10:$E$44"),INDIRECT("'"&amp;M$4&amp;"'!$b$10:$b$44"))," ")</f>
        <v/>
      </c>
      <c r="N35" s="61">
        <f t="array" ref="N35">_xlfn.IFNA(_xlfn.XLOOKUP($A35,INDIRECT("'"&amp;N$4&amp;"'!$E$10:$E$44"),INDIRECT("'"&amp;N$4&amp;"'!$b$10:$b$44"))," ")</f>
        <v/>
      </c>
      <c r="O35" s="61">
        <f t="array" ref="O35">_xlfn.IFNA(_xlfn.XLOOKUP($A35,INDIRECT("'"&amp;O$4&amp;"'!$E$10:$E$44"),INDIRECT("'"&amp;O$4&amp;"'!$b$10:$b$44"))," ")</f>
        <v/>
      </c>
      <c r="P35" s="61">
        <f t="array" ref="P35">_xlfn.IFNA(_xlfn.XLOOKUP($A35,INDIRECT("'"&amp;P$4&amp;"'!$E$10:$E$44"),INDIRECT("'"&amp;P$4&amp;"'!$b$10:$b$44"))," ")</f>
        <v/>
      </c>
      <c r="Q35" s="61">
        <f t="array" ref="Q35">_xlfn.IFNA(_xlfn.XLOOKUP($A35,INDIRECT("'"&amp;Q$4&amp;"'!$E$10:$E$44"),INDIRECT("'"&amp;Q$4&amp;"'!$b$10:$b$44"))," ")</f>
        <v/>
      </c>
      <c r="T35" s="61">
        <f>SUM(B35:K35)</f>
        <v/>
      </c>
      <c r="U35" s="19">
        <f>IFERROR(AVERAGEIF(B35:Q35,"&gt;=0"),0)</f>
        <v/>
      </c>
      <c r="V35" s="61">
        <f>IFERROR(MAX(B35:Q35),0)</f>
        <v/>
      </c>
      <c r="W35" s="61">
        <f>IFERROR(_xlfn.MINIFS(B35:Q35,B35:Q35,"&gt;0"),0)</f>
        <v/>
      </c>
      <c r="X35" s="61">
        <f>RANK(T35,$T$5:$T$39)+COUNTIF($T$5:T35,T35)-1</f>
        <v/>
      </c>
      <c r="Y35" s="34">
        <f t="array" ref="Y35">IFERROR(T35/SUMPRODUCT(($B35:$C35&lt;&gt;"")*$B$3:$C$3),0)</f>
        <v/>
      </c>
    </row>
    <row r="36">
      <c r="A36" t="inlineStr">
        <is>
          <t>TheDogfather</t>
        </is>
      </c>
      <c r="B36" s="61">
        <f t="array" ref="B36">_xlfn.IFNA(_xlfn.XLOOKUP($A36,INDIRECT("'"&amp;B$4&amp;"'!$E$10:$E$44"),INDIRECT("'"&amp;B$4&amp;"'!$b$10:$b$44"))," ")</f>
        <v/>
      </c>
      <c r="C36" s="61">
        <f t="array" ref="C36">_xlfn.IFNA(_xlfn.XLOOKUP($A36,INDIRECT("'"&amp;C$4&amp;"'!$E$10:$E$44"),INDIRECT("'"&amp;C$4&amp;"'!$b$10:$b$44"))," ")</f>
        <v/>
      </c>
      <c r="D36" s="61">
        <f t="array" ref="D36">_xlfn.IFNA(_xlfn.XLOOKUP($A36,INDIRECT("'"&amp;D$4&amp;"'!$E$10:$E$44"),INDIRECT("'"&amp;D$4&amp;"'!$b$10:$b$44"))," ")</f>
        <v/>
      </c>
      <c r="E36" s="61">
        <f t="array" ref="E36">_xlfn.IFNA(_xlfn.XLOOKUP($A36,INDIRECT("'"&amp;E$4&amp;"'!$E$10:$E$44"),INDIRECT("'"&amp;E$4&amp;"'!$b$10:$b$44"))," ")</f>
        <v/>
      </c>
      <c r="F36" s="61">
        <f t="array" ref="F36">_xlfn.IFNA(_xlfn.XLOOKUP($A36,INDIRECT("'"&amp;F$4&amp;"'!$E$10:$E$44"),INDIRECT("'"&amp;F$4&amp;"'!$b$10:$b$44"))," ")</f>
        <v/>
      </c>
      <c r="G36" s="61">
        <f t="array" ref="G36">_xlfn.IFNA(_xlfn.XLOOKUP($A36,INDIRECT("'"&amp;G$4&amp;"'!$E$10:$E$44"),INDIRECT("'"&amp;G$4&amp;"'!$b$10:$b$44"))," ")</f>
        <v/>
      </c>
      <c r="H36" s="61">
        <f t="array" ref="H36">_xlfn.IFNA(_xlfn.XLOOKUP($A36,INDIRECT("'"&amp;H$4&amp;"'!$E$10:$E$44"),INDIRECT("'"&amp;H$4&amp;"'!$b$10:$b$44"))," ")</f>
        <v/>
      </c>
      <c r="I36" s="61">
        <f t="array" ref="I36">_xlfn.IFNA(_xlfn.XLOOKUP($A36,INDIRECT("'"&amp;I$4&amp;"'!$E$10:$E$44"),INDIRECT("'"&amp;I$4&amp;"'!$b$10:$b$44"))," ")</f>
        <v/>
      </c>
      <c r="J36" s="61">
        <f t="array" ref="J36">_xlfn.IFNA(_xlfn.XLOOKUP($A36,INDIRECT("'"&amp;J$4&amp;"'!$E$10:$E$44"),INDIRECT("'"&amp;J$4&amp;"'!$b$10:$b$44"))," ")</f>
        <v/>
      </c>
      <c r="K36" s="61">
        <f t="array" ref="K36">_xlfn.IFNA(_xlfn.XLOOKUP($A36,INDIRECT("'"&amp;K$4&amp;"'!$E$10:$E$44"),INDIRECT("'"&amp;K$4&amp;"'!$b$10:$b$44"))," ")</f>
        <v/>
      </c>
      <c r="L36" s="61">
        <f t="array" ref="L36">_xlfn.IFNA(_xlfn.XLOOKUP($A36,INDIRECT("'"&amp;L$4&amp;"'!$E$10:$E$44"),INDIRECT("'"&amp;L$4&amp;"'!$b$10:$b$44"))," ")</f>
        <v/>
      </c>
      <c r="M36" s="61">
        <f t="array" ref="M36">_xlfn.IFNA(_xlfn.XLOOKUP($A36,INDIRECT("'"&amp;M$4&amp;"'!$E$10:$E$44"),INDIRECT("'"&amp;M$4&amp;"'!$b$10:$b$44"))," ")</f>
        <v/>
      </c>
      <c r="N36" s="61">
        <f t="array" ref="N36">_xlfn.IFNA(_xlfn.XLOOKUP($A36,INDIRECT("'"&amp;N$4&amp;"'!$E$10:$E$44"),INDIRECT("'"&amp;N$4&amp;"'!$b$10:$b$44"))," ")</f>
        <v/>
      </c>
      <c r="O36" s="61">
        <f t="array" ref="O36">_xlfn.IFNA(_xlfn.XLOOKUP($A36,INDIRECT("'"&amp;O$4&amp;"'!$E$10:$E$44"),INDIRECT("'"&amp;O$4&amp;"'!$b$10:$b$44"))," ")</f>
        <v/>
      </c>
      <c r="P36" s="61">
        <f t="array" ref="P36">_xlfn.IFNA(_xlfn.XLOOKUP($A36,INDIRECT("'"&amp;P$4&amp;"'!$E$10:$E$44"),INDIRECT("'"&amp;P$4&amp;"'!$b$10:$b$44"))," ")</f>
        <v/>
      </c>
      <c r="Q36" s="61">
        <f t="array" ref="Q36">_xlfn.IFNA(_xlfn.XLOOKUP($A36,INDIRECT("'"&amp;Q$4&amp;"'!$E$10:$E$44"),INDIRECT("'"&amp;Q$4&amp;"'!$b$10:$b$44"))," ")</f>
        <v/>
      </c>
      <c r="T36" s="61">
        <f>SUM(B36:K36)</f>
        <v/>
      </c>
      <c r="U36" s="19">
        <f>IFERROR(AVERAGEIF(B36:Q36,"&gt;=0"),0)</f>
        <v/>
      </c>
      <c r="V36" s="61">
        <f>IFERROR(MAX(B36:Q36),0)</f>
        <v/>
      </c>
      <c r="W36" s="61">
        <f>IFERROR(_xlfn.MINIFS(B36:Q36,B36:Q36,"&gt;0"),0)</f>
        <v/>
      </c>
      <c r="X36" s="61">
        <f>RANK(T36,$T$5:$T$39)+COUNTIF($T$5:T36,T36)-1</f>
        <v/>
      </c>
      <c r="Y36" s="34">
        <f t="array" ref="Y36">IFERROR(T36/SUMPRODUCT(($B36:$C36&lt;&gt;"")*$B$3:$C$3),0)</f>
        <v/>
      </c>
    </row>
    <row r="37">
      <c r="A37" s="25" t="inlineStr">
        <is>
          <t>Vonasek Family</t>
        </is>
      </c>
      <c r="B37" s="26">
        <f t="array" ref="B37">_xlfn.IFNA(_xlfn.XLOOKUP($A37,INDIRECT("'"&amp;B$4&amp;"'!$E$10:$E$44"),INDIRECT("'"&amp;B$4&amp;"'!$b$10:$b$44"))," ")</f>
        <v/>
      </c>
      <c r="C37" s="26">
        <f t="array" ref="C37">_xlfn.IFNA(_xlfn.XLOOKUP($A37,INDIRECT("'"&amp;C$4&amp;"'!$E$10:$E$44"),INDIRECT("'"&amp;C$4&amp;"'!$b$10:$b$44"))," ")</f>
        <v/>
      </c>
      <c r="D37" s="26">
        <f t="array" ref="D37">_xlfn.IFNA(_xlfn.XLOOKUP($A37,INDIRECT("'"&amp;D$4&amp;"'!$E$10:$E$44"),INDIRECT("'"&amp;D$4&amp;"'!$b$10:$b$44"))," ")</f>
        <v/>
      </c>
      <c r="E37" s="26">
        <f t="array" ref="E37">_xlfn.IFNA(_xlfn.XLOOKUP($A37,INDIRECT("'"&amp;E$4&amp;"'!$E$10:$E$44"),INDIRECT("'"&amp;E$4&amp;"'!$b$10:$b$44"))," ")</f>
        <v/>
      </c>
      <c r="F37" s="26">
        <f t="array" ref="F37">_xlfn.IFNA(_xlfn.XLOOKUP($A37,INDIRECT("'"&amp;F$4&amp;"'!$E$10:$E$44"),INDIRECT("'"&amp;F$4&amp;"'!$b$10:$b$44"))," ")</f>
        <v/>
      </c>
      <c r="G37" s="26">
        <f t="array" ref="G37">_xlfn.IFNA(_xlfn.XLOOKUP($A37,INDIRECT("'"&amp;G$4&amp;"'!$E$10:$E$44"),INDIRECT("'"&amp;G$4&amp;"'!$b$10:$b$44"))," ")</f>
        <v/>
      </c>
      <c r="H37" s="26">
        <f t="array" ref="H37">_xlfn.IFNA(_xlfn.XLOOKUP($A37,INDIRECT("'"&amp;H$4&amp;"'!$E$10:$E$44"),INDIRECT("'"&amp;H$4&amp;"'!$b$10:$b$44"))," ")</f>
        <v/>
      </c>
      <c r="I37" s="26">
        <f t="array" ref="I37">_xlfn.IFNA(_xlfn.XLOOKUP($A37,INDIRECT("'"&amp;I$4&amp;"'!$E$10:$E$44"),INDIRECT("'"&amp;I$4&amp;"'!$b$10:$b$44"))," ")</f>
        <v/>
      </c>
      <c r="J37" s="26">
        <f t="array" ref="J37">_xlfn.IFNA(_xlfn.XLOOKUP($A37,INDIRECT("'"&amp;J$4&amp;"'!$E$10:$E$44"),INDIRECT("'"&amp;J$4&amp;"'!$b$10:$b$44"))," ")</f>
        <v/>
      </c>
      <c r="K37" s="26">
        <f t="array" ref="K37">_xlfn.IFNA(_xlfn.XLOOKUP($A37,INDIRECT("'"&amp;K$4&amp;"'!$E$10:$E$44"),INDIRECT("'"&amp;K$4&amp;"'!$b$10:$b$44"))," ")</f>
        <v/>
      </c>
      <c r="L37" s="26">
        <f t="array" ref="L37">_xlfn.IFNA(_xlfn.XLOOKUP($A37,INDIRECT("'"&amp;L$4&amp;"'!$E$10:$E$44"),INDIRECT("'"&amp;L$4&amp;"'!$b$10:$b$44"))," ")</f>
        <v/>
      </c>
      <c r="M37" s="26">
        <f t="array" ref="M37">_xlfn.IFNA(_xlfn.XLOOKUP($A37,INDIRECT("'"&amp;M$4&amp;"'!$E$10:$E$44"),INDIRECT("'"&amp;M$4&amp;"'!$b$10:$b$44"))," ")</f>
        <v/>
      </c>
      <c r="N37" s="26">
        <f t="array" ref="N37">_xlfn.IFNA(_xlfn.XLOOKUP($A37,INDIRECT("'"&amp;N$4&amp;"'!$E$10:$E$44"),INDIRECT("'"&amp;N$4&amp;"'!$b$10:$b$44"))," ")</f>
        <v/>
      </c>
      <c r="O37" s="26">
        <f t="array" ref="O37">_xlfn.IFNA(_xlfn.XLOOKUP($A37,INDIRECT("'"&amp;O$4&amp;"'!$E$10:$E$44"),INDIRECT("'"&amp;O$4&amp;"'!$b$10:$b$44"))," ")</f>
        <v/>
      </c>
      <c r="P37" s="26">
        <f t="array" ref="P37">_xlfn.IFNA(_xlfn.XLOOKUP($A37,INDIRECT("'"&amp;P$4&amp;"'!$E$10:$E$44"),INDIRECT("'"&amp;P$4&amp;"'!$b$10:$b$44"))," ")</f>
        <v/>
      </c>
      <c r="Q37" s="26">
        <f t="array" ref="Q37">_xlfn.IFNA(_xlfn.XLOOKUP($A37,INDIRECT("'"&amp;Q$4&amp;"'!$E$10:$E$44"),INDIRECT("'"&amp;Q$4&amp;"'!$b$10:$b$44"))," ")</f>
        <v/>
      </c>
      <c r="R37" s="26" t="n"/>
      <c r="S37" s="26" t="n"/>
      <c r="T37" s="61">
        <f>SUM(B37:K37)</f>
        <v/>
      </c>
      <c r="U37" s="27">
        <f>IFERROR(AVERAGEIF(B37:Q37,"&gt;=0"),0)</f>
        <v/>
      </c>
      <c r="V37" s="26">
        <f>IFERROR(MAX(B37:Q37),0)</f>
        <v/>
      </c>
      <c r="W37" s="26">
        <f>IFERROR(_xlfn.MINIFS(B37:Q37,B37:Q37,"&gt;0"),0)</f>
        <v/>
      </c>
      <c r="X37" s="26">
        <f>RANK(T37,$T$5:$T$39)+COUNTIF($T$5:T37,T37)-1</f>
        <v/>
      </c>
      <c r="Y37" s="34">
        <f t="array" ref="Y37">IFERROR(T37/SUMPRODUCT(($B37:$C37&lt;&gt;"")*$B$3:$C$3),0)</f>
        <v/>
      </c>
    </row>
    <row r="38">
      <c r="A38" t="inlineStr">
        <is>
          <t>Waffle Hauss</t>
        </is>
      </c>
      <c r="B38" s="61">
        <f t="array" ref="B38">_xlfn.IFNA(_xlfn.XLOOKUP($A38,INDIRECT("'"&amp;B$4&amp;"'!$E$10:$E$44"),INDIRECT("'"&amp;B$4&amp;"'!$b$10:$b$44"))," ")</f>
        <v/>
      </c>
      <c r="C38" s="61">
        <f t="array" ref="C38">_xlfn.IFNA(_xlfn.XLOOKUP($A38,INDIRECT("'"&amp;C$4&amp;"'!$E$10:$E$44"),INDIRECT("'"&amp;C$4&amp;"'!$b$10:$b$44"))," ")</f>
        <v/>
      </c>
      <c r="D38" s="61">
        <f t="array" ref="D38">_xlfn.IFNA(_xlfn.XLOOKUP($A38,INDIRECT("'"&amp;D$4&amp;"'!$E$10:$E$44"),INDIRECT("'"&amp;D$4&amp;"'!$b$10:$b$44"))," ")</f>
        <v/>
      </c>
      <c r="E38" s="61">
        <f t="array" ref="E38">_xlfn.IFNA(_xlfn.XLOOKUP($A38,INDIRECT("'"&amp;E$4&amp;"'!$E$10:$E$44"),INDIRECT("'"&amp;E$4&amp;"'!$b$10:$b$44"))," ")</f>
        <v/>
      </c>
      <c r="F38" s="61">
        <f t="array" ref="F38">_xlfn.IFNA(_xlfn.XLOOKUP($A38,INDIRECT("'"&amp;F$4&amp;"'!$E$10:$E$44"),INDIRECT("'"&amp;F$4&amp;"'!$b$10:$b$44"))," ")</f>
        <v/>
      </c>
      <c r="G38" s="61">
        <f t="array" ref="G38">_xlfn.IFNA(_xlfn.XLOOKUP($A38,INDIRECT("'"&amp;G$4&amp;"'!$E$10:$E$44"),INDIRECT("'"&amp;G$4&amp;"'!$b$10:$b$44"))," ")</f>
        <v/>
      </c>
      <c r="H38" s="61">
        <f t="array" ref="H38">_xlfn.IFNA(_xlfn.XLOOKUP($A38,INDIRECT("'"&amp;H$4&amp;"'!$E$10:$E$44"),INDIRECT("'"&amp;H$4&amp;"'!$b$10:$b$44"))," ")</f>
        <v/>
      </c>
      <c r="I38" s="61">
        <f t="array" ref="I38">_xlfn.IFNA(_xlfn.XLOOKUP($A38,INDIRECT("'"&amp;I$4&amp;"'!$E$10:$E$44"),INDIRECT("'"&amp;I$4&amp;"'!$b$10:$b$44"))," ")</f>
        <v/>
      </c>
      <c r="J38" s="61">
        <f t="array" ref="J38">_xlfn.IFNA(_xlfn.XLOOKUP($A38,INDIRECT("'"&amp;J$4&amp;"'!$E$10:$E$44"),INDIRECT("'"&amp;J$4&amp;"'!$b$10:$b$44"))," ")</f>
        <v/>
      </c>
      <c r="K38" s="61">
        <f t="array" ref="K38">_xlfn.IFNA(_xlfn.XLOOKUP($A38,INDIRECT("'"&amp;K$4&amp;"'!$E$10:$E$44"),INDIRECT("'"&amp;K$4&amp;"'!$b$10:$b$44"))," ")</f>
        <v/>
      </c>
      <c r="L38" s="61">
        <f t="array" ref="L38">_xlfn.IFNA(_xlfn.XLOOKUP($A38,INDIRECT("'"&amp;L$4&amp;"'!$E$10:$E$44"),INDIRECT("'"&amp;L$4&amp;"'!$b$10:$b$44"))," ")</f>
        <v/>
      </c>
      <c r="M38" s="61">
        <f t="array" ref="M38">_xlfn.IFNA(_xlfn.XLOOKUP($A38,INDIRECT("'"&amp;M$4&amp;"'!$E$10:$E$44"),INDIRECT("'"&amp;M$4&amp;"'!$b$10:$b$44"))," ")</f>
        <v/>
      </c>
      <c r="N38" s="61">
        <f t="array" ref="N38">_xlfn.IFNA(_xlfn.XLOOKUP($A38,INDIRECT("'"&amp;N$4&amp;"'!$E$10:$E$44"),INDIRECT("'"&amp;N$4&amp;"'!$b$10:$b$44"))," ")</f>
        <v/>
      </c>
      <c r="O38" s="61">
        <f t="array" ref="O38">_xlfn.IFNA(_xlfn.XLOOKUP($A38,INDIRECT("'"&amp;O$4&amp;"'!$E$10:$E$44"),INDIRECT("'"&amp;O$4&amp;"'!$b$10:$b$44"))," ")</f>
        <v/>
      </c>
      <c r="P38" s="61">
        <f t="array" ref="P38">_xlfn.IFNA(_xlfn.XLOOKUP($A38,INDIRECT("'"&amp;P$4&amp;"'!$E$10:$E$44"),INDIRECT("'"&amp;P$4&amp;"'!$b$10:$b$44"))," ")</f>
        <v/>
      </c>
      <c r="Q38" s="61">
        <f t="array" ref="Q38">_xlfn.IFNA(_xlfn.XLOOKUP($A38,INDIRECT("'"&amp;Q$4&amp;"'!$E$10:$E$44"),INDIRECT("'"&amp;Q$4&amp;"'!$b$10:$b$44"))," ")</f>
        <v/>
      </c>
      <c r="T38" s="61">
        <f>SUM(B38:K38)</f>
        <v/>
      </c>
      <c r="U38" s="19">
        <f>IFERROR(AVERAGEIF(B38:Q38,"&gt;=0"),0)</f>
        <v/>
      </c>
      <c r="V38" s="61">
        <f>IFERROR(MAX(B38:Q38),0)</f>
        <v/>
      </c>
      <c r="W38" s="61">
        <f>IFERROR(_xlfn.MINIFS(B38:Q38,B38:Q38,"&gt;0"),0)</f>
        <v/>
      </c>
      <c r="X38" s="61">
        <f>RANK(T38,$T$5:$T$39)+COUNTIF($T$5:T38,T38)-1</f>
        <v/>
      </c>
      <c r="Y38" s="34">
        <f t="array" ref="Y38">IFERROR(T38/SUMPRODUCT(($B38:$C38&lt;&gt;"")*$B$3:$C$3),0)</f>
        <v/>
      </c>
    </row>
    <row r="39">
      <c r="A39" t="inlineStr">
        <is>
          <t>Zach N</t>
        </is>
      </c>
      <c r="B39" s="61">
        <f t="array" ref="B39">_xlfn.IFNA(_xlfn.XLOOKUP($A39,INDIRECT("'"&amp;B$4&amp;"'!$E$10:$E$44"),INDIRECT("'"&amp;B$4&amp;"'!$b$10:$b$44"))," ")</f>
        <v/>
      </c>
      <c r="C39" s="61">
        <f t="array" ref="C39">_xlfn.IFNA(_xlfn.XLOOKUP($A39,INDIRECT("'"&amp;C$4&amp;"'!$E$10:$E$44"),INDIRECT("'"&amp;C$4&amp;"'!$b$10:$b$44"))," ")</f>
        <v/>
      </c>
      <c r="D39" s="61">
        <f t="array" ref="D39">_xlfn.IFNA(_xlfn.XLOOKUP($A39,INDIRECT("'"&amp;D$4&amp;"'!$E$10:$E$44"),INDIRECT("'"&amp;D$4&amp;"'!$b$10:$b$44"))," ")</f>
        <v/>
      </c>
      <c r="E39" s="61">
        <f t="array" ref="E39">_xlfn.IFNA(_xlfn.XLOOKUP($A39,INDIRECT("'"&amp;E$4&amp;"'!$E$10:$E$44"),INDIRECT("'"&amp;E$4&amp;"'!$b$10:$b$44"))," ")</f>
        <v/>
      </c>
      <c r="F39" s="61">
        <f t="array" ref="F39">_xlfn.IFNA(_xlfn.XLOOKUP($A39,INDIRECT("'"&amp;F$4&amp;"'!$E$10:$E$44"),INDIRECT("'"&amp;F$4&amp;"'!$b$10:$b$44"))," ")</f>
        <v/>
      </c>
      <c r="G39" s="61">
        <f t="array" ref="G39">_xlfn.IFNA(_xlfn.XLOOKUP($A39,INDIRECT("'"&amp;G$4&amp;"'!$E$10:$E$44"),INDIRECT("'"&amp;G$4&amp;"'!$b$10:$b$44"))," ")</f>
        <v/>
      </c>
      <c r="H39" s="61">
        <f t="array" ref="H39">_xlfn.IFNA(_xlfn.XLOOKUP($A39,INDIRECT("'"&amp;H$4&amp;"'!$E$10:$E$44"),INDIRECT("'"&amp;H$4&amp;"'!$b$10:$b$44"))," ")</f>
        <v/>
      </c>
      <c r="I39" s="61">
        <f t="array" ref="I39">_xlfn.IFNA(_xlfn.XLOOKUP($A39,INDIRECT("'"&amp;I$4&amp;"'!$E$10:$E$44"),INDIRECT("'"&amp;I$4&amp;"'!$b$10:$b$44"))," ")</f>
        <v/>
      </c>
      <c r="J39" s="61">
        <f t="array" ref="J39">_xlfn.IFNA(_xlfn.XLOOKUP($A39,INDIRECT("'"&amp;J$4&amp;"'!$E$10:$E$44"),INDIRECT("'"&amp;J$4&amp;"'!$b$10:$b$44"))," ")</f>
        <v/>
      </c>
      <c r="K39" s="61">
        <f t="array" ref="K39">_xlfn.IFNA(_xlfn.XLOOKUP($A39,INDIRECT("'"&amp;K$4&amp;"'!$E$10:$E$44"),INDIRECT("'"&amp;K$4&amp;"'!$b$10:$b$44"))," ")</f>
        <v/>
      </c>
      <c r="L39" s="61">
        <f t="array" ref="L39">_xlfn.IFNA(_xlfn.XLOOKUP($A39,INDIRECT("'"&amp;L$4&amp;"'!$E$10:$E$44"),INDIRECT("'"&amp;L$4&amp;"'!$b$10:$b$44"))," ")</f>
        <v/>
      </c>
      <c r="M39" s="61">
        <f t="array" ref="M39">_xlfn.IFNA(_xlfn.XLOOKUP($A39,INDIRECT("'"&amp;M$4&amp;"'!$E$10:$E$44"),INDIRECT("'"&amp;M$4&amp;"'!$b$10:$b$44"))," ")</f>
        <v/>
      </c>
      <c r="N39" s="61">
        <f t="array" ref="N39">_xlfn.IFNA(_xlfn.XLOOKUP($A39,INDIRECT("'"&amp;N$4&amp;"'!$E$10:$E$44"),INDIRECT("'"&amp;N$4&amp;"'!$b$10:$b$44"))," ")</f>
        <v/>
      </c>
      <c r="O39" s="61">
        <f t="array" ref="O39">_xlfn.IFNA(_xlfn.XLOOKUP($A39,INDIRECT("'"&amp;O$4&amp;"'!$E$10:$E$44"),INDIRECT("'"&amp;O$4&amp;"'!$b$10:$b$44"))," ")</f>
        <v/>
      </c>
      <c r="P39" s="61">
        <f t="array" ref="P39">_xlfn.IFNA(_xlfn.XLOOKUP($A39,INDIRECT("'"&amp;P$4&amp;"'!$E$10:$E$44"),INDIRECT("'"&amp;P$4&amp;"'!$b$10:$b$44"))," ")</f>
        <v/>
      </c>
      <c r="Q39" s="61">
        <f t="array" ref="Q39">_xlfn.IFNA(_xlfn.XLOOKUP($A39,INDIRECT("'"&amp;Q$4&amp;"'!$E$10:$E$44"),INDIRECT("'"&amp;Q$4&amp;"'!$b$10:$b$44"))," ")</f>
        <v/>
      </c>
      <c r="T39" s="61">
        <f>SUM(B39:K39)</f>
        <v/>
      </c>
      <c r="U39" s="19">
        <f>IFERROR(AVERAGEIF(B39:Q39,"&gt;=0"),0)</f>
        <v/>
      </c>
      <c r="V39" s="61">
        <f>IFERROR(MAX(B39:Q39),0)</f>
        <v/>
      </c>
      <c r="W39" s="61">
        <f>IFERROR(_xlfn.MINIFS(B39:Q39,B39:Q39,"&gt;0"),0)</f>
        <v/>
      </c>
      <c r="X39" s="61">
        <f>RANK(T39,$T$5:$T$39)+COUNTIF($T$5:T39,T39)-1</f>
        <v/>
      </c>
      <c r="Y39" s="34">
        <f t="array" ref="Y39">IFERROR(T39/SUMPRODUCT(($B39:$C39&lt;&gt;"")*$B$3:$C$3),0)</f>
        <v/>
      </c>
    </row>
  </sheetData>
  <mergeCells count="1">
    <mergeCell ref="A1:W2"/>
  </mergeCells>
  <conditionalFormatting sqref="T5:T3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pageSetup orientation="portrait" horizontalDpi="300" verticalDpi="300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zoomScale="70" zoomScaleNormal="70" workbookViewId="0">
      <selection activeCell="C7" sqref="C7"/>
    </sheetView>
  </sheetViews>
  <sheetFormatPr baseColWidth="8" defaultColWidth="9.109375" defaultRowHeight="14.4"/>
  <cols>
    <col width="19.44140625" bestFit="1" customWidth="1" style="54" min="1" max="1"/>
    <col width="9.88671875" bestFit="1" customWidth="1" style="54" min="2" max="2"/>
    <col width="9.88671875" customWidth="1" style="54" min="3" max="10"/>
    <col width="10.88671875" customWidth="1" style="54" min="11" max="20"/>
    <col width="7.5546875" customWidth="1" style="54" min="21" max="21"/>
    <col width="7.5546875" bestFit="1" customWidth="1" style="54" min="22" max="23"/>
    <col width="9.109375" customWidth="1" style="54" min="24" max="29"/>
    <col width="9.109375" customWidth="1" style="54" min="30" max="16384"/>
  </cols>
  <sheetData>
    <row r="1" ht="15" customHeight="1" s="54">
      <c r="A1" s="62" t="inlineStr">
        <is>
          <t>$$$ WINNINGS</t>
        </is>
      </c>
    </row>
    <row r="2"/>
    <row r="3">
      <c r="B3" t="inlineStr">
        <is>
          <t>Buy in $40</t>
        </is>
      </c>
    </row>
    <row r="4">
      <c r="A4" s="5" t="inlineStr">
        <is>
          <t>Player</t>
        </is>
      </c>
      <c r="B4" s="5" t="inlineStr">
        <is>
          <t>Week 1</t>
        </is>
      </c>
      <c r="C4" s="5" t="inlineStr">
        <is>
          <t>Week 2</t>
        </is>
      </c>
      <c r="D4" s="5" t="inlineStr">
        <is>
          <t>Week 3</t>
        </is>
      </c>
      <c r="E4" s="5" t="inlineStr">
        <is>
          <t>Week 4</t>
        </is>
      </c>
      <c r="F4" s="5" t="inlineStr">
        <is>
          <t>Week 5</t>
        </is>
      </c>
      <c r="G4" s="5" t="inlineStr">
        <is>
          <t>Week 6</t>
        </is>
      </c>
      <c r="H4" s="5" t="inlineStr">
        <is>
          <t>Week 7</t>
        </is>
      </c>
      <c r="I4" s="5" t="inlineStr">
        <is>
          <t>Week 8</t>
        </is>
      </c>
      <c r="J4" s="5" t="inlineStr">
        <is>
          <t>Week 9</t>
        </is>
      </c>
      <c r="K4" s="5" t="inlineStr">
        <is>
          <t>Week 10</t>
        </is>
      </c>
      <c r="L4" s="5" t="inlineStr">
        <is>
          <t>Week 11</t>
        </is>
      </c>
      <c r="M4" s="5" t="inlineStr">
        <is>
          <t>Week 12</t>
        </is>
      </c>
      <c r="N4" s="5" t="inlineStr">
        <is>
          <t>Week 13</t>
        </is>
      </c>
      <c r="O4" s="5" t="inlineStr">
        <is>
          <t>Week 14</t>
        </is>
      </c>
      <c r="P4" s="5" t="inlineStr">
        <is>
          <t>Week 15</t>
        </is>
      </c>
      <c r="Q4" s="5" t="inlineStr">
        <is>
          <t>Week 16</t>
        </is>
      </c>
      <c r="R4" s="5" t="inlineStr">
        <is>
          <t>Week 17</t>
        </is>
      </c>
      <c r="S4" s="5" t="inlineStr">
        <is>
          <t>Week 18</t>
        </is>
      </c>
      <c r="T4" s="5" t="inlineStr">
        <is>
          <t>Winning</t>
        </is>
      </c>
      <c r="U4" s="5" t="inlineStr">
        <is>
          <t>Total</t>
        </is>
      </c>
      <c r="V4" s="5" t="inlineStr">
        <is>
          <t xml:space="preserve">Avg </t>
        </is>
      </c>
      <c r="W4" s="5" t="inlineStr">
        <is>
          <t>Best</t>
        </is>
      </c>
    </row>
    <row r="5">
      <c r="A5" s="21" t="inlineStr">
        <is>
          <t>Bob h</t>
        </is>
      </c>
      <c r="B5" s="30">
        <f t="array" ref="B5">_xlfn.IFNA(_xlfn.XLOOKUP($A5,INDIRECT("'"&amp;B$4&amp;"'!$E$10:$E$44"),INDIRECT("'"&amp;B$4&amp;"'!$A$10:$A$44"))," ")</f>
        <v/>
      </c>
      <c r="C5" s="30">
        <f t="array" ref="C5">_xlfn.IFNA(_xlfn.XLOOKUP($A5,INDIRECT("'"&amp;C$4&amp;"'!$E$10:$E$44"),INDIRECT("'"&amp;C$4&amp;"'!$A$10:$A$44"))," ")</f>
        <v/>
      </c>
      <c r="D5" s="30">
        <f t="array" ref="D5">_xlfn.IFNA(_xlfn.XLOOKUP($A5,INDIRECT("'"&amp;D$4&amp;"'!$E$10:$E$44"),INDIRECT("'"&amp;D$4&amp;"'!$A$10:$A$44"))," ")</f>
        <v/>
      </c>
      <c r="E5" s="30">
        <f t="array" ref="E5">_xlfn.IFNA(_xlfn.XLOOKUP($A5,INDIRECT("'"&amp;E$4&amp;"'!$E$10:$E$44"),INDIRECT("'"&amp;E$4&amp;"'!$A$10:$A$44"))," ")</f>
        <v/>
      </c>
      <c r="F5" s="30">
        <f t="array" ref="F5">_xlfn.IFNA(_xlfn.XLOOKUP($A5,INDIRECT("'"&amp;F$4&amp;"'!$E$10:$E$44"),INDIRECT("'"&amp;F$4&amp;"'!$A$10:$A$44"))," ")</f>
        <v/>
      </c>
      <c r="G5" s="30">
        <f t="array" ref="G5">_xlfn.IFNA(_xlfn.XLOOKUP($A5,INDIRECT("'"&amp;G$4&amp;"'!$E$10:$E$44"),INDIRECT("'"&amp;G$4&amp;"'!$A$10:$A$44"))," ")</f>
        <v/>
      </c>
      <c r="H5" s="30">
        <f t="array" ref="H5">_xlfn.IFNA(_xlfn.XLOOKUP($A5,INDIRECT("'"&amp;H$4&amp;"'!$E$10:$E$44"),INDIRECT("'"&amp;H$4&amp;"'!$A$10:$A$44"))," ")</f>
        <v/>
      </c>
      <c r="I5" s="30">
        <f t="array" ref="I5">_xlfn.IFNA(_xlfn.XLOOKUP($A5,INDIRECT("'"&amp;I$4&amp;"'!$E$10:$E$44"),INDIRECT("'"&amp;I$4&amp;"'!$A$10:$A$44"))," ")</f>
        <v/>
      </c>
      <c r="J5" s="30">
        <f t="array" ref="J5">_xlfn.IFNA(_xlfn.XLOOKUP($A5,INDIRECT("'"&amp;J$4&amp;"'!$E$10:$E$44"),INDIRECT("'"&amp;J$4&amp;"'!$A$10:$A$44"))," ")</f>
        <v/>
      </c>
      <c r="K5" s="30">
        <f t="array" ref="K5">_xlfn.IFNA(_xlfn.XLOOKUP($A5,INDIRECT("'"&amp;K$4&amp;"'!$E$10:$E$44"),INDIRECT("'"&amp;K$4&amp;"'!$A$10:$A$44"))," ")</f>
        <v/>
      </c>
      <c r="L5" s="30">
        <f t="array" ref="L5">_xlfn.IFNA(_xlfn.XLOOKUP($A5,INDIRECT("'"&amp;L$4&amp;"'!$E$10:$E$44"),INDIRECT("'"&amp;L$4&amp;"'!$A$10:$A$44"))," ")</f>
        <v/>
      </c>
      <c r="M5" s="30">
        <f t="array" ref="M5">_xlfn.IFNA(_xlfn.XLOOKUP($A5,INDIRECT("'"&amp;M$4&amp;"'!$E$10:$E$44"),INDIRECT("'"&amp;M$4&amp;"'!$A$10:$A$44"))," ")</f>
        <v/>
      </c>
      <c r="N5" s="30">
        <f t="array" ref="N5">_xlfn.IFNA(_xlfn.XLOOKUP($A5,INDIRECT("'"&amp;N$4&amp;"'!$E$10:$E$44"),INDIRECT("'"&amp;N$4&amp;"'!$A$10:$A$44"))," ")</f>
        <v/>
      </c>
      <c r="O5" s="30">
        <f t="array" ref="O5">_xlfn.IFNA(_xlfn.XLOOKUP($A5,INDIRECT("'"&amp;O$4&amp;"'!$E$10:$E$44"),INDIRECT("'"&amp;O$4&amp;"'!$A$10:$A$44"))," ")</f>
        <v/>
      </c>
      <c r="P5" s="30">
        <f t="array" ref="P5">_xlfn.IFNA(_xlfn.XLOOKUP($A5,INDIRECT("'"&amp;P$4&amp;"'!$E$10:$E$44"),INDIRECT("'"&amp;P$4&amp;"'!$A$10:$A$44"))," ")</f>
        <v/>
      </c>
      <c r="Q5" s="30">
        <f t="array" ref="Q5">_xlfn.IFNA(_xlfn.XLOOKUP($A5,INDIRECT("'"&amp;Q$4&amp;"'!$E$10:$E$44"),INDIRECT("'"&amp;Q$4&amp;"'!$A$10:$A$44"))," ")</f>
        <v/>
      </c>
      <c r="R5" s="30">
        <f t="array" ref="R5">_xlfn.IFNA(_xlfn.XLOOKUP($A5,INDIRECT("'"&amp;R$4&amp;"'!$E$10:$E$44"),INDIRECT("'"&amp;R$4&amp;"'!$A$10:$A$44"))," ")</f>
        <v/>
      </c>
      <c r="S5" s="30">
        <f t="array" ref="S5">_xlfn.IFNA(_xlfn.XLOOKUP($A5,INDIRECT("'"&amp;S$4&amp;"'!$E$10:$E$44"),INDIRECT("'"&amp;S$4&amp;"'!$A$10:$A$44"))," ")</f>
        <v/>
      </c>
      <c r="T5" s="30">
        <f>SUM(Table5[[#This Row],[Week 1]:[Week 18]])</f>
        <v/>
      </c>
      <c r="U5" s="30">
        <f>SUM(B5:S5)-40</f>
        <v/>
      </c>
      <c r="V5" s="30">
        <f>IFERROR(SUM(B5:S5)/COUNT(B5:S5),0)</f>
        <v/>
      </c>
      <c r="W5" s="30">
        <f>IFERROR(MAX(B5:S5),0)</f>
        <v/>
      </c>
    </row>
    <row r="6">
      <c r="A6" s="21" t="inlineStr">
        <is>
          <t>Brick_Hauss</t>
        </is>
      </c>
      <c r="B6" s="30">
        <f t="array" ref="B6">_xlfn.IFNA(_xlfn.XLOOKUP($A6,INDIRECT("'"&amp;B$4&amp;"'!$E$10:$E$44"),INDIRECT("'"&amp;B$4&amp;"'!$A$10:$A$44"))," ")</f>
        <v/>
      </c>
      <c r="C6" s="30">
        <f t="array" ref="C6">_xlfn.IFNA(_xlfn.XLOOKUP($A6,INDIRECT("'"&amp;C$4&amp;"'!$E$10:$E$44"),INDIRECT("'"&amp;C$4&amp;"'!$A$10:$A$44"))," ")</f>
        <v/>
      </c>
      <c r="D6" s="30">
        <f t="array" ref="D6">_xlfn.IFNA(_xlfn.XLOOKUP($A6,INDIRECT("'"&amp;D$4&amp;"'!$E$10:$E$44"),INDIRECT("'"&amp;D$4&amp;"'!$A$10:$A$44"))," ")</f>
        <v/>
      </c>
      <c r="E6" s="30">
        <f t="array" ref="E6">_xlfn.IFNA(_xlfn.XLOOKUP($A6,INDIRECT("'"&amp;E$4&amp;"'!$E$10:$E$44"),INDIRECT("'"&amp;E$4&amp;"'!$A$10:$A$44"))," ")</f>
        <v/>
      </c>
      <c r="F6" s="30">
        <f t="array" ref="F6">_xlfn.IFNA(_xlfn.XLOOKUP($A6,INDIRECT("'"&amp;F$4&amp;"'!$E$10:$E$44"),INDIRECT("'"&amp;F$4&amp;"'!$A$10:$A$44"))," ")</f>
        <v/>
      </c>
      <c r="G6" s="30">
        <f t="array" ref="G6">_xlfn.IFNA(_xlfn.XLOOKUP($A6,INDIRECT("'"&amp;G$4&amp;"'!$E$10:$E$44"),INDIRECT("'"&amp;G$4&amp;"'!$A$10:$A$44"))," ")</f>
        <v/>
      </c>
      <c r="H6" s="30">
        <f t="array" ref="H6">_xlfn.IFNA(_xlfn.XLOOKUP($A6,INDIRECT("'"&amp;H$4&amp;"'!$E$10:$E$44"),INDIRECT("'"&amp;H$4&amp;"'!$A$10:$A$44"))," ")</f>
        <v/>
      </c>
      <c r="I6" s="30">
        <f t="array" ref="I6">_xlfn.IFNA(_xlfn.XLOOKUP($A6,INDIRECT("'"&amp;I$4&amp;"'!$E$10:$E$44"),INDIRECT("'"&amp;I$4&amp;"'!$A$10:$A$44"))," ")</f>
        <v/>
      </c>
      <c r="J6" s="30">
        <f t="array" ref="J6">_xlfn.IFNA(_xlfn.XLOOKUP($A6,INDIRECT("'"&amp;J$4&amp;"'!$E$10:$E$44"),INDIRECT("'"&amp;J$4&amp;"'!$A$10:$A$44"))," ")</f>
        <v/>
      </c>
      <c r="K6" s="30">
        <f t="array" ref="K6">_xlfn.IFNA(_xlfn.XLOOKUP($A6,INDIRECT("'"&amp;K$4&amp;"'!$E$10:$E$44"),INDIRECT("'"&amp;K$4&amp;"'!$A$10:$A$44"))," ")</f>
        <v/>
      </c>
      <c r="L6" s="30">
        <f t="array" ref="L6">_xlfn.IFNA(_xlfn.XLOOKUP($A6,INDIRECT("'"&amp;L$4&amp;"'!$E$10:$E$44"),INDIRECT("'"&amp;L$4&amp;"'!$A$10:$A$44"))," ")</f>
        <v/>
      </c>
      <c r="M6" s="30">
        <f t="array" ref="M6">_xlfn.IFNA(_xlfn.XLOOKUP($A6,INDIRECT("'"&amp;M$4&amp;"'!$E$10:$E$44"),INDIRECT("'"&amp;M$4&amp;"'!$A$10:$A$44"))," ")</f>
        <v/>
      </c>
      <c r="N6" s="30">
        <f t="array" ref="N6">_xlfn.IFNA(_xlfn.XLOOKUP($A6,INDIRECT("'"&amp;N$4&amp;"'!$E$10:$E$44"),INDIRECT("'"&amp;N$4&amp;"'!$A$10:$A$44"))," ")</f>
        <v/>
      </c>
      <c r="O6" s="30">
        <f t="array" ref="O6">_xlfn.IFNA(_xlfn.XLOOKUP($A6,INDIRECT("'"&amp;O$4&amp;"'!$E$10:$E$44"),INDIRECT("'"&amp;O$4&amp;"'!$A$10:$A$44"))," ")</f>
        <v/>
      </c>
      <c r="P6" s="30">
        <f t="array" ref="P6">_xlfn.IFNA(_xlfn.XLOOKUP($A6,INDIRECT("'"&amp;P$4&amp;"'!$E$10:$E$44"),INDIRECT("'"&amp;P$4&amp;"'!$A$10:$A$44"))," ")</f>
        <v/>
      </c>
      <c r="Q6" s="30">
        <f t="array" ref="Q6">_xlfn.IFNA(_xlfn.XLOOKUP($A6,INDIRECT("'"&amp;Q$4&amp;"'!$E$10:$E$44"),INDIRECT("'"&amp;Q$4&amp;"'!$A$10:$A$44"))," ")</f>
        <v/>
      </c>
      <c r="R6" s="30">
        <f t="array" ref="R6">_xlfn.IFNA(_xlfn.XLOOKUP($A6,INDIRECT("'"&amp;R$4&amp;"'!$E$10:$E$44"),INDIRECT("'"&amp;R$4&amp;"'!$A$10:$A$44"))," ")</f>
        <v/>
      </c>
      <c r="S6" s="30">
        <f t="array" ref="S6">_xlfn.IFNA(_xlfn.XLOOKUP($A6,INDIRECT("'"&amp;S$4&amp;"'!$E$10:$E$44"),INDIRECT("'"&amp;S$4&amp;"'!$A$10:$A$44"))," ")</f>
        <v/>
      </c>
      <c r="T6" s="30">
        <f>SUM(Table5[[#This Row],[Week 1]:[Week 18]])</f>
        <v/>
      </c>
      <c r="U6" s="30">
        <f>SUM(B6:S6)-40</f>
        <v/>
      </c>
      <c r="V6" s="30">
        <f>IFERROR(SUM(B6:S6)/COUNT(B6:S6),0)</f>
        <v/>
      </c>
      <c r="W6" s="30">
        <f>IFERROR(MAX(B6:S6),0)</f>
        <v/>
      </c>
    </row>
    <row r="7">
      <c r="A7" s="21" t="inlineStr">
        <is>
          <t>CraneGuy936</t>
        </is>
      </c>
      <c r="B7" s="30">
        <f t="array" ref="B7">_xlfn.IFNA(_xlfn.XLOOKUP($A7,INDIRECT("'"&amp;B$4&amp;"'!$E$10:$E$44"),INDIRECT("'"&amp;B$4&amp;"'!$A$10:$A$44"))," ")</f>
        <v/>
      </c>
      <c r="C7" s="30">
        <f t="array" ref="C7">_xlfn.IFNA(_xlfn.XLOOKUP($A7,INDIRECT("'"&amp;C$4&amp;"'!$E$10:$E$44"),INDIRECT("'"&amp;C$4&amp;"'!$A$10:$A$44"))," ")</f>
        <v/>
      </c>
      <c r="D7" s="30">
        <f t="array" ref="D7">_xlfn.IFNA(_xlfn.XLOOKUP($A7,INDIRECT("'"&amp;D$4&amp;"'!$E$10:$E$44"),INDIRECT("'"&amp;D$4&amp;"'!$A$10:$A$44"))," ")</f>
        <v/>
      </c>
      <c r="E7" s="30">
        <f t="array" ref="E7">_xlfn.IFNA(_xlfn.XLOOKUP($A7,INDIRECT("'"&amp;E$4&amp;"'!$E$10:$E$44"),INDIRECT("'"&amp;E$4&amp;"'!$A$10:$A$44"))," ")</f>
        <v/>
      </c>
      <c r="F7" s="30">
        <f t="array" ref="F7">_xlfn.IFNA(_xlfn.XLOOKUP($A7,INDIRECT("'"&amp;F$4&amp;"'!$E$10:$E$44"),INDIRECT("'"&amp;F$4&amp;"'!$A$10:$A$44"))," ")</f>
        <v/>
      </c>
      <c r="G7" s="30">
        <f t="array" ref="G7">_xlfn.IFNA(_xlfn.XLOOKUP($A7,INDIRECT("'"&amp;G$4&amp;"'!$E$10:$E$44"),INDIRECT("'"&amp;G$4&amp;"'!$A$10:$A$44"))," ")</f>
        <v/>
      </c>
      <c r="H7" s="30">
        <f t="array" ref="H7">_xlfn.IFNA(_xlfn.XLOOKUP($A7,INDIRECT("'"&amp;H$4&amp;"'!$E$10:$E$44"),INDIRECT("'"&amp;H$4&amp;"'!$A$10:$A$44"))," ")</f>
        <v/>
      </c>
      <c r="I7" s="30">
        <f t="array" ref="I7">_xlfn.IFNA(_xlfn.XLOOKUP($A7,INDIRECT("'"&amp;I$4&amp;"'!$E$10:$E$44"),INDIRECT("'"&amp;I$4&amp;"'!$A$10:$A$44"))," ")</f>
        <v/>
      </c>
      <c r="J7" s="30">
        <f t="array" ref="J7">_xlfn.IFNA(_xlfn.XLOOKUP($A7,INDIRECT("'"&amp;J$4&amp;"'!$E$10:$E$44"),INDIRECT("'"&amp;J$4&amp;"'!$A$10:$A$44"))," ")</f>
        <v/>
      </c>
      <c r="K7" s="30">
        <f t="array" ref="K7">_xlfn.IFNA(_xlfn.XLOOKUP($A7,INDIRECT("'"&amp;K$4&amp;"'!$E$10:$E$44"),INDIRECT("'"&amp;K$4&amp;"'!$A$10:$A$44"))," ")</f>
        <v/>
      </c>
      <c r="L7" s="30">
        <f t="array" ref="L7">_xlfn.IFNA(_xlfn.XLOOKUP($A7,INDIRECT("'"&amp;L$4&amp;"'!$E$10:$E$44"),INDIRECT("'"&amp;L$4&amp;"'!$A$10:$A$44"))," ")</f>
        <v/>
      </c>
      <c r="M7" s="30">
        <f t="array" ref="M7">_xlfn.IFNA(_xlfn.XLOOKUP($A7,INDIRECT("'"&amp;M$4&amp;"'!$E$10:$E$44"),INDIRECT("'"&amp;M$4&amp;"'!$A$10:$A$44"))," ")</f>
        <v/>
      </c>
      <c r="N7" s="30">
        <f t="array" ref="N7">_xlfn.IFNA(_xlfn.XLOOKUP($A7,INDIRECT("'"&amp;N$4&amp;"'!$E$10:$E$44"),INDIRECT("'"&amp;N$4&amp;"'!$A$10:$A$44"))," ")</f>
        <v/>
      </c>
      <c r="O7" s="30">
        <f t="array" ref="O7">_xlfn.IFNA(_xlfn.XLOOKUP($A7,INDIRECT("'"&amp;O$4&amp;"'!$E$10:$E$44"),INDIRECT("'"&amp;O$4&amp;"'!$A$10:$A$44"))," ")</f>
        <v/>
      </c>
      <c r="P7" s="30">
        <f t="array" ref="P7">_xlfn.IFNA(_xlfn.XLOOKUP($A7,INDIRECT("'"&amp;P$4&amp;"'!$E$10:$E$44"),INDIRECT("'"&amp;P$4&amp;"'!$A$10:$A$44"))," ")</f>
        <v/>
      </c>
      <c r="Q7" s="30">
        <f t="array" ref="Q7">_xlfn.IFNA(_xlfn.XLOOKUP($A7,INDIRECT("'"&amp;Q$4&amp;"'!$E$10:$E$44"),INDIRECT("'"&amp;Q$4&amp;"'!$A$10:$A$44"))," ")</f>
        <v/>
      </c>
      <c r="R7" s="30">
        <f t="array" ref="R7">_xlfn.IFNA(_xlfn.XLOOKUP($A7,INDIRECT("'"&amp;R$4&amp;"'!$E$10:$E$44"),INDIRECT("'"&amp;R$4&amp;"'!$A$10:$A$44"))," ")</f>
        <v/>
      </c>
      <c r="S7" s="30">
        <f t="array" ref="S7">_xlfn.IFNA(_xlfn.XLOOKUP($A7,INDIRECT("'"&amp;S$4&amp;"'!$E$10:$E$44"),INDIRECT("'"&amp;S$4&amp;"'!$A$10:$A$44"))," ")</f>
        <v/>
      </c>
      <c r="T7" s="30">
        <f>SUM(Table5[[#This Row],[Week 1]:[Week 18]])</f>
        <v/>
      </c>
      <c r="U7" s="30">
        <f>SUM(B7:S7)-40</f>
        <v/>
      </c>
      <c r="V7" s="30">
        <f>IFERROR(SUM(B7:S7)/COUNT(B7:S7),0)</f>
        <v/>
      </c>
      <c r="W7" s="30">
        <f>IFERROR(MAX(B7:S7),0)</f>
        <v/>
      </c>
    </row>
    <row r="8">
      <c r="A8" s="21" t="inlineStr">
        <is>
          <t>cuetop</t>
        </is>
      </c>
      <c r="B8" s="30">
        <f t="array" ref="B8">_xlfn.IFNA(_xlfn.XLOOKUP($A8,INDIRECT("'"&amp;B$4&amp;"'!$E$10:$E$44"),INDIRECT("'"&amp;B$4&amp;"'!$A$10:$A$44"))," ")</f>
        <v/>
      </c>
      <c r="C8" s="30">
        <f t="array" ref="C8">_xlfn.IFNA(_xlfn.XLOOKUP($A8,INDIRECT("'"&amp;C$4&amp;"'!$E$10:$E$44"),INDIRECT("'"&amp;C$4&amp;"'!$A$10:$A$44"))," ")</f>
        <v/>
      </c>
      <c r="D8" s="30">
        <f t="array" ref="D8">_xlfn.IFNA(_xlfn.XLOOKUP($A8,INDIRECT("'"&amp;D$4&amp;"'!$E$10:$E$44"),INDIRECT("'"&amp;D$4&amp;"'!$A$10:$A$44"))," ")</f>
        <v/>
      </c>
      <c r="E8" s="30">
        <f t="array" ref="E8">_xlfn.IFNA(_xlfn.XLOOKUP($A8,INDIRECT("'"&amp;E$4&amp;"'!$E$10:$E$44"),INDIRECT("'"&amp;E$4&amp;"'!$A$10:$A$44"))," ")</f>
        <v/>
      </c>
      <c r="F8" s="30">
        <f t="array" ref="F8">_xlfn.IFNA(_xlfn.XLOOKUP($A8,INDIRECT("'"&amp;F$4&amp;"'!$E$10:$E$44"),INDIRECT("'"&amp;F$4&amp;"'!$A$10:$A$44"))," ")</f>
        <v/>
      </c>
      <c r="G8" s="30">
        <f t="array" ref="G8">_xlfn.IFNA(_xlfn.XLOOKUP($A8,INDIRECT("'"&amp;G$4&amp;"'!$E$10:$E$44"),INDIRECT("'"&amp;G$4&amp;"'!$A$10:$A$44"))," ")</f>
        <v/>
      </c>
      <c r="H8" s="30">
        <f t="array" ref="H8">_xlfn.IFNA(_xlfn.XLOOKUP($A8,INDIRECT("'"&amp;H$4&amp;"'!$E$10:$E$44"),INDIRECT("'"&amp;H$4&amp;"'!$A$10:$A$44"))," ")</f>
        <v/>
      </c>
      <c r="I8" s="30">
        <f t="array" ref="I8">_xlfn.IFNA(_xlfn.XLOOKUP($A8,INDIRECT("'"&amp;I$4&amp;"'!$E$10:$E$44"),INDIRECT("'"&amp;I$4&amp;"'!$A$10:$A$44"))," ")</f>
        <v/>
      </c>
      <c r="J8" s="30">
        <f t="array" ref="J8">_xlfn.IFNA(_xlfn.XLOOKUP($A8,INDIRECT("'"&amp;J$4&amp;"'!$E$10:$E$44"),INDIRECT("'"&amp;J$4&amp;"'!$A$10:$A$44"))," ")</f>
        <v/>
      </c>
      <c r="K8" s="30">
        <f t="array" ref="K8">_xlfn.IFNA(_xlfn.XLOOKUP($A8,INDIRECT("'"&amp;K$4&amp;"'!$E$10:$E$44"),INDIRECT("'"&amp;K$4&amp;"'!$A$10:$A$44"))," ")</f>
        <v/>
      </c>
      <c r="L8" s="30">
        <f t="array" ref="L8">_xlfn.IFNA(_xlfn.XLOOKUP($A8,INDIRECT("'"&amp;L$4&amp;"'!$E$10:$E$44"),INDIRECT("'"&amp;L$4&amp;"'!$A$10:$A$44"))," ")</f>
        <v/>
      </c>
      <c r="M8" s="30">
        <f t="array" ref="M8">_xlfn.IFNA(_xlfn.XLOOKUP($A8,INDIRECT("'"&amp;M$4&amp;"'!$E$10:$E$44"),INDIRECT("'"&amp;M$4&amp;"'!$A$10:$A$44"))," ")</f>
        <v/>
      </c>
      <c r="N8" s="30">
        <f t="array" ref="N8">_xlfn.IFNA(_xlfn.XLOOKUP($A8,INDIRECT("'"&amp;N$4&amp;"'!$E$10:$E$44"),INDIRECT("'"&amp;N$4&amp;"'!$A$10:$A$44"))," ")</f>
        <v/>
      </c>
      <c r="O8" s="30">
        <f t="array" ref="O8">_xlfn.IFNA(_xlfn.XLOOKUP($A8,INDIRECT("'"&amp;O$4&amp;"'!$E$10:$E$44"),INDIRECT("'"&amp;O$4&amp;"'!$A$10:$A$44"))," ")</f>
        <v/>
      </c>
      <c r="P8" s="30">
        <f t="array" ref="P8">_xlfn.IFNA(_xlfn.XLOOKUP($A8,INDIRECT("'"&amp;P$4&amp;"'!$E$10:$E$44"),INDIRECT("'"&amp;P$4&amp;"'!$A$10:$A$44"))," ")</f>
        <v/>
      </c>
      <c r="Q8" s="30">
        <f t="array" ref="Q8">_xlfn.IFNA(_xlfn.XLOOKUP($A8,INDIRECT("'"&amp;Q$4&amp;"'!$E$10:$E$44"),INDIRECT("'"&amp;Q$4&amp;"'!$A$10:$A$44"))," ")</f>
        <v/>
      </c>
      <c r="R8" s="30">
        <f t="array" ref="R8">_xlfn.IFNA(_xlfn.XLOOKUP($A8,INDIRECT("'"&amp;R$4&amp;"'!$E$10:$E$44"),INDIRECT("'"&amp;R$4&amp;"'!$A$10:$A$44"))," ")</f>
        <v/>
      </c>
      <c r="S8" s="30">
        <f t="array" ref="S8">_xlfn.IFNA(_xlfn.XLOOKUP($A8,INDIRECT("'"&amp;S$4&amp;"'!$E$10:$E$44"),INDIRECT("'"&amp;S$4&amp;"'!$A$10:$A$44"))," ")</f>
        <v/>
      </c>
      <c r="T8" s="30">
        <f>SUM(Table5[[#This Row],[Week 1]:[Week 18]])</f>
        <v/>
      </c>
      <c r="U8" s="30">
        <f>SUM(B8:S8)-40</f>
        <v/>
      </c>
      <c r="V8" s="30">
        <f>IFERROR(SUM(B8:S8)/COUNT(B8:S8),0)</f>
        <v/>
      </c>
      <c r="W8" s="30">
        <f>IFERROR(MAX(B8:S8),0)</f>
        <v/>
      </c>
    </row>
    <row r="9">
      <c r="A9" s="21" t="inlineStr">
        <is>
          <t>Ddupuy</t>
        </is>
      </c>
      <c r="B9" s="30">
        <f t="array" ref="B9">_xlfn.IFNA(_xlfn.XLOOKUP($A9,INDIRECT("'"&amp;B$4&amp;"'!$E$10:$E$44"),INDIRECT("'"&amp;B$4&amp;"'!$A$10:$A$44"))," ")</f>
        <v/>
      </c>
      <c r="C9" s="30">
        <f t="array" ref="C9">_xlfn.IFNA(_xlfn.XLOOKUP($A9,INDIRECT("'"&amp;C$4&amp;"'!$E$10:$E$44"),INDIRECT("'"&amp;C$4&amp;"'!$A$10:$A$44"))," ")</f>
        <v/>
      </c>
      <c r="D9" s="30">
        <f t="array" ref="D9">_xlfn.IFNA(_xlfn.XLOOKUP($A9,INDIRECT("'"&amp;D$4&amp;"'!$E$10:$E$44"),INDIRECT("'"&amp;D$4&amp;"'!$A$10:$A$44"))," ")</f>
        <v/>
      </c>
      <c r="E9" s="30">
        <f t="array" ref="E9">_xlfn.IFNA(_xlfn.XLOOKUP($A9,INDIRECT("'"&amp;E$4&amp;"'!$E$10:$E$44"),INDIRECT("'"&amp;E$4&amp;"'!$A$10:$A$44"))," ")</f>
        <v/>
      </c>
      <c r="F9" s="30">
        <f t="array" ref="F9">_xlfn.IFNA(_xlfn.XLOOKUP($A9,INDIRECT("'"&amp;F$4&amp;"'!$E$10:$E$44"),INDIRECT("'"&amp;F$4&amp;"'!$A$10:$A$44"))," ")</f>
        <v/>
      </c>
      <c r="G9" s="30">
        <f t="array" ref="G9">_xlfn.IFNA(_xlfn.XLOOKUP($A9,INDIRECT("'"&amp;G$4&amp;"'!$E$10:$E$44"),INDIRECT("'"&amp;G$4&amp;"'!$A$10:$A$44"))," ")</f>
        <v/>
      </c>
      <c r="H9" s="30">
        <f t="array" ref="H9">_xlfn.IFNA(_xlfn.XLOOKUP($A9,INDIRECT("'"&amp;H$4&amp;"'!$E$10:$E$44"),INDIRECT("'"&amp;H$4&amp;"'!$A$10:$A$44"))," ")</f>
        <v/>
      </c>
      <c r="I9" s="30">
        <f t="array" ref="I9">_xlfn.IFNA(_xlfn.XLOOKUP($A9,INDIRECT("'"&amp;I$4&amp;"'!$E$10:$E$44"),INDIRECT("'"&amp;I$4&amp;"'!$A$10:$A$44"))," ")</f>
        <v/>
      </c>
      <c r="J9" s="30">
        <f t="array" ref="J9">_xlfn.IFNA(_xlfn.XLOOKUP($A9,INDIRECT("'"&amp;J$4&amp;"'!$E$10:$E$44"),INDIRECT("'"&amp;J$4&amp;"'!$A$10:$A$44"))," ")</f>
        <v/>
      </c>
      <c r="K9" s="30">
        <f t="array" ref="K9">_xlfn.IFNA(_xlfn.XLOOKUP($A9,INDIRECT("'"&amp;K$4&amp;"'!$E$10:$E$44"),INDIRECT("'"&amp;K$4&amp;"'!$A$10:$A$44"))," ")</f>
        <v/>
      </c>
      <c r="L9" s="30">
        <f t="array" ref="L9">_xlfn.IFNA(_xlfn.XLOOKUP($A9,INDIRECT("'"&amp;L$4&amp;"'!$E$10:$E$44"),INDIRECT("'"&amp;L$4&amp;"'!$A$10:$A$44"))," ")</f>
        <v/>
      </c>
      <c r="M9" s="30">
        <f t="array" ref="M9">_xlfn.IFNA(_xlfn.XLOOKUP($A9,INDIRECT("'"&amp;M$4&amp;"'!$E$10:$E$44"),INDIRECT("'"&amp;M$4&amp;"'!$A$10:$A$44"))," ")</f>
        <v/>
      </c>
      <c r="N9" s="30">
        <f t="array" ref="N9">_xlfn.IFNA(_xlfn.XLOOKUP($A9,INDIRECT("'"&amp;N$4&amp;"'!$E$10:$E$44"),INDIRECT("'"&amp;N$4&amp;"'!$A$10:$A$44"))," ")</f>
        <v/>
      </c>
      <c r="O9" s="30">
        <f t="array" ref="O9">_xlfn.IFNA(_xlfn.XLOOKUP($A9,INDIRECT("'"&amp;O$4&amp;"'!$E$10:$E$44"),INDIRECT("'"&amp;O$4&amp;"'!$A$10:$A$44"))," ")</f>
        <v/>
      </c>
      <c r="P9" s="30">
        <f t="array" ref="P9">_xlfn.IFNA(_xlfn.XLOOKUP($A9,INDIRECT("'"&amp;P$4&amp;"'!$E$10:$E$44"),INDIRECT("'"&amp;P$4&amp;"'!$A$10:$A$44"))," ")</f>
        <v/>
      </c>
      <c r="Q9" s="30">
        <f t="array" ref="Q9">_xlfn.IFNA(_xlfn.XLOOKUP($A9,INDIRECT("'"&amp;Q$4&amp;"'!$E$10:$E$44"),INDIRECT("'"&amp;Q$4&amp;"'!$A$10:$A$44"))," ")</f>
        <v/>
      </c>
      <c r="R9" s="30">
        <f t="array" ref="R9">_xlfn.IFNA(_xlfn.XLOOKUP($A9,INDIRECT("'"&amp;R$4&amp;"'!$E$10:$E$44"),INDIRECT("'"&amp;R$4&amp;"'!$A$10:$A$44"))," ")</f>
        <v/>
      </c>
      <c r="S9" s="30">
        <f t="array" ref="S9">_xlfn.IFNA(_xlfn.XLOOKUP($A9,INDIRECT("'"&amp;S$4&amp;"'!$E$10:$E$44"),INDIRECT("'"&amp;S$4&amp;"'!$A$10:$A$44"))," ")</f>
        <v/>
      </c>
      <c r="T9" s="30">
        <f>SUM(Table5[[#This Row],[Week 1]:[Week 18]])</f>
        <v/>
      </c>
      <c r="U9" s="30">
        <f>SUM(B9:S9)-40</f>
        <v/>
      </c>
      <c r="V9" s="30">
        <f>IFERROR(SUM(B9:S9)/COUNT(B9:S9),0)</f>
        <v/>
      </c>
      <c r="W9" s="30">
        <f>IFERROR(MAX(B9:S9),0)</f>
        <v/>
      </c>
    </row>
    <row r="10">
      <c r="A10" s="21" t="inlineStr">
        <is>
          <t>Debe</t>
        </is>
      </c>
      <c r="B10" s="30">
        <f t="array" ref="B10">_xlfn.IFNA(_xlfn.XLOOKUP($A10,INDIRECT("'"&amp;B$4&amp;"'!$E$10:$E$44"),INDIRECT("'"&amp;B$4&amp;"'!$A$10:$A$44"))," ")</f>
        <v/>
      </c>
      <c r="C10" s="30">
        <f t="array" ref="C10">_xlfn.IFNA(_xlfn.XLOOKUP($A10,INDIRECT("'"&amp;C$4&amp;"'!$E$10:$E$44"),INDIRECT("'"&amp;C$4&amp;"'!$A$10:$A$44"))," ")</f>
        <v/>
      </c>
      <c r="D10" s="30">
        <f t="array" ref="D10">_xlfn.IFNA(_xlfn.XLOOKUP($A10,INDIRECT("'"&amp;D$4&amp;"'!$E$10:$E$44"),INDIRECT("'"&amp;D$4&amp;"'!$A$10:$A$44"))," ")</f>
        <v/>
      </c>
      <c r="E10" s="30">
        <f t="array" ref="E10">_xlfn.IFNA(_xlfn.XLOOKUP($A10,INDIRECT("'"&amp;E$4&amp;"'!$E$10:$E$44"),INDIRECT("'"&amp;E$4&amp;"'!$A$10:$A$44"))," ")</f>
        <v/>
      </c>
      <c r="F10" s="30">
        <f t="array" ref="F10">_xlfn.IFNA(_xlfn.XLOOKUP($A10,INDIRECT("'"&amp;F$4&amp;"'!$E$10:$E$44"),INDIRECT("'"&amp;F$4&amp;"'!$A$10:$A$44"))," ")</f>
        <v/>
      </c>
      <c r="G10" s="30">
        <f t="array" ref="G10">_xlfn.IFNA(_xlfn.XLOOKUP($A10,INDIRECT("'"&amp;G$4&amp;"'!$E$10:$E$44"),INDIRECT("'"&amp;G$4&amp;"'!$A$10:$A$44"))," ")</f>
        <v/>
      </c>
      <c r="H10" s="30">
        <f t="array" ref="H10">_xlfn.IFNA(_xlfn.XLOOKUP($A10,INDIRECT("'"&amp;H$4&amp;"'!$E$10:$E$44"),INDIRECT("'"&amp;H$4&amp;"'!$A$10:$A$44"))," ")</f>
        <v/>
      </c>
      <c r="I10" s="30">
        <f t="array" ref="I10">_xlfn.IFNA(_xlfn.XLOOKUP($A10,INDIRECT("'"&amp;I$4&amp;"'!$E$10:$E$44"),INDIRECT("'"&amp;I$4&amp;"'!$A$10:$A$44"))," ")</f>
        <v/>
      </c>
      <c r="J10" s="30">
        <f t="array" ref="J10">_xlfn.IFNA(_xlfn.XLOOKUP($A10,INDIRECT("'"&amp;J$4&amp;"'!$E$10:$E$44"),INDIRECT("'"&amp;J$4&amp;"'!$A$10:$A$44"))," ")</f>
        <v/>
      </c>
      <c r="K10" s="30">
        <f t="array" ref="K10">_xlfn.IFNA(_xlfn.XLOOKUP($A10,INDIRECT("'"&amp;K$4&amp;"'!$E$10:$E$44"),INDIRECT("'"&amp;K$4&amp;"'!$A$10:$A$44"))," ")</f>
        <v/>
      </c>
      <c r="L10" s="30">
        <f t="array" ref="L10">_xlfn.IFNA(_xlfn.XLOOKUP($A10,INDIRECT("'"&amp;L$4&amp;"'!$E$10:$E$44"),INDIRECT("'"&amp;L$4&amp;"'!$A$10:$A$44"))," ")</f>
        <v/>
      </c>
      <c r="M10" s="30">
        <f t="array" ref="M10">_xlfn.IFNA(_xlfn.XLOOKUP($A10,INDIRECT("'"&amp;M$4&amp;"'!$E$10:$E$44"),INDIRECT("'"&amp;M$4&amp;"'!$A$10:$A$44"))," ")</f>
        <v/>
      </c>
      <c r="N10" s="30">
        <f t="array" ref="N10">_xlfn.IFNA(_xlfn.XLOOKUP($A10,INDIRECT("'"&amp;N$4&amp;"'!$E$10:$E$44"),INDIRECT("'"&amp;N$4&amp;"'!$A$10:$A$44"))," ")</f>
        <v/>
      </c>
      <c r="O10" s="30">
        <f t="array" ref="O10">_xlfn.IFNA(_xlfn.XLOOKUP($A10,INDIRECT("'"&amp;O$4&amp;"'!$E$10:$E$44"),INDIRECT("'"&amp;O$4&amp;"'!$A$10:$A$44"))," ")</f>
        <v/>
      </c>
      <c r="P10" s="30">
        <f t="array" ref="P10">_xlfn.IFNA(_xlfn.XLOOKUP($A10,INDIRECT("'"&amp;P$4&amp;"'!$E$10:$E$44"),INDIRECT("'"&amp;P$4&amp;"'!$A$10:$A$44"))," ")</f>
        <v/>
      </c>
      <c r="Q10" s="30">
        <f t="array" ref="Q10">_xlfn.IFNA(_xlfn.XLOOKUP($A10,INDIRECT("'"&amp;Q$4&amp;"'!$E$10:$E$44"),INDIRECT("'"&amp;Q$4&amp;"'!$A$10:$A$44"))," ")</f>
        <v/>
      </c>
      <c r="R10" s="30">
        <f t="array" ref="R10">_xlfn.IFNA(_xlfn.XLOOKUP($A10,INDIRECT("'"&amp;R$4&amp;"'!$E$10:$E$44"),INDIRECT("'"&amp;R$4&amp;"'!$A$10:$A$44"))," ")</f>
        <v/>
      </c>
      <c r="S10" s="30">
        <f t="array" ref="S10">_xlfn.IFNA(_xlfn.XLOOKUP($A10,INDIRECT("'"&amp;S$4&amp;"'!$E$10:$E$44"),INDIRECT("'"&amp;S$4&amp;"'!$A$10:$A$44"))," ")</f>
        <v/>
      </c>
      <c r="T10" s="30">
        <f>SUM(Table5[[#This Row],[Week 1]:[Week 18]])</f>
        <v/>
      </c>
      <c r="U10" s="30">
        <f>SUM(B10:S10)-40</f>
        <v/>
      </c>
      <c r="V10" s="30">
        <f>IFERROR(SUM(B10:S10)/COUNT(B10:S10),0)</f>
        <v/>
      </c>
      <c r="W10" s="30">
        <f>IFERROR(MAX(B10:S10),0)</f>
        <v/>
      </c>
    </row>
    <row r="11">
      <c r="A11" s="21" t="inlineStr">
        <is>
          <t>DPSOG</t>
        </is>
      </c>
      <c r="B11" s="30">
        <f t="array" ref="B11">_xlfn.IFNA(_xlfn.XLOOKUP($A11,INDIRECT("'"&amp;B$4&amp;"'!$E$10:$E$44"),INDIRECT("'"&amp;B$4&amp;"'!$A$10:$A$44"))," ")</f>
        <v/>
      </c>
      <c r="C11" s="30">
        <f t="array" ref="C11">_xlfn.IFNA(_xlfn.XLOOKUP($A11,INDIRECT("'"&amp;C$4&amp;"'!$E$10:$E$44"),INDIRECT("'"&amp;C$4&amp;"'!$A$10:$A$44"))," ")</f>
        <v/>
      </c>
      <c r="D11" s="30">
        <f t="array" ref="D11">_xlfn.IFNA(_xlfn.XLOOKUP($A11,INDIRECT("'"&amp;D$4&amp;"'!$E$10:$E$44"),INDIRECT("'"&amp;D$4&amp;"'!$A$10:$A$44"))," ")</f>
        <v/>
      </c>
      <c r="E11" s="30">
        <f t="array" ref="E11">_xlfn.IFNA(_xlfn.XLOOKUP($A11,INDIRECT("'"&amp;E$4&amp;"'!$E$10:$E$44"),INDIRECT("'"&amp;E$4&amp;"'!$A$10:$A$44"))," ")</f>
        <v/>
      </c>
      <c r="F11" s="30">
        <f t="array" ref="F11">_xlfn.IFNA(_xlfn.XLOOKUP($A11,INDIRECT("'"&amp;F$4&amp;"'!$E$10:$E$44"),INDIRECT("'"&amp;F$4&amp;"'!$A$10:$A$44"))," ")</f>
        <v/>
      </c>
      <c r="G11" s="30">
        <f t="array" ref="G11">_xlfn.IFNA(_xlfn.XLOOKUP($A11,INDIRECT("'"&amp;G$4&amp;"'!$E$10:$E$44"),INDIRECT("'"&amp;G$4&amp;"'!$A$10:$A$44"))," ")</f>
        <v/>
      </c>
      <c r="H11" s="30">
        <f t="array" ref="H11">_xlfn.IFNA(_xlfn.XLOOKUP($A11,INDIRECT("'"&amp;H$4&amp;"'!$E$10:$E$44"),INDIRECT("'"&amp;H$4&amp;"'!$A$10:$A$44"))," ")</f>
        <v/>
      </c>
      <c r="I11" s="30">
        <f t="array" ref="I11">_xlfn.IFNA(_xlfn.XLOOKUP($A11,INDIRECT("'"&amp;I$4&amp;"'!$E$10:$E$44"),INDIRECT("'"&amp;I$4&amp;"'!$A$10:$A$44"))," ")</f>
        <v/>
      </c>
      <c r="J11" s="30">
        <f t="array" ref="J11">_xlfn.IFNA(_xlfn.XLOOKUP($A11,INDIRECT("'"&amp;J$4&amp;"'!$E$10:$E$44"),INDIRECT("'"&amp;J$4&amp;"'!$A$10:$A$44"))," ")</f>
        <v/>
      </c>
      <c r="K11" s="30">
        <f t="array" ref="K11">_xlfn.IFNA(_xlfn.XLOOKUP($A11,INDIRECT("'"&amp;K$4&amp;"'!$E$10:$E$44"),INDIRECT("'"&amp;K$4&amp;"'!$A$10:$A$44"))," ")</f>
        <v/>
      </c>
      <c r="L11" s="30">
        <f t="array" ref="L11">_xlfn.IFNA(_xlfn.XLOOKUP($A11,INDIRECT("'"&amp;L$4&amp;"'!$E$10:$E$44"),INDIRECT("'"&amp;L$4&amp;"'!$A$10:$A$44"))," ")</f>
        <v/>
      </c>
      <c r="M11" s="30">
        <f t="array" ref="M11">_xlfn.IFNA(_xlfn.XLOOKUP($A11,INDIRECT("'"&amp;M$4&amp;"'!$E$10:$E$44"),INDIRECT("'"&amp;M$4&amp;"'!$A$10:$A$44"))," ")</f>
        <v/>
      </c>
      <c r="N11" s="30">
        <f t="array" ref="N11">_xlfn.IFNA(_xlfn.XLOOKUP($A11,INDIRECT("'"&amp;N$4&amp;"'!$E$10:$E$44"),INDIRECT("'"&amp;N$4&amp;"'!$A$10:$A$44"))," ")</f>
        <v/>
      </c>
      <c r="O11" s="30">
        <f t="array" ref="O11">_xlfn.IFNA(_xlfn.XLOOKUP($A11,INDIRECT("'"&amp;O$4&amp;"'!$E$10:$E$44"),INDIRECT("'"&amp;O$4&amp;"'!$A$10:$A$44"))," ")</f>
        <v/>
      </c>
      <c r="P11" s="30">
        <f t="array" ref="P11">_xlfn.IFNA(_xlfn.XLOOKUP($A11,INDIRECT("'"&amp;P$4&amp;"'!$E$10:$E$44"),INDIRECT("'"&amp;P$4&amp;"'!$A$10:$A$44"))," ")</f>
        <v/>
      </c>
      <c r="Q11" s="30">
        <f t="array" ref="Q11">_xlfn.IFNA(_xlfn.XLOOKUP($A11,INDIRECT("'"&amp;Q$4&amp;"'!$E$10:$E$44"),INDIRECT("'"&amp;Q$4&amp;"'!$A$10:$A$44"))," ")</f>
        <v/>
      </c>
      <c r="R11" s="30">
        <f t="array" ref="R11">_xlfn.IFNA(_xlfn.XLOOKUP($A11,INDIRECT("'"&amp;R$4&amp;"'!$E$10:$E$44"),INDIRECT("'"&amp;R$4&amp;"'!$A$10:$A$44"))," ")</f>
        <v/>
      </c>
      <c r="S11" s="30">
        <f t="array" ref="S11">_xlfn.IFNA(_xlfn.XLOOKUP($A11,INDIRECT("'"&amp;S$4&amp;"'!$E$10:$E$44"),INDIRECT("'"&amp;S$4&amp;"'!$A$10:$A$44"))," ")</f>
        <v/>
      </c>
      <c r="T11" s="30">
        <f>SUM(Table5[[#This Row],[Week 1]:[Week 18]])</f>
        <v/>
      </c>
      <c r="U11" s="30">
        <f>SUM(B11:S11)-40</f>
        <v/>
      </c>
      <c r="V11" s="30">
        <f>IFERROR(SUM(B11:S11)/COUNT(B11:S11),0)</f>
        <v/>
      </c>
      <c r="W11" s="30">
        <f>IFERROR(MAX(B11:S11),0)</f>
        <v/>
      </c>
    </row>
    <row r="12">
      <c r="A12" s="21" t="inlineStr">
        <is>
          <t>FMF Doc</t>
        </is>
      </c>
      <c r="B12" s="30">
        <f t="array" ref="B12">_xlfn.IFNA(_xlfn.XLOOKUP($A12,INDIRECT("'"&amp;B$4&amp;"'!$E$10:$E$44"),INDIRECT("'"&amp;B$4&amp;"'!$A$10:$A$44"))," ")</f>
        <v/>
      </c>
      <c r="C12" s="30">
        <f t="array" ref="C12">_xlfn.IFNA(_xlfn.XLOOKUP($A12,INDIRECT("'"&amp;C$4&amp;"'!$E$10:$E$44"),INDIRECT("'"&amp;C$4&amp;"'!$A$10:$A$44"))," ")</f>
        <v/>
      </c>
      <c r="D12" s="30">
        <f t="array" ref="D12">_xlfn.IFNA(_xlfn.XLOOKUP($A12,INDIRECT("'"&amp;D$4&amp;"'!$E$10:$E$44"),INDIRECT("'"&amp;D$4&amp;"'!$A$10:$A$44"))," ")</f>
        <v/>
      </c>
      <c r="E12" s="30">
        <f t="array" ref="E12">_xlfn.IFNA(_xlfn.XLOOKUP($A12,INDIRECT("'"&amp;E$4&amp;"'!$E$10:$E$44"),INDIRECT("'"&amp;E$4&amp;"'!$A$10:$A$44"))," ")</f>
        <v/>
      </c>
      <c r="F12" s="30">
        <f t="array" ref="F12">_xlfn.IFNA(_xlfn.XLOOKUP($A12,INDIRECT("'"&amp;F$4&amp;"'!$E$10:$E$44"),INDIRECT("'"&amp;F$4&amp;"'!$A$10:$A$44"))," ")</f>
        <v/>
      </c>
      <c r="G12" s="30">
        <f t="array" ref="G12">_xlfn.IFNA(_xlfn.XLOOKUP($A12,INDIRECT("'"&amp;G$4&amp;"'!$E$10:$E$44"),INDIRECT("'"&amp;G$4&amp;"'!$A$10:$A$44"))," ")</f>
        <v/>
      </c>
      <c r="H12" s="30">
        <f t="array" ref="H12">_xlfn.IFNA(_xlfn.XLOOKUP($A12,INDIRECT("'"&amp;H$4&amp;"'!$E$10:$E$44"),INDIRECT("'"&amp;H$4&amp;"'!$A$10:$A$44"))," ")</f>
        <v/>
      </c>
      <c r="I12" s="30">
        <f t="array" ref="I12">_xlfn.IFNA(_xlfn.XLOOKUP($A12,INDIRECT("'"&amp;I$4&amp;"'!$E$10:$E$44"),INDIRECT("'"&amp;I$4&amp;"'!$A$10:$A$44"))," ")</f>
        <v/>
      </c>
      <c r="J12" s="30">
        <f t="array" ref="J12">_xlfn.IFNA(_xlfn.XLOOKUP($A12,INDIRECT("'"&amp;J$4&amp;"'!$E$10:$E$44"),INDIRECT("'"&amp;J$4&amp;"'!$A$10:$A$44"))," ")</f>
        <v/>
      </c>
      <c r="K12" s="30">
        <f t="array" ref="K12">_xlfn.IFNA(_xlfn.XLOOKUP($A12,INDIRECT("'"&amp;K$4&amp;"'!$E$10:$E$44"),INDIRECT("'"&amp;K$4&amp;"'!$A$10:$A$44"))," ")</f>
        <v/>
      </c>
      <c r="L12" s="30">
        <f t="array" ref="L12">_xlfn.IFNA(_xlfn.XLOOKUP($A12,INDIRECT("'"&amp;L$4&amp;"'!$E$10:$E$44"),INDIRECT("'"&amp;L$4&amp;"'!$A$10:$A$44"))," ")</f>
        <v/>
      </c>
      <c r="M12" s="30">
        <f t="array" ref="M12">_xlfn.IFNA(_xlfn.XLOOKUP($A12,INDIRECT("'"&amp;M$4&amp;"'!$E$10:$E$44"),INDIRECT("'"&amp;M$4&amp;"'!$A$10:$A$44"))," ")</f>
        <v/>
      </c>
      <c r="N12" s="30">
        <f t="array" ref="N12">_xlfn.IFNA(_xlfn.XLOOKUP($A12,INDIRECT("'"&amp;N$4&amp;"'!$E$10:$E$44"),INDIRECT("'"&amp;N$4&amp;"'!$A$10:$A$44"))," ")</f>
        <v/>
      </c>
      <c r="O12" s="30">
        <f t="array" ref="O12">_xlfn.IFNA(_xlfn.XLOOKUP($A12,INDIRECT("'"&amp;O$4&amp;"'!$E$10:$E$44"),INDIRECT("'"&amp;O$4&amp;"'!$A$10:$A$44"))," ")</f>
        <v/>
      </c>
      <c r="P12" s="30">
        <f t="array" ref="P12">_xlfn.IFNA(_xlfn.XLOOKUP($A12,INDIRECT("'"&amp;P$4&amp;"'!$E$10:$E$44"),INDIRECT("'"&amp;P$4&amp;"'!$A$10:$A$44"))," ")</f>
        <v/>
      </c>
      <c r="Q12" s="30">
        <f t="array" ref="Q12">_xlfn.IFNA(_xlfn.XLOOKUP($A12,INDIRECT("'"&amp;Q$4&amp;"'!$E$10:$E$44"),INDIRECT("'"&amp;Q$4&amp;"'!$A$10:$A$44"))," ")</f>
        <v/>
      </c>
      <c r="R12" s="30">
        <f t="array" ref="R12">_xlfn.IFNA(_xlfn.XLOOKUP($A12,INDIRECT("'"&amp;R$4&amp;"'!$E$10:$E$44"),INDIRECT("'"&amp;R$4&amp;"'!$A$10:$A$44"))," ")</f>
        <v/>
      </c>
      <c r="S12" s="30">
        <f t="array" ref="S12">_xlfn.IFNA(_xlfn.XLOOKUP($A12,INDIRECT("'"&amp;S$4&amp;"'!$E$10:$E$44"),INDIRECT("'"&amp;S$4&amp;"'!$A$10:$A$44"))," ")</f>
        <v/>
      </c>
      <c r="T12" s="30">
        <f>SUM(Table5[[#This Row],[Week 1]:[Week 18]])</f>
        <v/>
      </c>
      <c r="U12" s="30">
        <f>SUM(B12:S12)-40</f>
        <v/>
      </c>
      <c r="V12" s="30">
        <f>IFERROR(SUM(B12:S12)/COUNT(B12:S12),0)</f>
        <v/>
      </c>
      <c r="W12" s="30">
        <f>IFERROR(MAX(B12:S12),0)</f>
        <v/>
      </c>
    </row>
    <row r="13">
      <c r="A13" s="21" t="inlineStr">
        <is>
          <t>Frankethetank</t>
        </is>
      </c>
      <c r="B13" s="30">
        <f t="array" ref="B13">_xlfn.IFNA(_xlfn.XLOOKUP($A13,INDIRECT("'"&amp;B$4&amp;"'!$E$10:$E$44"),INDIRECT("'"&amp;B$4&amp;"'!$A$10:$A$44"))," ")</f>
        <v/>
      </c>
      <c r="C13" s="30">
        <f t="array" ref="C13">_xlfn.IFNA(_xlfn.XLOOKUP($A13,INDIRECT("'"&amp;C$4&amp;"'!$E$10:$E$44"),INDIRECT("'"&amp;C$4&amp;"'!$A$10:$A$44"))," ")</f>
        <v/>
      </c>
      <c r="D13" s="30">
        <f t="array" ref="D13">_xlfn.IFNA(_xlfn.XLOOKUP($A13,INDIRECT("'"&amp;D$4&amp;"'!$E$10:$E$44"),INDIRECT("'"&amp;D$4&amp;"'!$A$10:$A$44"))," ")</f>
        <v/>
      </c>
      <c r="E13" s="30">
        <f t="array" ref="E13">_xlfn.IFNA(_xlfn.XLOOKUP($A13,INDIRECT("'"&amp;E$4&amp;"'!$E$10:$E$44"),INDIRECT("'"&amp;E$4&amp;"'!$A$10:$A$44"))," ")</f>
        <v/>
      </c>
      <c r="F13" s="30">
        <f t="array" ref="F13">_xlfn.IFNA(_xlfn.XLOOKUP($A13,INDIRECT("'"&amp;F$4&amp;"'!$E$10:$E$44"),INDIRECT("'"&amp;F$4&amp;"'!$A$10:$A$44"))," ")</f>
        <v/>
      </c>
      <c r="G13" s="30">
        <f t="array" ref="G13">_xlfn.IFNA(_xlfn.XLOOKUP($A13,INDIRECT("'"&amp;G$4&amp;"'!$E$10:$E$44"),INDIRECT("'"&amp;G$4&amp;"'!$A$10:$A$44"))," ")</f>
        <v/>
      </c>
      <c r="H13" s="30">
        <f t="array" ref="H13">_xlfn.IFNA(_xlfn.XLOOKUP($A13,INDIRECT("'"&amp;H$4&amp;"'!$E$10:$E$44"),INDIRECT("'"&amp;H$4&amp;"'!$A$10:$A$44"))," ")</f>
        <v/>
      </c>
      <c r="I13" s="30">
        <f t="array" ref="I13">_xlfn.IFNA(_xlfn.XLOOKUP($A13,INDIRECT("'"&amp;I$4&amp;"'!$E$10:$E$44"),INDIRECT("'"&amp;I$4&amp;"'!$A$10:$A$44"))," ")</f>
        <v/>
      </c>
      <c r="J13" s="30">
        <f t="array" ref="J13">_xlfn.IFNA(_xlfn.XLOOKUP($A13,INDIRECT("'"&amp;J$4&amp;"'!$E$10:$E$44"),INDIRECT("'"&amp;J$4&amp;"'!$A$10:$A$44"))," ")</f>
        <v/>
      </c>
      <c r="K13" s="30">
        <f t="array" ref="K13">_xlfn.IFNA(_xlfn.XLOOKUP($A13,INDIRECT("'"&amp;K$4&amp;"'!$E$10:$E$44"),INDIRECT("'"&amp;K$4&amp;"'!$A$10:$A$44"))," ")</f>
        <v/>
      </c>
      <c r="L13" s="30">
        <f t="array" ref="L13">_xlfn.IFNA(_xlfn.XLOOKUP($A13,INDIRECT("'"&amp;L$4&amp;"'!$E$10:$E$44"),INDIRECT("'"&amp;L$4&amp;"'!$A$10:$A$44"))," ")</f>
        <v/>
      </c>
      <c r="M13" s="30">
        <f t="array" ref="M13">_xlfn.IFNA(_xlfn.XLOOKUP($A13,INDIRECT("'"&amp;M$4&amp;"'!$E$10:$E$44"),INDIRECT("'"&amp;M$4&amp;"'!$A$10:$A$44"))," ")</f>
        <v/>
      </c>
      <c r="N13" s="30">
        <f t="array" ref="N13">_xlfn.IFNA(_xlfn.XLOOKUP($A13,INDIRECT("'"&amp;N$4&amp;"'!$E$10:$E$44"),INDIRECT("'"&amp;N$4&amp;"'!$A$10:$A$44"))," ")</f>
        <v/>
      </c>
      <c r="O13" s="30">
        <f t="array" ref="O13">_xlfn.IFNA(_xlfn.XLOOKUP($A13,INDIRECT("'"&amp;O$4&amp;"'!$E$10:$E$44"),INDIRECT("'"&amp;O$4&amp;"'!$A$10:$A$44"))," ")</f>
        <v/>
      </c>
      <c r="P13" s="30">
        <f t="array" ref="P13">_xlfn.IFNA(_xlfn.XLOOKUP($A13,INDIRECT("'"&amp;P$4&amp;"'!$E$10:$E$44"),INDIRECT("'"&amp;P$4&amp;"'!$A$10:$A$44"))," ")</f>
        <v/>
      </c>
      <c r="Q13" s="30">
        <f t="array" ref="Q13">_xlfn.IFNA(_xlfn.XLOOKUP($A13,INDIRECT("'"&amp;Q$4&amp;"'!$E$10:$E$44"),INDIRECT("'"&amp;Q$4&amp;"'!$A$10:$A$44"))," ")</f>
        <v/>
      </c>
      <c r="R13" s="30">
        <f t="array" ref="R13">_xlfn.IFNA(_xlfn.XLOOKUP($A13,INDIRECT("'"&amp;R$4&amp;"'!$E$10:$E$44"),INDIRECT("'"&amp;R$4&amp;"'!$A$10:$A$44"))," ")</f>
        <v/>
      </c>
      <c r="S13" s="30">
        <f t="array" ref="S13">_xlfn.IFNA(_xlfn.XLOOKUP($A13,INDIRECT("'"&amp;S$4&amp;"'!$E$10:$E$44"),INDIRECT("'"&amp;S$4&amp;"'!$A$10:$A$44"))," ")</f>
        <v/>
      </c>
      <c r="T13" s="30">
        <f>SUM(Table5[[#This Row],[Week 1]:[Week 18]])</f>
        <v/>
      </c>
      <c r="U13" s="30">
        <f>SUM(B13:S13)-40</f>
        <v/>
      </c>
      <c r="V13" s="30">
        <f>IFERROR(SUM(B13:S13)/COUNT(B13:S13),0)</f>
        <v/>
      </c>
      <c r="W13" s="30">
        <f>IFERROR(MAX(B13:S13),0)</f>
        <v/>
      </c>
    </row>
    <row r="14">
      <c r="A14" s="21" t="inlineStr">
        <is>
          <t>Gr8granpa</t>
        </is>
      </c>
      <c r="B14" s="30">
        <f t="array" ref="B14">_xlfn.IFNA(_xlfn.XLOOKUP($A14,INDIRECT("'"&amp;B$4&amp;"'!$E$10:$E$44"),INDIRECT("'"&amp;B$4&amp;"'!$A$10:$A$44"))," ")</f>
        <v/>
      </c>
      <c r="C14" s="30">
        <f t="array" ref="C14">_xlfn.IFNA(_xlfn.XLOOKUP($A14,INDIRECT("'"&amp;C$4&amp;"'!$E$10:$E$44"),INDIRECT("'"&amp;C$4&amp;"'!$A$10:$A$44"))," ")</f>
        <v/>
      </c>
      <c r="D14" s="30">
        <f t="array" ref="D14">_xlfn.IFNA(_xlfn.XLOOKUP($A14,INDIRECT("'"&amp;D$4&amp;"'!$E$10:$E$44"),INDIRECT("'"&amp;D$4&amp;"'!$A$10:$A$44"))," ")</f>
        <v/>
      </c>
      <c r="E14" s="30">
        <f t="array" ref="E14">_xlfn.IFNA(_xlfn.XLOOKUP($A14,INDIRECT("'"&amp;E$4&amp;"'!$E$10:$E$44"),INDIRECT("'"&amp;E$4&amp;"'!$A$10:$A$44"))," ")</f>
        <v/>
      </c>
      <c r="F14" s="30">
        <f t="array" ref="F14">_xlfn.IFNA(_xlfn.XLOOKUP($A14,INDIRECT("'"&amp;F$4&amp;"'!$E$10:$E$44"),INDIRECT("'"&amp;F$4&amp;"'!$A$10:$A$44"))," ")</f>
        <v/>
      </c>
      <c r="G14" s="30">
        <f t="array" ref="G14">_xlfn.IFNA(_xlfn.XLOOKUP($A14,INDIRECT("'"&amp;G$4&amp;"'!$E$10:$E$44"),INDIRECT("'"&amp;G$4&amp;"'!$A$10:$A$44"))," ")</f>
        <v/>
      </c>
      <c r="H14" s="30">
        <f t="array" ref="H14">_xlfn.IFNA(_xlfn.XLOOKUP($A14,INDIRECT("'"&amp;H$4&amp;"'!$E$10:$E$44"),INDIRECT("'"&amp;H$4&amp;"'!$A$10:$A$44"))," ")</f>
        <v/>
      </c>
      <c r="I14" s="30">
        <f t="array" ref="I14">_xlfn.IFNA(_xlfn.XLOOKUP($A14,INDIRECT("'"&amp;I$4&amp;"'!$E$10:$E$44"),INDIRECT("'"&amp;I$4&amp;"'!$A$10:$A$44"))," ")</f>
        <v/>
      </c>
      <c r="J14" s="30">
        <f t="array" ref="J14">_xlfn.IFNA(_xlfn.XLOOKUP($A14,INDIRECT("'"&amp;J$4&amp;"'!$E$10:$E$44"),INDIRECT("'"&amp;J$4&amp;"'!$A$10:$A$44"))," ")</f>
        <v/>
      </c>
      <c r="K14" s="30">
        <f t="array" ref="K14">_xlfn.IFNA(_xlfn.XLOOKUP($A14,INDIRECT("'"&amp;K$4&amp;"'!$E$10:$E$44"),INDIRECT("'"&amp;K$4&amp;"'!$A$10:$A$44"))," ")</f>
        <v/>
      </c>
      <c r="L14" s="30">
        <f t="array" ref="L14">_xlfn.IFNA(_xlfn.XLOOKUP($A14,INDIRECT("'"&amp;L$4&amp;"'!$E$10:$E$44"),INDIRECT("'"&amp;L$4&amp;"'!$A$10:$A$44"))," ")</f>
        <v/>
      </c>
      <c r="M14" s="30">
        <f t="array" ref="M14">_xlfn.IFNA(_xlfn.XLOOKUP($A14,INDIRECT("'"&amp;M$4&amp;"'!$E$10:$E$44"),INDIRECT("'"&amp;M$4&amp;"'!$A$10:$A$44"))," ")</f>
        <v/>
      </c>
      <c r="N14" s="30">
        <f t="array" ref="N14">_xlfn.IFNA(_xlfn.XLOOKUP($A14,INDIRECT("'"&amp;N$4&amp;"'!$E$10:$E$44"),INDIRECT("'"&amp;N$4&amp;"'!$A$10:$A$44"))," ")</f>
        <v/>
      </c>
      <c r="O14" s="30">
        <f t="array" ref="O14">_xlfn.IFNA(_xlfn.XLOOKUP($A14,INDIRECT("'"&amp;O$4&amp;"'!$E$10:$E$44"),INDIRECT("'"&amp;O$4&amp;"'!$A$10:$A$44"))," ")</f>
        <v/>
      </c>
      <c r="P14" s="30">
        <f t="array" ref="P14">_xlfn.IFNA(_xlfn.XLOOKUP($A14,INDIRECT("'"&amp;P$4&amp;"'!$E$10:$E$44"),INDIRECT("'"&amp;P$4&amp;"'!$A$10:$A$44"))," ")</f>
        <v/>
      </c>
      <c r="Q14" s="30">
        <f t="array" ref="Q14">_xlfn.IFNA(_xlfn.XLOOKUP($A14,INDIRECT("'"&amp;Q$4&amp;"'!$E$10:$E$44"),INDIRECT("'"&amp;Q$4&amp;"'!$A$10:$A$44"))," ")</f>
        <v/>
      </c>
      <c r="R14" s="30">
        <f t="array" ref="R14">_xlfn.IFNA(_xlfn.XLOOKUP($A14,INDIRECT("'"&amp;R$4&amp;"'!$E$10:$E$44"),INDIRECT("'"&amp;R$4&amp;"'!$A$10:$A$44"))," ")</f>
        <v/>
      </c>
      <c r="S14" s="30">
        <f t="array" ref="S14">_xlfn.IFNA(_xlfn.XLOOKUP($A14,INDIRECT("'"&amp;S$4&amp;"'!$E$10:$E$44"),INDIRECT("'"&amp;S$4&amp;"'!$A$10:$A$44"))," ")</f>
        <v/>
      </c>
      <c r="T14" s="30">
        <f>SUM(Table5[[#This Row],[Week 1]:[Week 18]])</f>
        <v/>
      </c>
      <c r="U14" s="30">
        <f>SUM(B14:S14)-40</f>
        <v/>
      </c>
      <c r="V14" s="30">
        <f>IFERROR(SUM(B14:S14)/COUNT(B14:S14),0)</f>
        <v/>
      </c>
      <c r="W14" s="30">
        <f>IFERROR(MAX(B14:S14),0)</f>
        <v/>
      </c>
    </row>
    <row r="15">
      <c r="A15" s="21" t="inlineStr">
        <is>
          <t>Ian</t>
        </is>
      </c>
      <c r="B15" s="30">
        <f t="array" ref="B15">_xlfn.IFNA(_xlfn.XLOOKUP($A15,INDIRECT("'"&amp;B$4&amp;"'!$E$10:$E$44"),INDIRECT("'"&amp;B$4&amp;"'!$A$10:$A$44"))," ")</f>
        <v/>
      </c>
      <c r="C15" s="30">
        <f t="array" ref="C15">_xlfn.IFNA(_xlfn.XLOOKUP($A15,INDIRECT("'"&amp;C$4&amp;"'!$E$10:$E$44"),INDIRECT("'"&amp;C$4&amp;"'!$A$10:$A$44"))," ")</f>
        <v/>
      </c>
      <c r="D15" s="30">
        <f t="array" ref="D15">_xlfn.IFNA(_xlfn.XLOOKUP($A15,INDIRECT("'"&amp;D$4&amp;"'!$E$10:$E$44"),INDIRECT("'"&amp;D$4&amp;"'!$A$10:$A$44"))," ")</f>
        <v/>
      </c>
      <c r="E15" s="30">
        <f t="array" ref="E15">_xlfn.IFNA(_xlfn.XLOOKUP($A15,INDIRECT("'"&amp;E$4&amp;"'!$E$10:$E$44"),INDIRECT("'"&amp;E$4&amp;"'!$A$10:$A$44"))," ")</f>
        <v/>
      </c>
      <c r="F15" s="30">
        <f t="array" ref="F15">_xlfn.IFNA(_xlfn.XLOOKUP($A15,INDIRECT("'"&amp;F$4&amp;"'!$E$10:$E$44"),INDIRECT("'"&amp;F$4&amp;"'!$A$10:$A$44"))," ")</f>
        <v/>
      </c>
      <c r="G15" s="30">
        <f t="array" ref="G15">_xlfn.IFNA(_xlfn.XLOOKUP($A15,INDIRECT("'"&amp;G$4&amp;"'!$E$10:$E$44"),INDIRECT("'"&amp;G$4&amp;"'!$A$10:$A$44"))," ")</f>
        <v/>
      </c>
      <c r="H15" s="30">
        <f t="array" ref="H15">_xlfn.IFNA(_xlfn.XLOOKUP($A15,INDIRECT("'"&amp;H$4&amp;"'!$E$10:$E$44"),INDIRECT("'"&amp;H$4&amp;"'!$A$10:$A$44"))," ")</f>
        <v/>
      </c>
      <c r="I15" s="30">
        <f t="array" ref="I15">_xlfn.IFNA(_xlfn.XLOOKUP($A15,INDIRECT("'"&amp;I$4&amp;"'!$E$10:$E$44"),INDIRECT("'"&amp;I$4&amp;"'!$A$10:$A$44"))," ")</f>
        <v/>
      </c>
      <c r="J15" s="30">
        <f t="array" ref="J15">_xlfn.IFNA(_xlfn.XLOOKUP($A15,INDIRECT("'"&amp;J$4&amp;"'!$E$10:$E$44"),INDIRECT("'"&amp;J$4&amp;"'!$A$10:$A$44"))," ")</f>
        <v/>
      </c>
      <c r="K15" s="30">
        <f t="array" ref="K15">_xlfn.IFNA(_xlfn.XLOOKUP($A15,INDIRECT("'"&amp;K$4&amp;"'!$E$10:$E$44"),INDIRECT("'"&amp;K$4&amp;"'!$A$10:$A$44"))," ")</f>
        <v/>
      </c>
      <c r="L15" s="30">
        <f t="array" ref="L15">_xlfn.IFNA(_xlfn.XLOOKUP($A15,INDIRECT("'"&amp;L$4&amp;"'!$E$10:$E$44"),INDIRECT("'"&amp;L$4&amp;"'!$A$10:$A$44"))," ")</f>
        <v/>
      </c>
      <c r="M15" s="30">
        <f t="array" ref="M15">_xlfn.IFNA(_xlfn.XLOOKUP($A15,INDIRECT("'"&amp;M$4&amp;"'!$E$10:$E$44"),INDIRECT("'"&amp;M$4&amp;"'!$A$10:$A$44"))," ")</f>
        <v/>
      </c>
      <c r="N15" s="30">
        <f t="array" ref="N15">_xlfn.IFNA(_xlfn.XLOOKUP($A15,INDIRECT("'"&amp;N$4&amp;"'!$E$10:$E$44"),INDIRECT("'"&amp;N$4&amp;"'!$A$10:$A$44"))," ")</f>
        <v/>
      </c>
      <c r="O15" s="30">
        <f t="array" ref="O15">_xlfn.IFNA(_xlfn.XLOOKUP($A15,INDIRECT("'"&amp;O$4&amp;"'!$E$10:$E$44"),INDIRECT("'"&amp;O$4&amp;"'!$A$10:$A$44"))," ")</f>
        <v/>
      </c>
      <c r="P15" s="30">
        <f t="array" ref="P15">_xlfn.IFNA(_xlfn.XLOOKUP($A15,INDIRECT("'"&amp;P$4&amp;"'!$E$10:$E$44"),INDIRECT("'"&amp;P$4&amp;"'!$A$10:$A$44"))," ")</f>
        <v/>
      </c>
      <c r="Q15" s="30">
        <f t="array" ref="Q15">_xlfn.IFNA(_xlfn.XLOOKUP($A15,INDIRECT("'"&amp;Q$4&amp;"'!$E$10:$E$44"),INDIRECT("'"&amp;Q$4&amp;"'!$A$10:$A$44"))," ")</f>
        <v/>
      </c>
      <c r="R15" s="30">
        <f t="array" ref="R15">_xlfn.IFNA(_xlfn.XLOOKUP($A15,INDIRECT("'"&amp;R$4&amp;"'!$E$10:$E$44"),INDIRECT("'"&amp;R$4&amp;"'!$A$10:$A$44"))," ")</f>
        <v/>
      </c>
      <c r="S15" s="30">
        <f t="array" ref="S15">_xlfn.IFNA(_xlfn.XLOOKUP($A15,INDIRECT("'"&amp;S$4&amp;"'!$E$10:$E$44"),INDIRECT("'"&amp;S$4&amp;"'!$A$10:$A$44"))," ")</f>
        <v/>
      </c>
      <c r="T15" s="30">
        <f>SUM(Table5[[#This Row],[Week 1]:[Week 18]])</f>
        <v/>
      </c>
      <c r="U15" s="30">
        <f>SUM(B15:S15)-40</f>
        <v/>
      </c>
      <c r="V15" s="30">
        <f>IFERROR(SUM(B15:S15)/COUNT(B15:S15),0)</f>
        <v/>
      </c>
      <c r="W15" s="30">
        <f>IFERROR(MAX(B15:S15),0)</f>
        <v/>
      </c>
    </row>
    <row r="16">
      <c r="A16" s="21" t="inlineStr">
        <is>
          <t>Jim T</t>
        </is>
      </c>
      <c r="B16" s="30">
        <f t="array" ref="B16">_xlfn.IFNA(_xlfn.XLOOKUP($A16,INDIRECT("'"&amp;B$4&amp;"'!$E$10:$E$44"),INDIRECT("'"&amp;B$4&amp;"'!$A$10:$A$44"))," ")</f>
        <v/>
      </c>
      <c r="C16" s="30">
        <f t="array" ref="C16">_xlfn.IFNA(_xlfn.XLOOKUP($A16,INDIRECT("'"&amp;C$4&amp;"'!$E$10:$E$44"),INDIRECT("'"&amp;C$4&amp;"'!$A$10:$A$44"))," ")</f>
        <v/>
      </c>
      <c r="D16" s="30">
        <f t="array" ref="D16">_xlfn.IFNA(_xlfn.XLOOKUP($A16,INDIRECT("'"&amp;D$4&amp;"'!$E$10:$E$44"),INDIRECT("'"&amp;D$4&amp;"'!$A$10:$A$44"))," ")</f>
        <v/>
      </c>
      <c r="E16" s="30">
        <f t="array" ref="E16">_xlfn.IFNA(_xlfn.XLOOKUP($A16,INDIRECT("'"&amp;E$4&amp;"'!$E$10:$E$44"),INDIRECT("'"&amp;E$4&amp;"'!$A$10:$A$44"))," ")</f>
        <v/>
      </c>
      <c r="F16" s="30">
        <f t="array" ref="F16">_xlfn.IFNA(_xlfn.XLOOKUP($A16,INDIRECT("'"&amp;F$4&amp;"'!$E$10:$E$44"),INDIRECT("'"&amp;F$4&amp;"'!$A$10:$A$44"))," ")</f>
        <v/>
      </c>
      <c r="G16" s="30">
        <f t="array" ref="G16">_xlfn.IFNA(_xlfn.XLOOKUP($A16,INDIRECT("'"&amp;G$4&amp;"'!$E$10:$E$44"),INDIRECT("'"&amp;G$4&amp;"'!$A$10:$A$44"))," ")</f>
        <v/>
      </c>
      <c r="H16" s="30">
        <f t="array" ref="H16">_xlfn.IFNA(_xlfn.XLOOKUP($A16,INDIRECT("'"&amp;H$4&amp;"'!$E$10:$E$44"),INDIRECT("'"&amp;H$4&amp;"'!$A$10:$A$44"))," ")</f>
        <v/>
      </c>
      <c r="I16" s="30">
        <f t="array" ref="I16">_xlfn.IFNA(_xlfn.XLOOKUP($A16,INDIRECT("'"&amp;I$4&amp;"'!$E$10:$E$44"),INDIRECT("'"&amp;I$4&amp;"'!$A$10:$A$44"))," ")</f>
        <v/>
      </c>
      <c r="J16" s="30">
        <f t="array" ref="J16">_xlfn.IFNA(_xlfn.XLOOKUP($A16,INDIRECT("'"&amp;J$4&amp;"'!$E$10:$E$44"),INDIRECT("'"&amp;J$4&amp;"'!$A$10:$A$44"))," ")</f>
        <v/>
      </c>
      <c r="K16" s="30">
        <f t="array" ref="K16">_xlfn.IFNA(_xlfn.XLOOKUP($A16,INDIRECT("'"&amp;K$4&amp;"'!$E$10:$E$44"),INDIRECT("'"&amp;K$4&amp;"'!$A$10:$A$44"))," ")</f>
        <v/>
      </c>
      <c r="L16" s="30">
        <f t="array" ref="L16">_xlfn.IFNA(_xlfn.XLOOKUP($A16,INDIRECT("'"&amp;L$4&amp;"'!$E$10:$E$44"),INDIRECT("'"&amp;L$4&amp;"'!$A$10:$A$44"))," ")</f>
        <v/>
      </c>
      <c r="M16" s="30">
        <f t="array" ref="M16">_xlfn.IFNA(_xlfn.XLOOKUP($A16,INDIRECT("'"&amp;M$4&amp;"'!$E$10:$E$44"),INDIRECT("'"&amp;M$4&amp;"'!$A$10:$A$44"))," ")</f>
        <v/>
      </c>
      <c r="N16" s="30">
        <f t="array" ref="N16">_xlfn.IFNA(_xlfn.XLOOKUP($A16,INDIRECT("'"&amp;N$4&amp;"'!$E$10:$E$44"),INDIRECT("'"&amp;N$4&amp;"'!$A$10:$A$44"))," ")</f>
        <v/>
      </c>
      <c r="O16" s="30">
        <f t="array" ref="O16">_xlfn.IFNA(_xlfn.XLOOKUP($A16,INDIRECT("'"&amp;O$4&amp;"'!$E$10:$E$44"),INDIRECT("'"&amp;O$4&amp;"'!$A$10:$A$44"))," ")</f>
        <v/>
      </c>
      <c r="P16" s="30">
        <f t="array" ref="P16">_xlfn.IFNA(_xlfn.XLOOKUP($A16,INDIRECT("'"&amp;P$4&amp;"'!$E$10:$E$44"),INDIRECT("'"&amp;P$4&amp;"'!$A$10:$A$44"))," ")</f>
        <v/>
      </c>
      <c r="Q16" s="30">
        <f t="array" ref="Q16">_xlfn.IFNA(_xlfn.XLOOKUP($A16,INDIRECT("'"&amp;Q$4&amp;"'!$E$10:$E$44"),INDIRECT("'"&amp;Q$4&amp;"'!$A$10:$A$44"))," ")</f>
        <v/>
      </c>
      <c r="R16" s="30">
        <f t="array" ref="R16">_xlfn.IFNA(_xlfn.XLOOKUP($A16,INDIRECT("'"&amp;R$4&amp;"'!$E$10:$E$44"),INDIRECT("'"&amp;R$4&amp;"'!$A$10:$A$44"))," ")</f>
        <v/>
      </c>
      <c r="S16" s="30">
        <f t="array" ref="S16">_xlfn.IFNA(_xlfn.XLOOKUP($A16,INDIRECT("'"&amp;S$4&amp;"'!$E$10:$E$44"),INDIRECT("'"&amp;S$4&amp;"'!$A$10:$A$44"))," ")</f>
        <v/>
      </c>
      <c r="T16" s="30">
        <f>SUM(Table5[[#This Row],[Week 1]:[Week 18]])</f>
        <v/>
      </c>
      <c r="U16" s="30">
        <f>SUM(B16:S16)-40</f>
        <v/>
      </c>
      <c r="V16" s="30">
        <f>IFERROR(SUM(B16:S16)/COUNT(B16:S16),0)</f>
        <v/>
      </c>
      <c r="W16" s="30">
        <f>IFERROR(MAX(B16:S16),0)</f>
        <v/>
      </c>
    </row>
    <row r="17">
      <c r="A17" s="21" t="inlineStr">
        <is>
          <t>Katie A</t>
        </is>
      </c>
      <c r="B17" s="30">
        <f t="array" ref="B17">_xlfn.IFNA(_xlfn.XLOOKUP($A17,INDIRECT("'"&amp;B$4&amp;"'!$E$10:$E$44"),INDIRECT("'"&amp;B$4&amp;"'!$A$10:$A$44"))," ")</f>
        <v/>
      </c>
      <c r="C17" s="30">
        <f t="array" ref="C17">_xlfn.IFNA(_xlfn.XLOOKUP($A17,INDIRECT("'"&amp;C$4&amp;"'!$E$10:$E$44"),INDIRECT("'"&amp;C$4&amp;"'!$A$10:$A$44"))," ")</f>
        <v/>
      </c>
      <c r="D17" s="30">
        <f t="array" ref="D17">_xlfn.IFNA(_xlfn.XLOOKUP($A17,INDIRECT("'"&amp;D$4&amp;"'!$E$10:$E$44"),INDIRECT("'"&amp;D$4&amp;"'!$A$10:$A$44"))," ")</f>
        <v/>
      </c>
      <c r="E17" s="30">
        <f t="array" ref="E17">_xlfn.IFNA(_xlfn.XLOOKUP($A17,INDIRECT("'"&amp;E$4&amp;"'!$E$10:$E$44"),INDIRECT("'"&amp;E$4&amp;"'!$A$10:$A$44"))," ")</f>
        <v/>
      </c>
      <c r="F17" s="30">
        <f t="array" ref="F17">_xlfn.IFNA(_xlfn.XLOOKUP($A17,INDIRECT("'"&amp;F$4&amp;"'!$E$10:$E$44"),INDIRECT("'"&amp;F$4&amp;"'!$A$10:$A$44"))," ")</f>
        <v/>
      </c>
      <c r="G17" s="30">
        <f t="array" ref="G17">_xlfn.IFNA(_xlfn.XLOOKUP($A17,INDIRECT("'"&amp;G$4&amp;"'!$E$10:$E$44"),INDIRECT("'"&amp;G$4&amp;"'!$A$10:$A$44"))," ")</f>
        <v/>
      </c>
      <c r="H17" s="30">
        <f t="array" ref="H17">_xlfn.IFNA(_xlfn.XLOOKUP($A17,INDIRECT("'"&amp;H$4&amp;"'!$E$10:$E$44"),INDIRECT("'"&amp;H$4&amp;"'!$A$10:$A$44"))," ")</f>
        <v/>
      </c>
      <c r="I17" s="30">
        <f t="array" ref="I17">_xlfn.IFNA(_xlfn.XLOOKUP($A17,INDIRECT("'"&amp;I$4&amp;"'!$E$10:$E$44"),INDIRECT("'"&amp;I$4&amp;"'!$A$10:$A$44"))," ")</f>
        <v/>
      </c>
      <c r="J17" s="30">
        <f t="array" ref="J17">_xlfn.IFNA(_xlfn.XLOOKUP($A17,INDIRECT("'"&amp;J$4&amp;"'!$E$10:$E$44"),INDIRECT("'"&amp;J$4&amp;"'!$A$10:$A$44"))," ")</f>
        <v/>
      </c>
      <c r="K17" s="30">
        <f t="array" ref="K17">_xlfn.IFNA(_xlfn.XLOOKUP($A17,INDIRECT("'"&amp;K$4&amp;"'!$E$10:$E$44"),INDIRECT("'"&amp;K$4&amp;"'!$A$10:$A$44"))," ")</f>
        <v/>
      </c>
      <c r="L17" s="30">
        <f t="array" ref="L17">_xlfn.IFNA(_xlfn.XLOOKUP($A17,INDIRECT("'"&amp;L$4&amp;"'!$E$10:$E$44"),INDIRECT("'"&amp;L$4&amp;"'!$A$10:$A$44"))," ")</f>
        <v/>
      </c>
      <c r="M17" s="30">
        <f t="array" ref="M17">_xlfn.IFNA(_xlfn.XLOOKUP($A17,INDIRECT("'"&amp;M$4&amp;"'!$E$10:$E$44"),INDIRECT("'"&amp;M$4&amp;"'!$A$10:$A$44"))," ")</f>
        <v/>
      </c>
      <c r="N17" s="30">
        <f t="array" ref="N17">_xlfn.IFNA(_xlfn.XLOOKUP($A17,INDIRECT("'"&amp;N$4&amp;"'!$E$10:$E$44"),INDIRECT("'"&amp;N$4&amp;"'!$A$10:$A$44"))," ")</f>
        <v/>
      </c>
      <c r="O17" s="30">
        <f t="array" ref="O17">_xlfn.IFNA(_xlfn.XLOOKUP($A17,INDIRECT("'"&amp;O$4&amp;"'!$E$10:$E$44"),INDIRECT("'"&amp;O$4&amp;"'!$A$10:$A$44"))," ")</f>
        <v/>
      </c>
      <c r="P17" s="30">
        <f t="array" ref="P17">_xlfn.IFNA(_xlfn.XLOOKUP($A17,INDIRECT("'"&amp;P$4&amp;"'!$E$10:$E$44"),INDIRECT("'"&amp;P$4&amp;"'!$A$10:$A$44"))," ")</f>
        <v/>
      </c>
      <c r="Q17" s="30">
        <f t="array" ref="Q17">_xlfn.IFNA(_xlfn.XLOOKUP($A17,INDIRECT("'"&amp;Q$4&amp;"'!$E$10:$E$44"),INDIRECT("'"&amp;Q$4&amp;"'!$A$10:$A$44"))," ")</f>
        <v/>
      </c>
      <c r="R17" s="30">
        <f t="array" ref="R17">_xlfn.IFNA(_xlfn.XLOOKUP($A17,INDIRECT("'"&amp;R$4&amp;"'!$E$10:$E$44"),INDIRECT("'"&amp;R$4&amp;"'!$A$10:$A$44"))," ")</f>
        <v/>
      </c>
      <c r="S17" s="30">
        <f t="array" ref="S17">_xlfn.IFNA(_xlfn.XLOOKUP($A17,INDIRECT("'"&amp;S$4&amp;"'!$E$10:$E$44"),INDIRECT("'"&amp;S$4&amp;"'!$A$10:$A$44"))," ")</f>
        <v/>
      </c>
      <c r="T17" s="30">
        <f>SUM(Table5[[#This Row],[Week 1]:[Week 18]])</f>
        <v/>
      </c>
      <c r="U17" s="30">
        <f>SUM(B17:S17)-40</f>
        <v/>
      </c>
      <c r="V17" s="30">
        <f>IFERROR(SUM(B17:S17)/COUNT(B17:S17),0)</f>
        <v/>
      </c>
      <c r="W17" s="30">
        <f>IFERROR(MAX(B17:S17),0)</f>
        <v/>
      </c>
    </row>
    <row r="18">
      <c r="A18" s="21" t="inlineStr">
        <is>
          <t>Kit</t>
        </is>
      </c>
      <c r="B18" s="30">
        <f t="array" ref="B18">_xlfn.IFNA(_xlfn.XLOOKUP($A18,INDIRECT("'"&amp;B$4&amp;"'!$E$10:$E$44"),INDIRECT("'"&amp;B$4&amp;"'!$A$10:$A$44"))," ")</f>
        <v/>
      </c>
      <c r="C18" s="30">
        <f t="array" ref="C18">_xlfn.IFNA(_xlfn.XLOOKUP($A18,INDIRECT("'"&amp;C$4&amp;"'!$E$10:$E$44"),INDIRECT("'"&amp;C$4&amp;"'!$A$10:$A$44"))," ")</f>
        <v/>
      </c>
      <c r="D18" s="30">
        <f t="array" ref="D18">_xlfn.IFNA(_xlfn.XLOOKUP($A18,INDIRECT("'"&amp;D$4&amp;"'!$E$10:$E$44"),INDIRECT("'"&amp;D$4&amp;"'!$A$10:$A$44"))," ")</f>
        <v/>
      </c>
      <c r="E18" s="30">
        <f t="array" ref="E18">_xlfn.IFNA(_xlfn.XLOOKUP($A18,INDIRECT("'"&amp;E$4&amp;"'!$E$10:$E$44"),INDIRECT("'"&amp;E$4&amp;"'!$A$10:$A$44"))," ")</f>
        <v/>
      </c>
      <c r="F18" s="30">
        <f t="array" ref="F18">_xlfn.IFNA(_xlfn.XLOOKUP($A18,INDIRECT("'"&amp;F$4&amp;"'!$E$10:$E$44"),INDIRECT("'"&amp;F$4&amp;"'!$A$10:$A$44"))," ")</f>
        <v/>
      </c>
      <c r="G18" s="30">
        <f t="array" ref="G18">_xlfn.IFNA(_xlfn.XLOOKUP($A18,INDIRECT("'"&amp;G$4&amp;"'!$E$10:$E$44"),INDIRECT("'"&amp;G$4&amp;"'!$A$10:$A$44"))," ")</f>
        <v/>
      </c>
      <c r="H18" s="30">
        <f t="array" ref="H18">_xlfn.IFNA(_xlfn.XLOOKUP($A18,INDIRECT("'"&amp;H$4&amp;"'!$E$10:$E$44"),INDIRECT("'"&amp;H$4&amp;"'!$A$10:$A$44"))," ")</f>
        <v/>
      </c>
      <c r="I18" s="30">
        <f t="array" ref="I18">_xlfn.IFNA(_xlfn.XLOOKUP($A18,INDIRECT("'"&amp;I$4&amp;"'!$E$10:$E$44"),INDIRECT("'"&amp;I$4&amp;"'!$A$10:$A$44"))," ")</f>
        <v/>
      </c>
      <c r="J18" s="30">
        <f t="array" ref="J18">_xlfn.IFNA(_xlfn.XLOOKUP($A18,INDIRECT("'"&amp;J$4&amp;"'!$E$10:$E$44"),INDIRECT("'"&amp;J$4&amp;"'!$A$10:$A$44"))," ")</f>
        <v/>
      </c>
      <c r="K18" s="30">
        <f t="array" ref="K18">_xlfn.IFNA(_xlfn.XLOOKUP($A18,INDIRECT("'"&amp;K$4&amp;"'!$E$10:$E$44"),INDIRECT("'"&amp;K$4&amp;"'!$A$10:$A$44"))," ")</f>
        <v/>
      </c>
      <c r="L18" s="30">
        <f t="array" ref="L18">_xlfn.IFNA(_xlfn.XLOOKUP($A18,INDIRECT("'"&amp;L$4&amp;"'!$E$10:$E$44"),INDIRECT("'"&amp;L$4&amp;"'!$A$10:$A$44"))," ")</f>
        <v/>
      </c>
      <c r="M18" s="30">
        <f t="array" ref="M18">_xlfn.IFNA(_xlfn.XLOOKUP($A18,INDIRECT("'"&amp;M$4&amp;"'!$E$10:$E$44"),INDIRECT("'"&amp;M$4&amp;"'!$A$10:$A$44"))," ")</f>
        <v/>
      </c>
      <c r="N18" s="30">
        <f t="array" ref="N18">_xlfn.IFNA(_xlfn.XLOOKUP($A18,INDIRECT("'"&amp;N$4&amp;"'!$E$10:$E$44"),INDIRECT("'"&amp;N$4&amp;"'!$A$10:$A$44"))," ")</f>
        <v/>
      </c>
      <c r="O18" s="30">
        <f t="array" ref="O18">_xlfn.IFNA(_xlfn.XLOOKUP($A18,INDIRECT("'"&amp;O$4&amp;"'!$E$10:$E$44"),INDIRECT("'"&amp;O$4&amp;"'!$A$10:$A$44"))," ")</f>
        <v/>
      </c>
      <c r="P18" s="30">
        <f t="array" ref="P18">_xlfn.IFNA(_xlfn.XLOOKUP($A18,INDIRECT("'"&amp;P$4&amp;"'!$E$10:$E$44"),INDIRECT("'"&amp;P$4&amp;"'!$A$10:$A$44"))," ")</f>
        <v/>
      </c>
      <c r="Q18" s="30">
        <f t="array" ref="Q18">_xlfn.IFNA(_xlfn.XLOOKUP($A18,INDIRECT("'"&amp;Q$4&amp;"'!$E$10:$E$44"),INDIRECT("'"&amp;Q$4&amp;"'!$A$10:$A$44"))," ")</f>
        <v/>
      </c>
      <c r="R18" s="30">
        <f t="array" ref="R18">_xlfn.IFNA(_xlfn.XLOOKUP($A18,INDIRECT("'"&amp;R$4&amp;"'!$E$10:$E$44"),INDIRECT("'"&amp;R$4&amp;"'!$A$10:$A$44"))," ")</f>
        <v/>
      </c>
      <c r="S18" s="30">
        <f t="array" ref="S18">_xlfn.IFNA(_xlfn.XLOOKUP($A18,INDIRECT("'"&amp;S$4&amp;"'!$E$10:$E$44"),INDIRECT("'"&amp;S$4&amp;"'!$A$10:$A$44"))," ")</f>
        <v/>
      </c>
      <c r="T18" s="30">
        <f>SUM(Table5[[#This Row],[Week 1]:[Week 18]])</f>
        <v/>
      </c>
      <c r="U18" s="30">
        <f>SUM(B18:S18)-40</f>
        <v/>
      </c>
      <c r="V18" s="30">
        <f>IFERROR(SUM(B18:S18)/COUNT(B18:S18),0)</f>
        <v/>
      </c>
      <c r="W18" s="30">
        <f>IFERROR(MAX(B18:S18),0)</f>
        <v/>
      </c>
    </row>
    <row r="19">
      <c r="A19" s="21" t="inlineStr">
        <is>
          <t>Line-Pony</t>
        </is>
      </c>
      <c r="B19" s="30">
        <f t="array" ref="B19">_xlfn.IFNA(_xlfn.XLOOKUP($A19,INDIRECT("'"&amp;B$4&amp;"'!$E$10:$E$44"),INDIRECT("'"&amp;B$4&amp;"'!$A$10:$A$44"))," ")</f>
        <v/>
      </c>
      <c r="C19" s="30">
        <f t="array" ref="C19">_xlfn.IFNA(_xlfn.XLOOKUP($A19,INDIRECT("'"&amp;C$4&amp;"'!$E$10:$E$44"),INDIRECT("'"&amp;C$4&amp;"'!$A$10:$A$44"))," ")</f>
        <v/>
      </c>
      <c r="D19" s="30">
        <f t="array" ref="D19">_xlfn.IFNA(_xlfn.XLOOKUP($A19,INDIRECT("'"&amp;D$4&amp;"'!$E$10:$E$44"),INDIRECT("'"&amp;D$4&amp;"'!$A$10:$A$44"))," ")</f>
        <v/>
      </c>
      <c r="E19" s="30">
        <f t="array" ref="E19">_xlfn.IFNA(_xlfn.XLOOKUP($A19,INDIRECT("'"&amp;E$4&amp;"'!$E$10:$E$44"),INDIRECT("'"&amp;E$4&amp;"'!$A$10:$A$44"))," ")</f>
        <v/>
      </c>
      <c r="F19" s="30">
        <f t="array" ref="F19">_xlfn.IFNA(_xlfn.XLOOKUP($A19,INDIRECT("'"&amp;F$4&amp;"'!$E$10:$E$44"),INDIRECT("'"&amp;F$4&amp;"'!$A$10:$A$44"))," ")</f>
        <v/>
      </c>
      <c r="G19" s="30">
        <f t="array" ref="G19">_xlfn.IFNA(_xlfn.XLOOKUP($A19,INDIRECT("'"&amp;G$4&amp;"'!$E$10:$E$44"),INDIRECT("'"&amp;G$4&amp;"'!$A$10:$A$44"))," ")</f>
        <v/>
      </c>
      <c r="H19" s="30">
        <f t="array" ref="H19">_xlfn.IFNA(_xlfn.XLOOKUP($A19,INDIRECT("'"&amp;H$4&amp;"'!$E$10:$E$44"),INDIRECT("'"&amp;H$4&amp;"'!$A$10:$A$44"))," ")</f>
        <v/>
      </c>
      <c r="I19" s="30">
        <f t="array" ref="I19">_xlfn.IFNA(_xlfn.XLOOKUP($A19,INDIRECT("'"&amp;I$4&amp;"'!$E$10:$E$44"),INDIRECT("'"&amp;I$4&amp;"'!$A$10:$A$44"))," ")</f>
        <v/>
      </c>
      <c r="J19" s="30">
        <f t="array" ref="J19">_xlfn.IFNA(_xlfn.XLOOKUP($A19,INDIRECT("'"&amp;J$4&amp;"'!$E$10:$E$44"),INDIRECT("'"&amp;J$4&amp;"'!$A$10:$A$44"))," ")</f>
        <v/>
      </c>
      <c r="K19" s="30">
        <f t="array" ref="K19">_xlfn.IFNA(_xlfn.XLOOKUP($A19,INDIRECT("'"&amp;K$4&amp;"'!$E$10:$E$44"),INDIRECT("'"&amp;K$4&amp;"'!$A$10:$A$44"))," ")</f>
        <v/>
      </c>
      <c r="L19" s="30">
        <f t="array" ref="L19">_xlfn.IFNA(_xlfn.XLOOKUP($A19,INDIRECT("'"&amp;L$4&amp;"'!$E$10:$E$44"),INDIRECT("'"&amp;L$4&amp;"'!$A$10:$A$44"))," ")</f>
        <v/>
      </c>
      <c r="M19" s="30">
        <f t="array" ref="M19">_xlfn.IFNA(_xlfn.XLOOKUP($A19,INDIRECT("'"&amp;M$4&amp;"'!$E$10:$E$44"),INDIRECT("'"&amp;M$4&amp;"'!$A$10:$A$44"))," ")</f>
        <v/>
      </c>
      <c r="N19" s="30">
        <f t="array" ref="N19">_xlfn.IFNA(_xlfn.XLOOKUP($A19,INDIRECT("'"&amp;N$4&amp;"'!$E$10:$E$44"),INDIRECT("'"&amp;N$4&amp;"'!$A$10:$A$44"))," ")</f>
        <v/>
      </c>
      <c r="O19" s="30">
        <f t="array" ref="O19">_xlfn.IFNA(_xlfn.XLOOKUP($A19,INDIRECT("'"&amp;O$4&amp;"'!$E$10:$E$44"),INDIRECT("'"&amp;O$4&amp;"'!$A$10:$A$44"))," ")</f>
        <v/>
      </c>
      <c r="P19" s="30">
        <f t="array" ref="P19">_xlfn.IFNA(_xlfn.XLOOKUP($A19,INDIRECT("'"&amp;P$4&amp;"'!$E$10:$E$44"),INDIRECT("'"&amp;P$4&amp;"'!$A$10:$A$44"))," ")</f>
        <v/>
      </c>
      <c r="Q19" s="30">
        <f t="array" ref="Q19">_xlfn.IFNA(_xlfn.XLOOKUP($A19,INDIRECT("'"&amp;Q$4&amp;"'!$E$10:$E$44"),INDIRECT("'"&amp;Q$4&amp;"'!$A$10:$A$44"))," ")</f>
        <v/>
      </c>
      <c r="R19" s="30">
        <f t="array" ref="R19">_xlfn.IFNA(_xlfn.XLOOKUP($A19,INDIRECT("'"&amp;R$4&amp;"'!$E$10:$E$44"),INDIRECT("'"&amp;R$4&amp;"'!$A$10:$A$44"))," ")</f>
        <v/>
      </c>
      <c r="S19" s="30">
        <f t="array" ref="S19">_xlfn.IFNA(_xlfn.XLOOKUP($A19,INDIRECT("'"&amp;S$4&amp;"'!$E$10:$E$44"),INDIRECT("'"&amp;S$4&amp;"'!$A$10:$A$44"))," ")</f>
        <v/>
      </c>
      <c r="T19" s="30">
        <f>SUM(Table5[[#This Row],[Week 1]:[Week 18]])</f>
        <v/>
      </c>
      <c r="U19" s="30">
        <f>SUM(B19:S19)-40</f>
        <v/>
      </c>
      <c r="V19" s="30">
        <f>IFERROR(SUM(B19:S19)/COUNT(B19:S19),0)</f>
        <v/>
      </c>
      <c r="W19" s="30">
        <f>IFERROR(MAX(B19:S19),0)</f>
        <v/>
      </c>
    </row>
    <row r="20">
      <c r="A20" s="21" t="inlineStr">
        <is>
          <t>MayeDay! MayeDay!</t>
        </is>
      </c>
      <c r="B20" s="30">
        <f t="array" ref="B20">_xlfn.IFNA(_xlfn.XLOOKUP($A20,INDIRECT("'"&amp;B$4&amp;"'!$E$10:$E$44"),INDIRECT("'"&amp;B$4&amp;"'!$A$10:$A$44"))," ")</f>
        <v/>
      </c>
      <c r="C20" s="30">
        <f t="array" ref="C20">_xlfn.IFNA(_xlfn.XLOOKUP($A20,INDIRECT("'"&amp;C$4&amp;"'!$E$10:$E$44"),INDIRECT("'"&amp;C$4&amp;"'!$A$10:$A$44"))," ")</f>
        <v/>
      </c>
      <c r="D20" s="30">
        <f t="array" ref="D20">_xlfn.IFNA(_xlfn.XLOOKUP($A20,INDIRECT("'"&amp;D$4&amp;"'!$E$10:$E$44"),INDIRECT("'"&amp;D$4&amp;"'!$A$10:$A$44"))," ")</f>
        <v/>
      </c>
      <c r="E20" s="30">
        <f t="array" ref="E20">_xlfn.IFNA(_xlfn.XLOOKUP($A20,INDIRECT("'"&amp;E$4&amp;"'!$E$10:$E$44"),INDIRECT("'"&amp;E$4&amp;"'!$A$10:$A$44"))," ")</f>
        <v/>
      </c>
      <c r="F20" s="30">
        <f t="array" ref="F20">_xlfn.IFNA(_xlfn.XLOOKUP($A20,INDIRECT("'"&amp;F$4&amp;"'!$E$10:$E$44"),INDIRECT("'"&amp;F$4&amp;"'!$A$10:$A$44"))," ")</f>
        <v/>
      </c>
      <c r="G20" s="30">
        <f t="array" ref="G20">_xlfn.IFNA(_xlfn.XLOOKUP($A20,INDIRECT("'"&amp;G$4&amp;"'!$E$10:$E$44"),INDIRECT("'"&amp;G$4&amp;"'!$A$10:$A$44"))," ")</f>
        <v/>
      </c>
      <c r="H20" s="30">
        <f t="array" ref="H20">_xlfn.IFNA(_xlfn.XLOOKUP($A20,INDIRECT("'"&amp;H$4&amp;"'!$E$10:$E$44"),INDIRECT("'"&amp;H$4&amp;"'!$A$10:$A$44"))," ")</f>
        <v/>
      </c>
      <c r="I20" s="30">
        <f t="array" ref="I20">_xlfn.IFNA(_xlfn.XLOOKUP($A20,INDIRECT("'"&amp;I$4&amp;"'!$E$10:$E$44"),INDIRECT("'"&amp;I$4&amp;"'!$A$10:$A$44"))," ")</f>
        <v/>
      </c>
      <c r="J20" s="30">
        <f t="array" ref="J20">_xlfn.IFNA(_xlfn.XLOOKUP($A20,INDIRECT("'"&amp;J$4&amp;"'!$E$10:$E$44"),INDIRECT("'"&amp;J$4&amp;"'!$A$10:$A$44"))," ")</f>
        <v/>
      </c>
      <c r="K20" s="30">
        <f t="array" ref="K20">_xlfn.IFNA(_xlfn.XLOOKUP($A20,INDIRECT("'"&amp;K$4&amp;"'!$E$10:$E$44"),INDIRECT("'"&amp;K$4&amp;"'!$A$10:$A$44"))," ")</f>
        <v/>
      </c>
      <c r="L20" s="30">
        <f t="array" ref="L20">_xlfn.IFNA(_xlfn.XLOOKUP($A20,INDIRECT("'"&amp;L$4&amp;"'!$E$10:$E$44"),INDIRECT("'"&amp;L$4&amp;"'!$A$10:$A$44"))," ")</f>
        <v/>
      </c>
      <c r="M20" s="30">
        <f t="array" ref="M20">_xlfn.IFNA(_xlfn.XLOOKUP($A20,INDIRECT("'"&amp;M$4&amp;"'!$E$10:$E$44"),INDIRECT("'"&amp;M$4&amp;"'!$A$10:$A$44"))," ")</f>
        <v/>
      </c>
      <c r="N20" s="30">
        <f t="array" ref="N20">_xlfn.IFNA(_xlfn.XLOOKUP($A20,INDIRECT("'"&amp;N$4&amp;"'!$E$10:$E$44"),INDIRECT("'"&amp;N$4&amp;"'!$A$10:$A$44"))," ")</f>
        <v/>
      </c>
      <c r="O20" s="30">
        <f t="array" ref="O20">_xlfn.IFNA(_xlfn.XLOOKUP($A20,INDIRECT("'"&amp;O$4&amp;"'!$E$10:$E$44"),INDIRECT("'"&amp;O$4&amp;"'!$A$10:$A$44"))," ")</f>
        <v/>
      </c>
      <c r="P20" s="30">
        <f t="array" ref="P20">_xlfn.IFNA(_xlfn.XLOOKUP($A20,INDIRECT("'"&amp;P$4&amp;"'!$E$10:$E$44"),INDIRECT("'"&amp;P$4&amp;"'!$A$10:$A$44"))," ")</f>
        <v/>
      </c>
      <c r="Q20" s="30">
        <f t="array" ref="Q20">_xlfn.IFNA(_xlfn.XLOOKUP($A20,INDIRECT("'"&amp;Q$4&amp;"'!$E$10:$E$44"),INDIRECT("'"&amp;Q$4&amp;"'!$A$10:$A$44"))," ")</f>
        <v/>
      </c>
      <c r="R20" s="30">
        <f t="array" ref="R20">_xlfn.IFNA(_xlfn.XLOOKUP($A20,INDIRECT("'"&amp;R$4&amp;"'!$E$10:$E$44"),INDIRECT("'"&amp;R$4&amp;"'!$A$10:$A$44"))," ")</f>
        <v/>
      </c>
      <c r="S20" s="30">
        <f t="array" ref="S20">_xlfn.IFNA(_xlfn.XLOOKUP($A20,INDIRECT("'"&amp;S$4&amp;"'!$E$10:$E$44"),INDIRECT("'"&amp;S$4&amp;"'!$A$10:$A$44"))," ")</f>
        <v/>
      </c>
      <c r="T20" s="30">
        <f>SUM(Table5[[#This Row],[Week 1]:[Week 18]])</f>
        <v/>
      </c>
      <c r="U20" s="30">
        <f>SUM(B20:S20)-40</f>
        <v/>
      </c>
      <c r="V20" s="30">
        <f>IFERROR(SUM(B20:S20)/COUNT(B20:S20),0)</f>
        <v/>
      </c>
      <c r="W20" s="30">
        <f>IFERROR(MAX(B20:S20),0)</f>
        <v/>
      </c>
    </row>
    <row r="21">
      <c r="A21" s="21" t="inlineStr">
        <is>
          <t>meatloaf</t>
        </is>
      </c>
      <c r="B21" s="30">
        <f t="array" ref="B21">_xlfn.IFNA(_xlfn.XLOOKUP($A21,INDIRECT("'"&amp;B$4&amp;"'!$E$10:$E$44"),INDIRECT("'"&amp;B$4&amp;"'!$A$10:$A$44"))," ")</f>
        <v/>
      </c>
      <c r="C21" s="30">
        <f t="array" ref="C21">_xlfn.IFNA(_xlfn.XLOOKUP($A21,INDIRECT("'"&amp;C$4&amp;"'!$E$10:$E$44"),INDIRECT("'"&amp;C$4&amp;"'!$A$10:$A$44"))," ")</f>
        <v/>
      </c>
      <c r="D21" s="30">
        <f t="array" ref="D21">_xlfn.IFNA(_xlfn.XLOOKUP($A21,INDIRECT("'"&amp;D$4&amp;"'!$E$10:$E$44"),INDIRECT("'"&amp;D$4&amp;"'!$A$10:$A$44"))," ")</f>
        <v/>
      </c>
      <c r="E21" s="30">
        <f t="array" ref="E21">_xlfn.IFNA(_xlfn.XLOOKUP($A21,INDIRECT("'"&amp;E$4&amp;"'!$E$10:$E$44"),INDIRECT("'"&amp;E$4&amp;"'!$A$10:$A$44"))," ")</f>
        <v/>
      </c>
      <c r="F21" s="30">
        <f t="array" ref="F21">_xlfn.IFNA(_xlfn.XLOOKUP($A21,INDIRECT("'"&amp;F$4&amp;"'!$E$10:$E$44"),INDIRECT("'"&amp;F$4&amp;"'!$A$10:$A$44"))," ")</f>
        <v/>
      </c>
      <c r="G21" s="30">
        <f t="array" ref="G21">_xlfn.IFNA(_xlfn.XLOOKUP($A21,INDIRECT("'"&amp;G$4&amp;"'!$E$10:$E$44"),INDIRECT("'"&amp;G$4&amp;"'!$A$10:$A$44"))," ")</f>
        <v/>
      </c>
      <c r="H21" s="30">
        <f t="array" ref="H21">_xlfn.IFNA(_xlfn.XLOOKUP($A21,INDIRECT("'"&amp;H$4&amp;"'!$E$10:$E$44"),INDIRECT("'"&amp;H$4&amp;"'!$A$10:$A$44"))," ")</f>
        <v/>
      </c>
      <c r="I21" s="30">
        <f t="array" ref="I21">_xlfn.IFNA(_xlfn.XLOOKUP($A21,INDIRECT("'"&amp;I$4&amp;"'!$E$10:$E$44"),INDIRECT("'"&amp;I$4&amp;"'!$A$10:$A$44"))," ")</f>
        <v/>
      </c>
      <c r="J21" s="30">
        <f t="array" ref="J21">_xlfn.IFNA(_xlfn.XLOOKUP($A21,INDIRECT("'"&amp;J$4&amp;"'!$E$10:$E$44"),INDIRECT("'"&amp;J$4&amp;"'!$A$10:$A$44"))," ")</f>
        <v/>
      </c>
      <c r="K21" s="30">
        <f t="array" ref="K21">_xlfn.IFNA(_xlfn.XLOOKUP($A21,INDIRECT("'"&amp;K$4&amp;"'!$E$10:$E$44"),INDIRECT("'"&amp;K$4&amp;"'!$A$10:$A$44"))," ")</f>
        <v/>
      </c>
      <c r="L21" s="30">
        <f t="array" ref="L21">_xlfn.IFNA(_xlfn.XLOOKUP($A21,INDIRECT("'"&amp;L$4&amp;"'!$E$10:$E$44"),INDIRECT("'"&amp;L$4&amp;"'!$A$10:$A$44"))," ")</f>
        <v/>
      </c>
      <c r="M21" s="30">
        <f t="array" ref="M21">_xlfn.IFNA(_xlfn.XLOOKUP($A21,INDIRECT("'"&amp;M$4&amp;"'!$E$10:$E$44"),INDIRECT("'"&amp;M$4&amp;"'!$A$10:$A$44"))," ")</f>
        <v/>
      </c>
      <c r="N21" s="30">
        <f t="array" ref="N21">_xlfn.IFNA(_xlfn.XLOOKUP($A21,INDIRECT("'"&amp;N$4&amp;"'!$E$10:$E$44"),INDIRECT("'"&amp;N$4&amp;"'!$A$10:$A$44"))," ")</f>
        <v/>
      </c>
      <c r="O21" s="30">
        <f t="array" ref="O21">_xlfn.IFNA(_xlfn.XLOOKUP($A21,INDIRECT("'"&amp;O$4&amp;"'!$E$10:$E$44"),INDIRECT("'"&amp;O$4&amp;"'!$A$10:$A$44"))," ")</f>
        <v/>
      </c>
      <c r="P21" s="30">
        <f t="array" ref="P21">_xlfn.IFNA(_xlfn.XLOOKUP($A21,INDIRECT("'"&amp;P$4&amp;"'!$E$10:$E$44"),INDIRECT("'"&amp;P$4&amp;"'!$A$10:$A$44"))," ")</f>
        <v/>
      </c>
      <c r="Q21" s="30">
        <f t="array" ref="Q21">_xlfn.IFNA(_xlfn.XLOOKUP($A21,INDIRECT("'"&amp;Q$4&amp;"'!$E$10:$E$44"),INDIRECT("'"&amp;Q$4&amp;"'!$A$10:$A$44"))," ")</f>
        <v/>
      </c>
      <c r="R21" s="30">
        <f t="array" ref="R21">_xlfn.IFNA(_xlfn.XLOOKUP($A21,INDIRECT("'"&amp;R$4&amp;"'!$E$10:$E$44"),INDIRECT("'"&amp;R$4&amp;"'!$A$10:$A$44"))," ")</f>
        <v/>
      </c>
      <c r="S21" s="30">
        <f t="array" ref="S21">_xlfn.IFNA(_xlfn.XLOOKUP($A21,INDIRECT("'"&amp;S$4&amp;"'!$E$10:$E$44"),INDIRECT("'"&amp;S$4&amp;"'!$A$10:$A$44"))," ")</f>
        <v/>
      </c>
      <c r="T21" s="30">
        <f>SUM(Table5[[#This Row],[Week 1]:[Week 18]])</f>
        <v/>
      </c>
      <c r="U21" s="30">
        <f>SUM(B21:S21)-40</f>
        <v/>
      </c>
      <c r="V21" s="30">
        <f>IFERROR(SUM(B21:S21)/COUNT(B21:S21),0)</f>
        <v/>
      </c>
      <c r="W21" s="30">
        <f>IFERROR(MAX(B21:S21),0)</f>
        <v/>
      </c>
    </row>
    <row r="22">
      <c r="A22" s="21" t="inlineStr">
        <is>
          <t>MiMi</t>
        </is>
      </c>
      <c r="B22" s="30">
        <f t="array" ref="B22">_xlfn.IFNA(_xlfn.XLOOKUP($A22,INDIRECT("'"&amp;B$4&amp;"'!$E$10:$E$44"),INDIRECT("'"&amp;B$4&amp;"'!$A$10:$A$44"))," ")</f>
        <v/>
      </c>
      <c r="C22" s="30">
        <f t="array" ref="C22">_xlfn.IFNA(_xlfn.XLOOKUP($A22,INDIRECT("'"&amp;C$4&amp;"'!$E$10:$E$44"),INDIRECT("'"&amp;C$4&amp;"'!$A$10:$A$44"))," ")</f>
        <v/>
      </c>
      <c r="D22" s="30">
        <f t="array" ref="D22">_xlfn.IFNA(_xlfn.XLOOKUP($A22,INDIRECT("'"&amp;D$4&amp;"'!$E$10:$E$44"),INDIRECT("'"&amp;D$4&amp;"'!$A$10:$A$44"))," ")</f>
        <v/>
      </c>
      <c r="E22" s="30">
        <f t="array" ref="E22">_xlfn.IFNA(_xlfn.XLOOKUP($A22,INDIRECT("'"&amp;E$4&amp;"'!$E$10:$E$44"),INDIRECT("'"&amp;E$4&amp;"'!$A$10:$A$44"))," ")</f>
        <v/>
      </c>
      <c r="F22" s="30">
        <f t="array" ref="F22">_xlfn.IFNA(_xlfn.XLOOKUP($A22,INDIRECT("'"&amp;F$4&amp;"'!$E$10:$E$44"),INDIRECT("'"&amp;F$4&amp;"'!$A$10:$A$44"))," ")</f>
        <v/>
      </c>
      <c r="G22" s="30">
        <f t="array" ref="G22">_xlfn.IFNA(_xlfn.XLOOKUP($A22,INDIRECT("'"&amp;G$4&amp;"'!$E$10:$E$44"),INDIRECT("'"&amp;G$4&amp;"'!$A$10:$A$44"))," ")</f>
        <v/>
      </c>
      <c r="H22" s="30">
        <f t="array" ref="H22">_xlfn.IFNA(_xlfn.XLOOKUP($A22,INDIRECT("'"&amp;H$4&amp;"'!$E$10:$E$44"),INDIRECT("'"&amp;H$4&amp;"'!$A$10:$A$44"))," ")</f>
        <v/>
      </c>
      <c r="I22" s="30">
        <f t="array" ref="I22">_xlfn.IFNA(_xlfn.XLOOKUP($A22,INDIRECT("'"&amp;I$4&amp;"'!$E$10:$E$44"),INDIRECT("'"&amp;I$4&amp;"'!$A$10:$A$44"))," ")</f>
        <v/>
      </c>
      <c r="J22" s="30">
        <f t="array" ref="J22">_xlfn.IFNA(_xlfn.XLOOKUP($A22,INDIRECT("'"&amp;J$4&amp;"'!$E$10:$E$44"),INDIRECT("'"&amp;J$4&amp;"'!$A$10:$A$44"))," ")</f>
        <v/>
      </c>
      <c r="K22" s="30">
        <f t="array" ref="K22">_xlfn.IFNA(_xlfn.XLOOKUP($A22,INDIRECT("'"&amp;K$4&amp;"'!$E$10:$E$44"),INDIRECT("'"&amp;K$4&amp;"'!$A$10:$A$44"))," ")</f>
        <v/>
      </c>
      <c r="L22" s="30">
        <f t="array" ref="L22">_xlfn.IFNA(_xlfn.XLOOKUP($A22,INDIRECT("'"&amp;L$4&amp;"'!$E$10:$E$44"),INDIRECT("'"&amp;L$4&amp;"'!$A$10:$A$44"))," ")</f>
        <v/>
      </c>
      <c r="M22" s="30">
        <f t="array" ref="M22">_xlfn.IFNA(_xlfn.XLOOKUP($A22,INDIRECT("'"&amp;M$4&amp;"'!$E$10:$E$44"),INDIRECT("'"&amp;M$4&amp;"'!$A$10:$A$44"))," ")</f>
        <v/>
      </c>
      <c r="N22" s="30">
        <f t="array" ref="N22">_xlfn.IFNA(_xlfn.XLOOKUP($A22,INDIRECT("'"&amp;N$4&amp;"'!$E$10:$E$44"),INDIRECT("'"&amp;N$4&amp;"'!$A$10:$A$44"))," ")</f>
        <v/>
      </c>
      <c r="O22" s="30">
        <f t="array" ref="O22">_xlfn.IFNA(_xlfn.XLOOKUP($A22,INDIRECT("'"&amp;O$4&amp;"'!$E$10:$E$44"),INDIRECT("'"&amp;O$4&amp;"'!$A$10:$A$44"))," ")</f>
        <v/>
      </c>
      <c r="P22" s="30">
        <f t="array" ref="P22">_xlfn.IFNA(_xlfn.XLOOKUP($A22,INDIRECT("'"&amp;P$4&amp;"'!$E$10:$E$44"),INDIRECT("'"&amp;P$4&amp;"'!$A$10:$A$44"))," ")</f>
        <v/>
      </c>
      <c r="Q22" s="30">
        <f t="array" ref="Q22">_xlfn.IFNA(_xlfn.XLOOKUP($A22,INDIRECT("'"&amp;Q$4&amp;"'!$E$10:$E$44"),INDIRECT("'"&amp;Q$4&amp;"'!$A$10:$A$44"))," ")</f>
        <v/>
      </c>
      <c r="R22" s="30">
        <f t="array" ref="R22">_xlfn.IFNA(_xlfn.XLOOKUP($A22,INDIRECT("'"&amp;R$4&amp;"'!$E$10:$E$44"),INDIRECT("'"&amp;R$4&amp;"'!$A$10:$A$44"))," ")</f>
        <v/>
      </c>
      <c r="S22" s="30">
        <f t="array" ref="S22">_xlfn.IFNA(_xlfn.XLOOKUP($A22,INDIRECT("'"&amp;S$4&amp;"'!$E$10:$E$44"),INDIRECT("'"&amp;S$4&amp;"'!$A$10:$A$44"))," ")</f>
        <v/>
      </c>
      <c r="T22" s="30">
        <f>SUM(Table5[[#This Row],[Week 1]:[Week 18]])</f>
        <v/>
      </c>
      <c r="U22" s="30">
        <f>SUM(B22:S22)-40</f>
        <v/>
      </c>
      <c r="V22" s="30">
        <f>IFERROR(SUM(B22:S22)/COUNT(B22:S22),0)</f>
        <v/>
      </c>
      <c r="W22" s="30">
        <f>IFERROR(MAX(B22:S22),0)</f>
        <v/>
      </c>
    </row>
    <row r="23">
      <c r="A23" s="21" t="inlineStr">
        <is>
          <t>Mrp4real</t>
        </is>
      </c>
      <c r="B23" s="30">
        <f t="array" ref="B23">_xlfn.IFNA(_xlfn.XLOOKUP($A23,INDIRECT("'"&amp;B$4&amp;"'!$E$10:$E$44"),INDIRECT("'"&amp;B$4&amp;"'!$A$10:$A$44"))," ")</f>
        <v/>
      </c>
      <c r="C23" s="30">
        <f t="array" ref="C23">_xlfn.IFNA(_xlfn.XLOOKUP($A23,INDIRECT("'"&amp;C$4&amp;"'!$E$10:$E$44"),INDIRECT("'"&amp;C$4&amp;"'!$A$10:$A$44"))," ")</f>
        <v/>
      </c>
      <c r="D23" s="30">
        <f t="array" ref="D23">_xlfn.IFNA(_xlfn.XLOOKUP($A23,INDIRECT("'"&amp;D$4&amp;"'!$E$10:$E$44"),INDIRECT("'"&amp;D$4&amp;"'!$A$10:$A$44"))," ")</f>
        <v/>
      </c>
      <c r="E23" s="30">
        <f t="array" ref="E23">_xlfn.IFNA(_xlfn.XLOOKUP($A23,INDIRECT("'"&amp;E$4&amp;"'!$E$10:$E$44"),INDIRECT("'"&amp;E$4&amp;"'!$A$10:$A$44"))," ")</f>
        <v/>
      </c>
      <c r="F23" s="30">
        <f t="array" ref="F23">_xlfn.IFNA(_xlfn.XLOOKUP($A23,INDIRECT("'"&amp;F$4&amp;"'!$E$10:$E$44"),INDIRECT("'"&amp;F$4&amp;"'!$A$10:$A$44"))," ")</f>
        <v/>
      </c>
      <c r="G23" s="30">
        <f t="array" ref="G23">_xlfn.IFNA(_xlfn.XLOOKUP($A23,INDIRECT("'"&amp;G$4&amp;"'!$E$10:$E$44"),INDIRECT("'"&amp;G$4&amp;"'!$A$10:$A$44"))," ")</f>
        <v/>
      </c>
      <c r="H23" s="30">
        <f t="array" ref="H23">_xlfn.IFNA(_xlfn.XLOOKUP($A23,INDIRECT("'"&amp;H$4&amp;"'!$E$10:$E$44"),INDIRECT("'"&amp;H$4&amp;"'!$A$10:$A$44"))," ")</f>
        <v/>
      </c>
      <c r="I23" s="30">
        <f t="array" ref="I23">_xlfn.IFNA(_xlfn.XLOOKUP($A23,INDIRECT("'"&amp;I$4&amp;"'!$E$10:$E$44"),INDIRECT("'"&amp;I$4&amp;"'!$A$10:$A$44"))," ")</f>
        <v/>
      </c>
      <c r="J23" s="30">
        <f t="array" ref="J23">_xlfn.IFNA(_xlfn.XLOOKUP($A23,INDIRECT("'"&amp;J$4&amp;"'!$E$10:$E$44"),INDIRECT("'"&amp;J$4&amp;"'!$A$10:$A$44"))," ")</f>
        <v/>
      </c>
      <c r="K23" s="30">
        <f t="array" ref="K23">_xlfn.IFNA(_xlfn.XLOOKUP($A23,INDIRECT("'"&amp;K$4&amp;"'!$E$10:$E$44"),INDIRECT("'"&amp;K$4&amp;"'!$A$10:$A$44"))," ")</f>
        <v/>
      </c>
      <c r="L23" s="30">
        <f t="array" ref="L23">_xlfn.IFNA(_xlfn.XLOOKUP($A23,INDIRECT("'"&amp;L$4&amp;"'!$E$10:$E$44"),INDIRECT("'"&amp;L$4&amp;"'!$A$10:$A$44"))," ")</f>
        <v/>
      </c>
      <c r="M23" s="30">
        <f t="array" ref="M23">_xlfn.IFNA(_xlfn.XLOOKUP($A23,INDIRECT("'"&amp;M$4&amp;"'!$E$10:$E$44"),INDIRECT("'"&amp;M$4&amp;"'!$A$10:$A$44"))," ")</f>
        <v/>
      </c>
      <c r="N23" s="30">
        <f t="array" ref="N23">_xlfn.IFNA(_xlfn.XLOOKUP($A23,INDIRECT("'"&amp;N$4&amp;"'!$E$10:$E$44"),INDIRECT("'"&amp;N$4&amp;"'!$A$10:$A$44"))," ")</f>
        <v/>
      </c>
      <c r="O23" s="30">
        <f t="array" ref="O23">_xlfn.IFNA(_xlfn.XLOOKUP($A23,INDIRECT("'"&amp;O$4&amp;"'!$E$10:$E$44"),INDIRECT("'"&amp;O$4&amp;"'!$A$10:$A$44"))," ")</f>
        <v/>
      </c>
      <c r="P23" s="30">
        <f t="array" ref="P23">_xlfn.IFNA(_xlfn.XLOOKUP($A23,INDIRECT("'"&amp;P$4&amp;"'!$E$10:$E$44"),INDIRECT("'"&amp;P$4&amp;"'!$A$10:$A$44"))," ")</f>
        <v/>
      </c>
      <c r="Q23" s="30">
        <f t="array" ref="Q23">_xlfn.IFNA(_xlfn.XLOOKUP($A23,INDIRECT("'"&amp;Q$4&amp;"'!$E$10:$E$44"),INDIRECT("'"&amp;Q$4&amp;"'!$A$10:$A$44"))," ")</f>
        <v/>
      </c>
      <c r="R23" s="30">
        <f t="array" ref="R23">_xlfn.IFNA(_xlfn.XLOOKUP($A23,INDIRECT("'"&amp;R$4&amp;"'!$E$10:$E$44"),INDIRECT("'"&amp;R$4&amp;"'!$A$10:$A$44"))," ")</f>
        <v/>
      </c>
      <c r="S23" s="30">
        <f t="array" ref="S23">_xlfn.IFNA(_xlfn.XLOOKUP($A23,INDIRECT("'"&amp;S$4&amp;"'!$E$10:$E$44"),INDIRECT("'"&amp;S$4&amp;"'!$A$10:$A$44"))," ")</f>
        <v/>
      </c>
      <c r="T23" s="30">
        <f>SUM(Table5[[#This Row],[Week 1]:[Week 18]])</f>
        <v/>
      </c>
      <c r="U23" s="30">
        <f>SUM(B23:S23)-40</f>
        <v/>
      </c>
      <c r="V23" s="30">
        <f>IFERROR(SUM(B23:S23)/COUNT(B23:S23),0)</f>
        <v/>
      </c>
      <c r="W23" s="30">
        <f>IFERROR(MAX(B23:S23),0)</f>
        <v/>
      </c>
    </row>
    <row r="24">
      <c r="A24" s="21" t="inlineStr">
        <is>
          <t>Navygolfer</t>
        </is>
      </c>
      <c r="B24" s="30">
        <f t="array" ref="B24">_xlfn.IFNA(_xlfn.XLOOKUP($A24,INDIRECT("'"&amp;B$4&amp;"'!$E$10:$E$44"),INDIRECT("'"&amp;B$4&amp;"'!$A$10:$A$44"))," ")</f>
        <v/>
      </c>
      <c r="C24" s="30">
        <f t="array" ref="C24">_xlfn.IFNA(_xlfn.XLOOKUP($A24,INDIRECT("'"&amp;C$4&amp;"'!$E$10:$E$44"),INDIRECT("'"&amp;C$4&amp;"'!$A$10:$A$44"))," ")</f>
        <v/>
      </c>
      <c r="D24" s="30">
        <f t="array" ref="D24">_xlfn.IFNA(_xlfn.XLOOKUP($A24,INDIRECT("'"&amp;D$4&amp;"'!$E$10:$E$44"),INDIRECT("'"&amp;D$4&amp;"'!$A$10:$A$44"))," ")</f>
        <v/>
      </c>
      <c r="E24" s="30">
        <f t="array" ref="E24">_xlfn.IFNA(_xlfn.XLOOKUP($A24,INDIRECT("'"&amp;E$4&amp;"'!$E$10:$E$44"),INDIRECT("'"&amp;E$4&amp;"'!$A$10:$A$44"))," ")</f>
        <v/>
      </c>
      <c r="F24" s="30">
        <f t="array" ref="F24">_xlfn.IFNA(_xlfn.XLOOKUP($A24,INDIRECT("'"&amp;F$4&amp;"'!$E$10:$E$44"),INDIRECT("'"&amp;F$4&amp;"'!$A$10:$A$44"))," ")</f>
        <v/>
      </c>
      <c r="G24" s="30">
        <f t="array" ref="G24">_xlfn.IFNA(_xlfn.XLOOKUP($A24,INDIRECT("'"&amp;G$4&amp;"'!$E$10:$E$44"),INDIRECT("'"&amp;G$4&amp;"'!$A$10:$A$44"))," ")</f>
        <v/>
      </c>
      <c r="H24" s="30">
        <f t="array" ref="H24">_xlfn.IFNA(_xlfn.XLOOKUP($A24,INDIRECT("'"&amp;H$4&amp;"'!$E$10:$E$44"),INDIRECT("'"&amp;H$4&amp;"'!$A$10:$A$44"))," ")</f>
        <v/>
      </c>
      <c r="I24" s="30">
        <f t="array" ref="I24">_xlfn.IFNA(_xlfn.XLOOKUP($A24,INDIRECT("'"&amp;I$4&amp;"'!$E$10:$E$44"),INDIRECT("'"&amp;I$4&amp;"'!$A$10:$A$44"))," ")</f>
        <v/>
      </c>
      <c r="J24" s="30">
        <f t="array" ref="J24">_xlfn.IFNA(_xlfn.XLOOKUP($A24,INDIRECT("'"&amp;J$4&amp;"'!$E$10:$E$44"),INDIRECT("'"&amp;J$4&amp;"'!$A$10:$A$44"))," ")</f>
        <v/>
      </c>
      <c r="K24" s="30">
        <f t="array" ref="K24">_xlfn.IFNA(_xlfn.XLOOKUP($A24,INDIRECT("'"&amp;K$4&amp;"'!$E$10:$E$44"),INDIRECT("'"&amp;K$4&amp;"'!$A$10:$A$44"))," ")</f>
        <v/>
      </c>
      <c r="L24" s="30">
        <f t="array" ref="L24">_xlfn.IFNA(_xlfn.XLOOKUP($A24,INDIRECT("'"&amp;L$4&amp;"'!$E$10:$E$44"),INDIRECT("'"&amp;L$4&amp;"'!$A$10:$A$44"))," ")</f>
        <v/>
      </c>
      <c r="M24" s="30">
        <f t="array" ref="M24">_xlfn.IFNA(_xlfn.XLOOKUP($A24,INDIRECT("'"&amp;M$4&amp;"'!$E$10:$E$44"),INDIRECT("'"&amp;M$4&amp;"'!$A$10:$A$44"))," ")</f>
        <v/>
      </c>
      <c r="N24" s="30">
        <f t="array" ref="N24">_xlfn.IFNA(_xlfn.XLOOKUP($A24,INDIRECT("'"&amp;N$4&amp;"'!$E$10:$E$44"),INDIRECT("'"&amp;N$4&amp;"'!$A$10:$A$44"))," ")</f>
        <v/>
      </c>
      <c r="O24" s="30">
        <f t="array" ref="O24">_xlfn.IFNA(_xlfn.XLOOKUP($A24,INDIRECT("'"&amp;O$4&amp;"'!$E$10:$E$44"),INDIRECT("'"&amp;O$4&amp;"'!$A$10:$A$44"))," ")</f>
        <v/>
      </c>
      <c r="P24" s="30">
        <f t="array" ref="P24">_xlfn.IFNA(_xlfn.XLOOKUP($A24,INDIRECT("'"&amp;P$4&amp;"'!$E$10:$E$44"),INDIRECT("'"&amp;P$4&amp;"'!$A$10:$A$44"))," ")</f>
        <v/>
      </c>
      <c r="Q24" s="30">
        <f t="array" ref="Q24">_xlfn.IFNA(_xlfn.XLOOKUP($A24,INDIRECT("'"&amp;Q$4&amp;"'!$E$10:$E$44"),INDIRECT("'"&amp;Q$4&amp;"'!$A$10:$A$44"))," ")</f>
        <v/>
      </c>
      <c r="R24" s="30">
        <f t="array" ref="R24">_xlfn.IFNA(_xlfn.XLOOKUP($A24,INDIRECT("'"&amp;R$4&amp;"'!$E$10:$E$44"),INDIRECT("'"&amp;R$4&amp;"'!$A$10:$A$44"))," ")</f>
        <v/>
      </c>
      <c r="S24" s="30">
        <f t="array" ref="S24">_xlfn.IFNA(_xlfn.XLOOKUP($A24,INDIRECT("'"&amp;S$4&amp;"'!$E$10:$E$44"),INDIRECT("'"&amp;S$4&amp;"'!$A$10:$A$44"))," ")</f>
        <v/>
      </c>
      <c r="T24" s="30">
        <f>SUM(Table5[[#This Row],[Week 1]:[Week 18]])</f>
        <v/>
      </c>
      <c r="U24" s="30">
        <f>SUM(B24:S24)-40</f>
        <v/>
      </c>
      <c r="V24" s="30">
        <f>IFERROR(SUM(B24:S24)/COUNT(B24:S24),0)</f>
        <v/>
      </c>
      <c r="W24" s="30">
        <f>IFERROR(MAX(B24:S24),0)</f>
        <v/>
      </c>
    </row>
    <row r="25">
      <c r="A25" s="21" t="inlineStr">
        <is>
          <t>Phelps Phamily</t>
        </is>
      </c>
      <c r="B25" s="30">
        <f t="array" ref="B25">_xlfn.IFNA(_xlfn.XLOOKUP($A25,INDIRECT("'"&amp;B$4&amp;"'!$E$10:$E$44"),INDIRECT("'"&amp;B$4&amp;"'!$A$10:$A$44"))," ")</f>
        <v/>
      </c>
      <c r="C25" s="30">
        <f t="array" ref="C25">_xlfn.IFNA(_xlfn.XLOOKUP($A25,INDIRECT("'"&amp;C$4&amp;"'!$E$10:$E$44"),INDIRECT("'"&amp;C$4&amp;"'!$A$10:$A$44"))," ")</f>
        <v/>
      </c>
      <c r="D25" s="30">
        <f t="array" ref="D25">_xlfn.IFNA(_xlfn.XLOOKUP($A25,INDIRECT("'"&amp;D$4&amp;"'!$E$10:$E$44"),INDIRECT("'"&amp;D$4&amp;"'!$A$10:$A$44"))," ")</f>
        <v/>
      </c>
      <c r="E25" s="30">
        <f t="array" ref="E25">_xlfn.IFNA(_xlfn.XLOOKUP($A25,INDIRECT("'"&amp;E$4&amp;"'!$E$10:$E$44"),INDIRECT("'"&amp;E$4&amp;"'!$A$10:$A$44"))," ")</f>
        <v/>
      </c>
      <c r="F25" s="30">
        <f t="array" ref="F25">_xlfn.IFNA(_xlfn.XLOOKUP($A25,INDIRECT("'"&amp;F$4&amp;"'!$E$10:$E$44"),INDIRECT("'"&amp;F$4&amp;"'!$A$10:$A$44"))," ")</f>
        <v/>
      </c>
      <c r="G25" s="30">
        <f t="array" ref="G25">_xlfn.IFNA(_xlfn.XLOOKUP($A25,INDIRECT("'"&amp;G$4&amp;"'!$E$10:$E$44"),INDIRECT("'"&amp;G$4&amp;"'!$A$10:$A$44"))," ")</f>
        <v/>
      </c>
      <c r="H25" s="30">
        <f t="array" ref="H25">_xlfn.IFNA(_xlfn.XLOOKUP($A25,INDIRECT("'"&amp;H$4&amp;"'!$E$10:$E$44"),INDIRECT("'"&amp;H$4&amp;"'!$A$10:$A$44"))," ")</f>
        <v/>
      </c>
      <c r="I25" s="30">
        <f t="array" ref="I25">_xlfn.IFNA(_xlfn.XLOOKUP($A25,INDIRECT("'"&amp;I$4&amp;"'!$E$10:$E$44"),INDIRECT("'"&amp;I$4&amp;"'!$A$10:$A$44"))," ")</f>
        <v/>
      </c>
      <c r="J25" s="30">
        <f t="array" ref="J25">_xlfn.IFNA(_xlfn.XLOOKUP($A25,INDIRECT("'"&amp;J$4&amp;"'!$E$10:$E$44"),INDIRECT("'"&amp;J$4&amp;"'!$A$10:$A$44"))," ")</f>
        <v/>
      </c>
      <c r="K25" s="30">
        <f t="array" ref="K25">_xlfn.IFNA(_xlfn.XLOOKUP($A25,INDIRECT("'"&amp;K$4&amp;"'!$E$10:$E$44"),INDIRECT("'"&amp;K$4&amp;"'!$A$10:$A$44"))," ")</f>
        <v/>
      </c>
      <c r="L25" s="30">
        <f t="array" ref="L25">_xlfn.IFNA(_xlfn.XLOOKUP($A25,INDIRECT("'"&amp;L$4&amp;"'!$E$10:$E$44"),INDIRECT("'"&amp;L$4&amp;"'!$A$10:$A$44"))," ")</f>
        <v/>
      </c>
      <c r="M25" s="30">
        <f t="array" ref="M25">_xlfn.IFNA(_xlfn.XLOOKUP($A25,INDIRECT("'"&amp;M$4&amp;"'!$E$10:$E$44"),INDIRECT("'"&amp;M$4&amp;"'!$A$10:$A$44"))," ")</f>
        <v/>
      </c>
      <c r="N25" s="30">
        <f t="array" ref="N25">_xlfn.IFNA(_xlfn.XLOOKUP($A25,INDIRECT("'"&amp;N$4&amp;"'!$E$10:$E$44"),INDIRECT("'"&amp;N$4&amp;"'!$A$10:$A$44"))," ")</f>
        <v/>
      </c>
      <c r="O25" s="30">
        <f t="array" ref="O25">_xlfn.IFNA(_xlfn.XLOOKUP($A25,INDIRECT("'"&amp;O$4&amp;"'!$E$10:$E$44"),INDIRECT("'"&amp;O$4&amp;"'!$A$10:$A$44"))," ")</f>
        <v/>
      </c>
      <c r="P25" s="30">
        <f t="array" ref="P25">_xlfn.IFNA(_xlfn.XLOOKUP($A25,INDIRECT("'"&amp;P$4&amp;"'!$E$10:$E$44"),INDIRECT("'"&amp;P$4&amp;"'!$A$10:$A$44"))," ")</f>
        <v/>
      </c>
      <c r="Q25" s="30">
        <f t="array" ref="Q25">_xlfn.IFNA(_xlfn.XLOOKUP($A25,INDIRECT("'"&amp;Q$4&amp;"'!$E$10:$E$44"),INDIRECT("'"&amp;Q$4&amp;"'!$A$10:$A$44"))," ")</f>
        <v/>
      </c>
      <c r="R25" s="30">
        <f t="array" ref="R25">_xlfn.IFNA(_xlfn.XLOOKUP($A25,INDIRECT("'"&amp;R$4&amp;"'!$E$10:$E$44"),INDIRECT("'"&amp;R$4&amp;"'!$A$10:$A$44"))," ")</f>
        <v/>
      </c>
      <c r="S25" s="30">
        <f t="array" ref="S25">_xlfn.IFNA(_xlfn.XLOOKUP($A25,INDIRECT("'"&amp;S$4&amp;"'!$E$10:$E$44"),INDIRECT("'"&amp;S$4&amp;"'!$A$10:$A$44"))," ")</f>
        <v/>
      </c>
      <c r="T25" s="30">
        <f>SUM(Table5[[#This Row],[Week 1]:[Week 18]])</f>
        <v/>
      </c>
      <c r="U25" s="30">
        <f>SUM(B25:S25)-40</f>
        <v/>
      </c>
      <c r="V25" s="30">
        <f>IFERROR(SUM(B25:S25)/COUNT(B25:S25),0)</f>
        <v/>
      </c>
      <c r="W25" s="30">
        <f>IFERROR(MAX(B25:S25),0)</f>
        <v/>
      </c>
    </row>
    <row r="26">
      <c r="A26" s="21" t="inlineStr">
        <is>
          <t>Phelpy</t>
        </is>
      </c>
      <c r="B26" s="30">
        <f t="array" ref="B26">_xlfn.IFNA(_xlfn.XLOOKUP($A26,INDIRECT("'"&amp;B$4&amp;"'!$E$10:$E$44"),INDIRECT("'"&amp;B$4&amp;"'!$A$10:$A$44"))," ")</f>
        <v/>
      </c>
      <c r="C26" s="30">
        <f t="array" ref="C26">_xlfn.IFNA(_xlfn.XLOOKUP($A26,INDIRECT("'"&amp;C$4&amp;"'!$E$10:$E$44"),INDIRECT("'"&amp;C$4&amp;"'!$A$10:$A$44"))," ")</f>
        <v/>
      </c>
      <c r="D26" s="30">
        <f t="array" ref="D26">_xlfn.IFNA(_xlfn.XLOOKUP($A26,INDIRECT("'"&amp;D$4&amp;"'!$E$10:$E$44"),INDIRECT("'"&amp;D$4&amp;"'!$A$10:$A$44"))," ")</f>
        <v/>
      </c>
      <c r="E26" s="30">
        <f t="array" ref="E26">_xlfn.IFNA(_xlfn.XLOOKUP($A26,INDIRECT("'"&amp;E$4&amp;"'!$E$10:$E$44"),INDIRECT("'"&amp;E$4&amp;"'!$A$10:$A$44"))," ")</f>
        <v/>
      </c>
      <c r="F26" s="30">
        <f t="array" ref="F26">_xlfn.IFNA(_xlfn.XLOOKUP($A26,INDIRECT("'"&amp;F$4&amp;"'!$E$10:$E$44"),INDIRECT("'"&amp;F$4&amp;"'!$A$10:$A$44"))," ")</f>
        <v/>
      </c>
      <c r="G26" s="30">
        <f t="array" ref="G26">_xlfn.IFNA(_xlfn.XLOOKUP($A26,INDIRECT("'"&amp;G$4&amp;"'!$E$10:$E$44"),INDIRECT("'"&amp;G$4&amp;"'!$A$10:$A$44"))," ")</f>
        <v/>
      </c>
      <c r="H26" s="30">
        <f t="array" ref="H26">_xlfn.IFNA(_xlfn.XLOOKUP($A26,INDIRECT("'"&amp;H$4&amp;"'!$E$10:$E$44"),INDIRECT("'"&amp;H$4&amp;"'!$A$10:$A$44"))," ")</f>
        <v/>
      </c>
      <c r="I26" s="30">
        <f t="array" ref="I26">_xlfn.IFNA(_xlfn.XLOOKUP($A26,INDIRECT("'"&amp;I$4&amp;"'!$E$10:$E$44"),INDIRECT("'"&amp;I$4&amp;"'!$A$10:$A$44"))," ")</f>
        <v/>
      </c>
      <c r="J26" s="30">
        <f t="array" ref="J26">_xlfn.IFNA(_xlfn.XLOOKUP($A26,INDIRECT("'"&amp;J$4&amp;"'!$E$10:$E$44"),INDIRECT("'"&amp;J$4&amp;"'!$A$10:$A$44"))," ")</f>
        <v/>
      </c>
      <c r="K26" s="30">
        <f t="array" ref="K26">_xlfn.IFNA(_xlfn.XLOOKUP($A26,INDIRECT("'"&amp;K$4&amp;"'!$E$10:$E$44"),INDIRECT("'"&amp;K$4&amp;"'!$A$10:$A$44"))," ")</f>
        <v/>
      </c>
      <c r="L26" s="30">
        <f t="array" ref="L26">_xlfn.IFNA(_xlfn.XLOOKUP($A26,INDIRECT("'"&amp;L$4&amp;"'!$E$10:$E$44"),INDIRECT("'"&amp;L$4&amp;"'!$A$10:$A$44"))," ")</f>
        <v/>
      </c>
      <c r="M26" s="30">
        <f t="array" ref="M26">_xlfn.IFNA(_xlfn.XLOOKUP($A26,INDIRECT("'"&amp;M$4&amp;"'!$E$10:$E$44"),INDIRECT("'"&amp;M$4&amp;"'!$A$10:$A$44"))," ")</f>
        <v/>
      </c>
      <c r="N26" s="30">
        <f t="array" ref="N26">_xlfn.IFNA(_xlfn.XLOOKUP($A26,INDIRECT("'"&amp;N$4&amp;"'!$E$10:$E$44"),INDIRECT("'"&amp;N$4&amp;"'!$A$10:$A$44"))," ")</f>
        <v/>
      </c>
      <c r="O26" s="30">
        <f t="array" ref="O26">_xlfn.IFNA(_xlfn.XLOOKUP($A26,INDIRECT("'"&amp;O$4&amp;"'!$E$10:$E$44"),INDIRECT("'"&amp;O$4&amp;"'!$A$10:$A$44"))," ")</f>
        <v/>
      </c>
      <c r="P26" s="30">
        <f t="array" ref="P26">_xlfn.IFNA(_xlfn.XLOOKUP($A26,INDIRECT("'"&amp;P$4&amp;"'!$E$10:$E$44"),INDIRECT("'"&amp;P$4&amp;"'!$A$10:$A$44"))," ")</f>
        <v/>
      </c>
      <c r="Q26" s="30">
        <f t="array" ref="Q26">_xlfn.IFNA(_xlfn.XLOOKUP($A26,INDIRECT("'"&amp;Q$4&amp;"'!$E$10:$E$44"),INDIRECT("'"&amp;Q$4&amp;"'!$A$10:$A$44"))," ")</f>
        <v/>
      </c>
      <c r="R26" s="30">
        <f t="array" ref="R26">_xlfn.IFNA(_xlfn.XLOOKUP($A26,INDIRECT("'"&amp;R$4&amp;"'!$E$10:$E$44"),INDIRECT("'"&amp;R$4&amp;"'!$A$10:$A$44"))," ")</f>
        <v/>
      </c>
      <c r="S26" s="30">
        <f t="array" ref="S26">_xlfn.IFNA(_xlfn.XLOOKUP($A26,INDIRECT("'"&amp;S$4&amp;"'!$E$10:$E$44"),INDIRECT("'"&amp;S$4&amp;"'!$A$10:$A$44"))," ")</f>
        <v/>
      </c>
      <c r="T26" s="30">
        <f>SUM(Table5[[#This Row],[Week 1]:[Week 18]])</f>
        <v/>
      </c>
      <c r="U26" s="30">
        <f>SUM(B26:S26)-40</f>
        <v/>
      </c>
      <c r="V26" s="30">
        <f>IFERROR(SUM(B26:S26)/COUNT(B26:S26),0)</f>
        <v/>
      </c>
      <c r="W26" s="30">
        <f>IFERROR(MAX(B26:S26),0)</f>
        <v/>
      </c>
    </row>
    <row r="27">
      <c r="A27" s="21" t="inlineStr">
        <is>
          <t>Regltr5</t>
        </is>
      </c>
      <c r="B27" s="30">
        <f t="array" ref="B27">_xlfn.IFNA(_xlfn.XLOOKUP($A27,INDIRECT("'"&amp;B$4&amp;"'!$E$10:$E$44"),INDIRECT("'"&amp;B$4&amp;"'!$A$10:$A$44"))," ")</f>
        <v/>
      </c>
      <c r="C27" s="30">
        <f t="array" ref="C27">_xlfn.IFNA(_xlfn.XLOOKUP($A27,INDIRECT("'"&amp;C$4&amp;"'!$E$10:$E$44"),INDIRECT("'"&amp;C$4&amp;"'!$A$10:$A$44"))," ")</f>
        <v/>
      </c>
      <c r="D27" s="30">
        <f t="array" ref="D27">_xlfn.IFNA(_xlfn.XLOOKUP($A27,INDIRECT("'"&amp;D$4&amp;"'!$E$10:$E$44"),INDIRECT("'"&amp;D$4&amp;"'!$A$10:$A$44"))," ")</f>
        <v/>
      </c>
      <c r="E27" s="30">
        <f t="array" ref="E27">_xlfn.IFNA(_xlfn.XLOOKUP($A27,INDIRECT("'"&amp;E$4&amp;"'!$E$10:$E$44"),INDIRECT("'"&amp;E$4&amp;"'!$A$10:$A$44"))," ")</f>
        <v/>
      </c>
      <c r="F27" s="30">
        <f t="array" ref="F27">_xlfn.IFNA(_xlfn.XLOOKUP($A27,INDIRECT("'"&amp;F$4&amp;"'!$E$10:$E$44"),INDIRECT("'"&amp;F$4&amp;"'!$A$10:$A$44"))," ")</f>
        <v/>
      </c>
      <c r="G27" s="30">
        <f t="array" ref="G27">_xlfn.IFNA(_xlfn.XLOOKUP($A27,INDIRECT("'"&amp;G$4&amp;"'!$E$10:$E$44"),INDIRECT("'"&amp;G$4&amp;"'!$A$10:$A$44"))," ")</f>
        <v/>
      </c>
      <c r="H27" s="30">
        <f t="array" ref="H27">_xlfn.IFNA(_xlfn.XLOOKUP($A27,INDIRECT("'"&amp;H$4&amp;"'!$E$10:$E$44"),INDIRECT("'"&amp;H$4&amp;"'!$A$10:$A$44"))," ")</f>
        <v/>
      </c>
      <c r="I27" s="30">
        <f t="array" ref="I27">_xlfn.IFNA(_xlfn.XLOOKUP($A27,INDIRECT("'"&amp;I$4&amp;"'!$E$10:$E$44"),INDIRECT("'"&amp;I$4&amp;"'!$A$10:$A$44"))," ")</f>
        <v/>
      </c>
      <c r="J27" s="30">
        <f t="array" ref="J27">_xlfn.IFNA(_xlfn.XLOOKUP($A27,INDIRECT("'"&amp;J$4&amp;"'!$E$10:$E$44"),INDIRECT("'"&amp;J$4&amp;"'!$A$10:$A$44"))," ")</f>
        <v/>
      </c>
      <c r="K27" s="30">
        <f t="array" ref="K27">_xlfn.IFNA(_xlfn.XLOOKUP($A27,INDIRECT("'"&amp;K$4&amp;"'!$E$10:$E$44"),INDIRECT("'"&amp;K$4&amp;"'!$A$10:$A$44"))," ")</f>
        <v/>
      </c>
      <c r="L27" s="30">
        <f t="array" ref="L27">_xlfn.IFNA(_xlfn.XLOOKUP($A27,INDIRECT("'"&amp;L$4&amp;"'!$E$10:$E$44"),INDIRECT("'"&amp;L$4&amp;"'!$A$10:$A$44"))," ")</f>
        <v/>
      </c>
      <c r="M27" s="30">
        <f t="array" ref="M27">_xlfn.IFNA(_xlfn.XLOOKUP($A27,INDIRECT("'"&amp;M$4&amp;"'!$E$10:$E$44"),INDIRECT("'"&amp;M$4&amp;"'!$A$10:$A$44"))," ")</f>
        <v/>
      </c>
      <c r="N27" s="30">
        <f t="array" ref="N27">_xlfn.IFNA(_xlfn.XLOOKUP($A27,INDIRECT("'"&amp;N$4&amp;"'!$E$10:$E$44"),INDIRECT("'"&amp;N$4&amp;"'!$A$10:$A$44"))," ")</f>
        <v/>
      </c>
      <c r="O27" s="30">
        <f t="array" ref="O27">_xlfn.IFNA(_xlfn.XLOOKUP($A27,INDIRECT("'"&amp;O$4&amp;"'!$E$10:$E$44"),INDIRECT("'"&amp;O$4&amp;"'!$A$10:$A$44"))," ")</f>
        <v/>
      </c>
      <c r="P27" s="30">
        <f t="array" ref="P27">_xlfn.IFNA(_xlfn.XLOOKUP($A27,INDIRECT("'"&amp;P$4&amp;"'!$E$10:$E$44"),INDIRECT("'"&amp;P$4&amp;"'!$A$10:$A$44"))," ")</f>
        <v/>
      </c>
      <c r="Q27" s="30">
        <f t="array" ref="Q27">_xlfn.IFNA(_xlfn.XLOOKUP($A27,INDIRECT("'"&amp;Q$4&amp;"'!$E$10:$E$44"),INDIRECT("'"&amp;Q$4&amp;"'!$A$10:$A$44"))," ")</f>
        <v/>
      </c>
      <c r="R27" s="30">
        <f t="array" ref="R27">_xlfn.IFNA(_xlfn.XLOOKUP($A27,INDIRECT("'"&amp;R$4&amp;"'!$E$10:$E$44"),INDIRECT("'"&amp;R$4&amp;"'!$A$10:$A$44"))," ")</f>
        <v/>
      </c>
      <c r="S27" s="30">
        <f t="array" ref="S27">_xlfn.IFNA(_xlfn.XLOOKUP($A27,INDIRECT("'"&amp;S$4&amp;"'!$E$10:$E$44"),INDIRECT("'"&amp;S$4&amp;"'!$A$10:$A$44"))," ")</f>
        <v/>
      </c>
      <c r="T27" s="30">
        <f>SUM(Table5[[#This Row],[Week 1]:[Week 18]])</f>
        <v/>
      </c>
      <c r="U27" s="30">
        <f>SUM(B27:S27)-40</f>
        <v/>
      </c>
      <c r="V27" s="30">
        <f>IFERROR(SUM(B27:S27)/COUNT(B27:S27),0)</f>
        <v/>
      </c>
      <c r="W27" s="30">
        <f>IFERROR(MAX(B27:S27),0)</f>
        <v/>
      </c>
    </row>
    <row r="28">
      <c r="A28" s="21" t="inlineStr">
        <is>
          <t>Rusted Ox</t>
        </is>
      </c>
      <c r="B28" s="30">
        <f t="array" ref="B28">_xlfn.IFNA(_xlfn.XLOOKUP($A28,INDIRECT("'"&amp;B$4&amp;"'!$E$10:$E$44"),INDIRECT("'"&amp;B$4&amp;"'!$A$10:$A$44"))," ")</f>
        <v/>
      </c>
      <c r="C28" s="30">
        <f t="array" ref="C28">_xlfn.IFNA(_xlfn.XLOOKUP($A28,INDIRECT("'"&amp;C$4&amp;"'!$E$10:$E$44"),INDIRECT("'"&amp;C$4&amp;"'!$A$10:$A$44"))," ")</f>
        <v/>
      </c>
      <c r="D28" s="30">
        <f t="array" ref="D28">_xlfn.IFNA(_xlfn.XLOOKUP($A28,INDIRECT("'"&amp;D$4&amp;"'!$E$10:$E$44"),INDIRECT("'"&amp;D$4&amp;"'!$A$10:$A$44"))," ")</f>
        <v/>
      </c>
      <c r="E28" s="30">
        <f t="array" ref="E28">_xlfn.IFNA(_xlfn.XLOOKUP($A28,INDIRECT("'"&amp;E$4&amp;"'!$E$10:$E$44"),INDIRECT("'"&amp;E$4&amp;"'!$A$10:$A$44"))," ")</f>
        <v/>
      </c>
      <c r="F28" s="30">
        <f t="array" ref="F28">_xlfn.IFNA(_xlfn.XLOOKUP($A28,INDIRECT("'"&amp;F$4&amp;"'!$E$10:$E$44"),INDIRECT("'"&amp;F$4&amp;"'!$A$10:$A$44"))," ")</f>
        <v/>
      </c>
      <c r="G28" s="30">
        <f t="array" ref="G28">_xlfn.IFNA(_xlfn.XLOOKUP($A28,INDIRECT("'"&amp;G$4&amp;"'!$E$10:$E$44"),INDIRECT("'"&amp;G$4&amp;"'!$A$10:$A$44"))," ")</f>
        <v/>
      </c>
      <c r="H28" s="30">
        <f t="array" ref="H28">_xlfn.IFNA(_xlfn.XLOOKUP($A28,INDIRECT("'"&amp;H$4&amp;"'!$E$10:$E$44"),INDIRECT("'"&amp;H$4&amp;"'!$A$10:$A$44"))," ")</f>
        <v/>
      </c>
      <c r="I28" s="30">
        <f t="array" ref="I28">_xlfn.IFNA(_xlfn.XLOOKUP($A28,INDIRECT("'"&amp;I$4&amp;"'!$E$10:$E$44"),INDIRECT("'"&amp;I$4&amp;"'!$A$10:$A$44"))," ")</f>
        <v/>
      </c>
      <c r="J28" s="30">
        <f t="array" ref="J28">_xlfn.IFNA(_xlfn.XLOOKUP($A28,INDIRECT("'"&amp;J$4&amp;"'!$E$10:$E$44"),INDIRECT("'"&amp;J$4&amp;"'!$A$10:$A$44"))," ")</f>
        <v/>
      </c>
      <c r="K28" s="30">
        <f t="array" ref="K28">_xlfn.IFNA(_xlfn.XLOOKUP($A28,INDIRECT("'"&amp;K$4&amp;"'!$E$10:$E$44"),INDIRECT("'"&amp;K$4&amp;"'!$A$10:$A$44"))," ")</f>
        <v/>
      </c>
      <c r="L28" s="30">
        <f t="array" ref="L28">_xlfn.IFNA(_xlfn.XLOOKUP($A28,INDIRECT("'"&amp;L$4&amp;"'!$E$10:$E$44"),INDIRECT("'"&amp;L$4&amp;"'!$A$10:$A$44"))," ")</f>
        <v/>
      </c>
      <c r="M28" s="30">
        <f t="array" ref="M28">_xlfn.IFNA(_xlfn.XLOOKUP($A28,INDIRECT("'"&amp;M$4&amp;"'!$E$10:$E$44"),INDIRECT("'"&amp;M$4&amp;"'!$A$10:$A$44"))," ")</f>
        <v/>
      </c>
      <c r="N28" s="30">
        <f t="array" ref="N28">_xlfn.IFNA(_xlfn.XLOOKUP($A28,INDIRECT("'"&amp;N$4&amp;"'!$E$10:$E$44"),INDIRECT("'"&amp;N$4&amp;"'!$A$10:$A$44"))," ")</f>
        <v/>
      </c>
      <c r="O28" s="30">
        <f t="array" ref="O28">_xlfn.IFNA(_xlfn.XLOOKUP($A28,INDIRECT("'"&amp;O$4&amp;"'!$E$10:$E$44"),INDIRECT("'"&amp;O$4&amp;"'!$A$10:$A$44"))," ")</f>
        <v/>
      </c>
      <c r="P28" s="30">
        <f t="array" ref="P28">_xlfn.IFNA(_xlfn.XLOOKUP($A28,INDIRECT("'"&amp;P$4&amp;"'!$E$10:$E$44"),INDIRECT("'"&amp;P$4&amp;"'!$A$10:$A$44"))," ")</f>
        <v/>
      </c>
      <c r="Q28" s="30">
        <f t="array" ref="Q28">_xlfn.IFNA(_xlfn.XLOOKUP($A28,INDIRECT("'"&amp;Q$4&amp;"'!$E$10:$E$44"),INDIRECT("'"&amp;Q$4&amp;"'!$A$10:$A$44"))," ")</f>
        <v/>
      </c>
      <c r="R28" s="30">
        <f t="array" ref="R28">_xlfn.IFNA(_xlfn.XLOOKUP($A28,INDIRECT("'"&amp;R$4&amp;"'!$E$10:$E$44"),INDIRECT("'"&amp;R$4&amp;"'!$A$10:$A$44"))," ")</f>
        <v/>
      </c>
      <c r="S28" s="30">
        <f t="array" ref="S28">_xlfn.IFNA(_xlfn.XLOOKUP($A28,INDIRECT("'"&amp;S$4&amp;"'!$E$10:$E$44"),INDIRECT("'"&amp;S$4&amp;"'!$A$10:$A$44"))," ")</f>
        <v/>
      </c>
      <c r="T28" s="30">
        <f>SUM(Table5[[#This Row],[Week 1]:[Week 18]])</f>
        <v/>
      </c>
      <c r="U28" s="30">
        <f>SUM(B28:S28)-40</f>
        <v/>
      </c>
      <c r="V28" s="30">
        <f>IFERROR(SUM(B28:S28)/COUNT(B28:S28),0)</f>
        <v/>
      </c>
      <c r="W28" s="30">
        <f>IFERROR(MAX(B28:S28),0)</f>
        <v/>
      </c>
    </row>
    <row r="29">
      <c r="A29" s="21" t="inlineStr">
        <is>
          <t>Ryan S</t>
        </is>
      </c>
      <c r="B29" s="30">
        <f t="array" ref="B29">_xlfn.IFNA(_xlfn.XLOOKUP($A29,INDIRECT("'"&amp;B$4&amp;"'!$E$10:$E$44"),INDIRECT("'"&amp;B$4&amp;"'!$A$10:$A$44"))," ")</f>
        <v/>
      </c>
      <c r="C29" s="30">
        <f t="array" ref="C29">_xlfn.IFNA(_xlfn.XLOOKUP($A29,INDIRECT("'"&amp;C$4&amp;"'!$E$10:$E$44"),INDIRECT("'"&amp;C$4&amp;"'!$A$10:$A$44"))," ")</f>
        <v/>
      </c>
      <c r="D29" s="30">
        <f t="array" ref="D29">_xlfn.IFNA(_xlfn.XLOOKUP($A29,INDIRECT("'"&amp;D$4&amp;"'!$E$10:$E$44"),INDIRECT("'"&amp;D$4&amp;"'!$A$10:$A$44"))," ")</f>
        <v/>
      </c>
      <c r="E29" s="30">
        <f t="array" ref="E29">_xlfn.IFNA(_xlfn.XLOOKUP($A29,INDIRECT("'"&amp;E$4&amp;"'!$E$10:$E$44"),INDIRECT("'"&amp;E$4&amp;"'!$A$10:$A$44"))," ")</f>
        <v/>
      </c>
      <c r="F29" s="30">
        <f t="array" ref="F29">_xlfn.IFNA(_xlfn.XLOOKUP($A29,INDIRECT("'"&amp;F$4&amp;"'!$E$10:$E$44"),INDIRECT("'"&amp;F$4&amp;"'!$A$10:$A$44"))," ")</f>
        <v/>
      </c>
      <c r="G29" s="30">
        <f t="array" ref="G29">_xlfn.IFNA(_xlfn.XLOOKUP($A29,INDIRECT("'"&amp;G$4&amp;"'!$E$10:$E$44"),INDIRECT("'"&amp;G$4&amp;"'!$A$10:$A$44"))," ")</f>
        <v/>
      </c>
      <c r="H29" s="30">
        <f t="array" ref="H29">_xlfn.IFNA(_xlfn.XLOOKUP($A29,INDIRECT("'"&amp;H$4&amp;"'!$E$10:$E$44"),INDIRECT("'"&amp;H$4&amp;"'!$A$10:$A$44"))," ")</f>
        <v/>
      </c>
      <c r="I29" s="30">
        <f t="array" ref="I29">_xlfn.IFNA(_xlfn.XLOOKUP($A29,INDIRECT("'"&amp;I$4&amp;"'!$E$10:$E$44"),INDIRECT("'"&amp;I$4&amp;"'!$A$10:$A$44"))," ")</f>
        <v/>
      </c>
      <c r="J29" s="30">
        <f t="array" ref="J29">_xlfn.IFNA(_xlfn.XLOOKUP($A29,INDIRECT("'"&amp;J$4&amp;"'!$E$10:$E$44"),INDIRECT("'"&amp;J$4&amp;"'!$A$10:$A$44"))," ")</f>
        <v/>
      </c>
      <c r="K29" s="30">
        <f t="array" ref="K29">_xlfn.IFNA(_xlfn.XLOOKUP($A29,INDIRECT("'"&amp;K$4&amp;"'!$E$10:$E$44"),INDIRECT("'"&amp;K$4&amp;"'!$A$10:$A$44"))," ")</f>
        <v/>
      </c>
      <c r="L29" s="30">
        <f t="array" ref="L29">_xlfn.IFNA(_xlfn.XLOOKUP($A29,INDIRECT("'"&amp;L$4&amp;"'!$E$10:$E$44"),INDIRECT("'"&amp;L$4&amp;"'!$A$10:$A$44"))," ")</f>
        <v/>
      </c>
      <c r="M29" s="30">
        <f t="array" ref="M29">_xlfn.IFNA(_xlfn.XLOOKUP($A29,INDIRECT("'"&amp;M$4&amp;"'!$E$10:$E$44"),INDIRECT("'"&amp;M$4&amp;"'!$A$10:$A$44"))," ")</f>
        <v/>
      </c>
      <c r="N29" s="30">
        <f t="array" ref="N29">_xlfn.IFNA(_xlfn.XLOOKUP($A29,INDIRECT("'"&amp;N$4&amp;"'!$E$10:$E$44"),INDIRECT("'"&amp;N$4&amp;"'!$A$10:$A$44"))," ")</f>
        <v/>
      </c>
      <c r="O29" s="30">
        <f t="array" ref="O29">_xlfn.IFNA(_xlfn.XLOOKUP($A29,INDIRECT("'"&amp;O$4&amp;"'!$E$10:$E$44"),INDIRECT("'"&amp;O$4&amp;"'!$A$10:$A$44"))," ")</f>
        <v/>
      </c>
      <c r="P29" s="30">
        <f t="array" ref="P29">_xlfn.IFNA(_xlfn.XLOOKUP($A29,INDIRECT("'"&amp;P$4&amp;"'!$E$10:$E$44"),INDIRECT("'"&amp;P$4&amp;"'!$A$10:$A$44"))," ")</f>
        <v/>
      </c>
      <c r="Q29" s="30">
        <f t="array" ref="Q29">_xlfn.IFNA(_xlfn.XLOOKUP($A29,INDIRECT("'"&amp;Q$4&amp;"'!$E$10:$E$44"),INDIRECT("'"&amp;Q$4&amp;"'!$A$10:$A$44"))," ")</f>
        <v/>
      </c>
      <c r="R29" s="30">
        <f t="array" ref="R29">_xlfn.IFNA(_xlfn.XLOOKUP($A29,INDIRECT("'"&amp;R$4&amp;"'!$E$10:$E$44"),INDIRECT("'"&amp;R$4&amp;"'!$A$10:$A$44"))," ")</f>
        <v/>
      </c>
      <c r="S29" s="30">
        <f t="array" ref="S29">_xlfn.IFNA(_xlfn.XLOOKUP($A29,INDIRECT("'"&amp;S$4&amp;"'!$E$10:$E$44"),INDIRECT("'"&amp;S$4&amp;"'!$A$10:$A$44"))," ")</f>
        <v/>
      </c>
      <c r="T29" s="30">
        <f>SUM(Table5[[#This Row],[Week 1]:[Week 18]])</f>
        <v/>
      </c>
      <c r="U29" s="30">
        <f>SUM(B29:S29)-40</f>
        <v/>
      </c>
      <c r="V29" s="30">
        <f>IFERROR(SUM(B29:S29)/COUNT(B29:S29),0)</f>
        <v/>
      </c>
      <c r="W29" s="30">
        <f>IFERROR(MAX(B29:S29),0)</f>
        <v/>
      </c>
    </row>
    <row r="30">
      <c r="A30" s="21" t="inlineStr">
        <is>
          <t>SaleeNmd</t>
        </is>
      </c>
      <c r="B30" s="30">
        <f t="array" ref="B30">_xlfn.IFNA(_xlfn.XLOOKUP($A30,INDIRECT("'"&amp;B$4&amp;"'!$E$10:$E$44"),INDIRECT("'"&amp;B$4&amp;"'!$A$10:$A$44"))," ")</f>
        <v/>
      </c>
      <c r="C30" s="30">
        <f t="array" ref="C30">_xlfn.IFNA(_xlfn.XLOOKUP($A30,INDIRECT("'"&amp;C$4&amp;"'!$E$10:$E$44"),INDIRECT("'"&amp;C$4&amp;"'!$A$10:$A$44"))," ")</f>
        <v/>
      </c>
      <c r="D30" s="30">
        <f t="array" ref="D30">_xlfn.IFNA(_xlfn.XLOOKUP($A30,INDIRECT("'"&amp;D$4&amp;"'!$E$10:$E$44"),INDIRECT("'"&amp;D$4&amp;"'!$A$10:$A$44"))," ")</f>
        <v/>
      </c>
      <c r="E30" s="30">
        <f t="array" ref="E30">_xlfn.IFNA(_xlfn.XLOOKUP($A30,INDIRECT("'"&amp;E$4&amp;"'!$E$10:$E$44"),INDIRECT("'"&amp;E$4&amp;"'!$A$10:$A$44"))," ")</f>
        <v/>
      </c>
      <c r="F30" s="30">
        <f t="array" ref="F30">_xlfn.IFNA(_xlfn.XLOOKUP($A30,INDIRECT("'"&amp;F$4&amp;"'!$E$10:$E$44"),INDIRECT("'"&amp;F$4&amp;"'!$A$10:$A$44"))," ")</f>
        <v/>
      </c>
      <c r="G30" s="30">
        <f t="array" ref="G30">_xlfn.IFNA(_xlfn.XLOOKUP($A30,INDIRECT("'"&amp;G$4&amp;"'!$E$10:$E$44"),INDIRECT("'"&amp;G$4&amp;"'!$A$10:$A$44"))," ")</f>
        <v/>
      </c>
      <c r="H30" s="30">
        <f t="array" ref="H30">_xlfn.IFNA(_xlfn.XLOOKUP($A30,INDIRECT("'"&amp;H$4&amp;"'!$E$10:$E$44"),INDIRECT("'"&amp;H$4&amp;"'!$A$10:$A$44"))," ")</f>
        <v/>
      </c>
      <c r="I30" s="30">
        <f t="array" ref="I30">_xlfn.IFNA(_xlfn.XLOOKUP($A30,INDIRECT("'"&amp;I$4&amp;"'!$E$10:$E$44"),INDIRECT("'"&amp;I$4&amp;"'!$A$10:$A$44"))," ")</f>
        <v/>
      </c>
      <c r="J30" s="30">
        <f t="array" ref="J30">_xlfn.IFNA(_xlfn.XLOOKUP($A30,INDIRECT("'"&amp;J$4&amp;"'!$E$10:$E$44"),INDIRECT("'"&amp;J$4&amp;"'!$A$10:$A$44"))," ")</f>
        <v/>
      </c>
      <c r="K30" s="30">
        <f t="array" ref="K30">_xlfn.IFNA(_xlfn.XLOOKUP($A30,INDIRECT("'"&amp;K$4&amp;"'!$E$10:$E$44"),INDIRECT("'"&amp;K$4&amp;"'!$A$10:$A$44"))," ")</f>
        <v/>
      </c>
      <c r="L30" s="30">
        <f t="array" ref="L30">_xlfn.IFNA(_xlfn.XLOOKUP($A30,INDIRECT("'"&amp;L$4&amp;"'!$E$10:$E$44"),INDIRECT("'"&amp;L$4&amp;"'!$A$10:$A$44"))," ")</f>
        <v/>
      </c>
      <c r="M30" s="30">
        <f t="array" ref="M30">_xlfn.IFNA(_xlfn.XLOOKUP($A30,INDIRECT("'"&amp;M$4&amp;"'!$E$10:$E$44"),INDIRECT("'"&amp;M$4&amp;"'!$A$10:$A$44"))," ")</f>
        <v/>
      </c>
      <c r="N30" s="30">
        <f t="array" ref="N30">_xlfn.IFNA(_xlfn.XLOOKUP($A30,INDIRECT("'"&amp;N$4&amp;"'!$E$10:$E$44"),INDIRECT("'"&amp;N$4&amp;"'!$A$10:$A$44"))," ")</f>
        <v/>
      </c>
      <c r="O30" s="30">
        <f t="array" ref="O30">_xlfn.IFNA(_xlfn.XLOOKUP($A30,INDIRECT("'"&amp;O$4&amp;"'!$E$10:$E$44"),INDIRECT("'"&amp;O$4&amp;"'!$A$10:$A$44"))," ")</f>
        <v/>
      </c>
      <c r="P30" s="30">
        <f t="array" ref="P30">_xlfn.IFNA(_xlfn.XLOOKUP($A30,INDIRECT("'"&amp;P$4&amp;"'!$E$10:$E$44"),INDIRECT("'"&amp;P$4&amp;"'!$A$10:$A$44"))," ")</f>
        <v/>
      </c>
      <c r="Q30" s="30">
        <f t="array" ref="Q30">_xlfn.IFNA(_xlfn.XLOOKUP($A30,INDIRECT("'"&amp;Q$4&amp;"'!$E$10:$E$44"),INDIRECT("'"&amp;Q$4&amp;"'!$A$10:$A$44"))," ")</f>
        <v/>
      </c>
      <c r="R30" s="30">
        <f t="array" ref="R30">_xlfn.IFNA(_xlfn.XLOOKUP($A30,INDIRECT("'"&amp;R$4&amp;"'!$E$10:$E$44"),INDIRECT("'"&amp;R$4&amp;"'!$A$10:$A$44"))," ")</f>
        <v/>
      </c>
      <c r="S30" s="30">
        <f t="array" ref="S30">_xlfn.IFNA(_xlfn.XLOOKUP($A30,INDIRECT("'"&amp;S$4&amp;"'!$E$10:$E$44"),INDIRECT("'"&amp;S$4&amp;"'!$A$10:$A$44"))," ")</f>
        <v/>
      </c>
      <c r="T30" s="30">
        <f>SUM(Table5[[#This Row],[Week 1]:[Week 18]])</f>
        <v/>
      </c>
      <c r="U30" s="30">
        <f>SUM(B30:S30)-40</f>
        <v/>
      </c>
      <c r="V30" s="30">
        <f>IFERROR(SUM(B30:S30)/COUNT(B30:S30),0)</f>
        <v/>
      </c>
      <c r="W30" s="30">
        <f>IFERROR(MAX(B30:S30),0)</f>
        <v/>
      </c>
    </row>
    <row r="31">
      <c r="A31" s="21" t="inlineStr">
        <is>
          <t>Samsaunt</t>
        </is>
      </c>
      <c r="B31" s="30">
        <f t="array" ref="B31">_xlfn.IFNA(_xlfn.XLOOKUP($A31,INDIRECT("'"&amp;B$4&amp;"'!$E$10:$E$44"),INDIRECT("'"&amp;B$4&amp;"'!$A$10:$A$44"))," ")</f>
        <v/>
      </c>
      <c r="C31" s="30">
        <f t="array" ref="C31">_xlfn.IFNA(_xlfn.XLOOKUP($A31,INDIRECT("'"&amp;C$4&amp;"'!$E$10:$E$44"),INDIRECT("'"&amp;C$4&amp;"'!$A$10:$A$44"))," ")</f>
        <v/>
      </c>
      <c r="D31" s="30">
        <f t="array" ref="D31">_xlfn.IFNA(_xlfn.XLOOKUP($A31,INDIRECT("'"&amp;D$4&amp;"'!$E$10:$E$44"),INDIRECT("'"&amp;D$4&amp;"'!$A$10:$A$44"))," ")</f>
        <v/>
      </c>
      <c r="E31" s="30">
        <f t="array" ref="E31">_xlfn.IFNA(_xlfn.XLOOKUP($A31,INDIRECT("'"&amp;E$4&amp;"'!$E$10:$E$44"),INDIRECT("'"&amp;E$4&amp;"'!$A$10:$A$44"))," ")</f>
        <v/>
      </c>
      <c r="F31" s="30">
        <f t="array" ref="F31">_xlfn.IFNA(_xlfn.XLOOKUP($A31,INDIRECT("'"&amp;F$4&amp;"'!$E$10:$E$44"),INDIRECT("'"&amp;F$4&amp;"'!$A$10:$A$44"))," ")</f>
        <v/>
      </c>
      <c r="G31" s="30">
        <f t="array" ref="G31">_xlfn.IFNA(_xlfn.XLOOKUP($A31,INDIRECT("'"&amp;G$4&amp;"'!$E$10:$E$44"),INDIRECT("'"&amp;G$4&amp;"'!$A$10:$A$44"))," ")</f>
        <v/>
      </c>
      <c r="H31" s="30">
        <f t="array" ref="H31">_xlfn.IFNA(_xlfn.XLOOKUP($A31,INDIRECT("'"&amp;H$4&amp;"'!$E$10:$E$44"),INDIRECT("'"&amp;H$4&amp;"'!$A$10:$A$44"))," ")</f>
        <v/>
      </c>
      <c r="I31" s="30">
        <f t="array" ref="I31">_xlfn.IFNA(_xlfn.XLOOKUP($A31,INDIRECT("'"&amp;I$4&amp;"'!$E$10:$E$44"),INDIRECT("'"&amp;I$4&amp;"'!$A$10:$A$44"))," ")</f>
        <v/>
      </c>
      <c r="J31" s="30">
        <f t="array" ref="J31">_xlfn.IFNA(_xlfn.XLOOKUP($A31,INDIRECT("'"&amp;J$4&amp;"'!$E$10:$E$44"),INDIRECT("'"&amp;J$4&amp;"'!$A$10:$A$44"))," ")</f>
        <v/>
      </c>
      <c r="K31" s="30">
        <f t="array" ref="K31">_xlfn.IFNA(_xlfn.XLOOKUP($A31,INDIRECT("'"&amp;K$4&amp;"'!$E$10:$E$44"),INDIRECT("'"&amp;K$4&amp;"'!$A$10:$A$44"))," ")</f>
        <v/>
      </c>
      <c r="L31" s="30">
        <f t="array" ref="L31">_xlfn.IFNA(_xlfn.XLOOKUP($A31,INDIRECT("'"&amp;L$4&amp;"'!$E$10:$E$44"),INDIRECT("'"&amp;L$4&amp;"'!$A$10:$A$44"))," ")</f>
        <v/>
      </c>
      <c r="M31" s="30">
        <f t="array" ref="M31">_xlfn.IFNA(_xlfn.XLOOKUP($A31,INDIRECT("'"&amp;M$4&amp;"'!$E$10:$E$44"),INDIRECT("'"&amp;M$4&amp;"'!$A$10:$A$44"))," ")</f>
        <v/>
      </c>
      <c r="N31" s="30">
        <f t="array" ref="N31">_xlfn.IFNA(_xlfn.XLOOKUP($A31,INDIRECT("'"&amp;N$4&amp;"'!$E$10:$E$44"),INDIRECT("'"&amp;N$4&amp;"'!$A$10:$A$44"))," ")</f>
        <v/>
      </c>
      <c r="O31" s="30">
        <f t="array" ref="O31">_xlfn.IFNA(_xlfn.XLOOKUP($A31,INDIRECT("'"&amp;O$4&amp;"'!$E$10:$E$44"),INDIRECT("'"&amp;O$4&amp;"'!$A$10:$A$44"))," ")</f>
        <v/>
      </c>
      <c r="P31" s="30">
        <f t="array" ref="P31">_xlfn.IFNA(_xlfn.XLOOKUP($A31,INDIRECT("'"&amp;P$4&amp;"'!$E$10:$E$44"),INDIRECT("'"&amp;P$4&amp;"'!$A$10:$A$44"))," ")</f>
        <v/>
      </c>
      <c r="Q31" s="30">
        <f t="array" ref="Q31">_xlfn.IFNA(_xlfn.XLOOKUP($A31,INDIRECT("'"&amp;Q$4&amp;"'!$E$10:$E$44"),INDIRECT("'"&amp;Q$4&amp;"'!$A$10:$A$44"))," ")</f>
        <v/>
      </c>
      <c r="R31" s="30">
        <f t="array" ref="R31">_xlfn.IFNA(_xlfn.XLOOKUP($A31,INDIRECT("'"&amp;R$4&amp;"'!$E$10:$E$44"),INDIRECT("'"&amp;R$4&amp;"'!$A$10:$A$44"))," ")</f>
        <v/>
      </c>
      <c r="S31" s="30">
        <f t="array" ref="S31">_xlfn.IFNA(_xlfn.XLOOKUP($A31,INDIRECT("'"&amp;S$4&amp;"'!$E$10:$E$44"),INDIRECT("'"&amp;S$4&amp;"'!$A$10:$A$44"))," ")</f>
        <v/>
      </c>
      <c r="T31" s="30">
        <f>SUM(Table5[[#This Row],[Week 1]:[Week 18]])</f>
        <v/>
      </c>
      <c r="U31" s="30">
        <f>SUM(B31:S31)-40</f>
        <v/>
      </c>
      <c r="V31" s="30">
        <f>IFERROR(SUM(B31:S31)/COUNT(B31:S31),0)</f>
        <v/>
      </c>
      <c r="W31" s="30">
        <f>IFERROR(MAX(B31:S31),0)</f>
        <v/>
      </c>
    </row>
    <row r="32">
      <c r="A32" s="21" t="inlineStr">
        <is>
          <t>Sista Sledge</t>
        </is>
      </c>
      <c r="B32" s="30">
        <f t="array" ref="B32">_xlfn.IFNA(_xlfn.XLOOKUP($A32,INDIRECT("'"&amp;B$4&amp;"'!$E$10:$E$44"),INDIRECT("'"&amp;B$4&amp;"'!$A$10:$A$44"))," ")</f>
        <v/>
      </c>
      <c r="C32" s="30">
        <f t="array" ref="C32">_xlfn.IFNA(_xlfn.XLOOKUP($A32,INDIRECT("'"&amp;C$4&amp;"'!$E$10:$E$44"),INDIRECT("'"&amp;C$4&amp;"'!$A$10:$A$44"))," ")</f>
        <v/>
      </c>
      <c r="D32" s="30">
        <f t="array" ref="D32">_xlfn.IFNA(_xlfn.XLOOKUP($A32,INDIRECT("'"&amp;D$4&amp;"'!$E$10:$E$44"),INDIRECT("'"&amp;D$4&amp;"'!$A$10:$A$44"))," ")</f>
        <v/>
      </c>
      <c r="E32" s="30">
        <f t="array" ref="E32">_xlfn.IFNA(_xlfn.XLOOKUP($A32,INDIRECT("'"&amp;E$4&amp;"'!$E$10:$E$44"),INDIRECT("'"&amp;E$4&amp;"'!$A$10:$A$44"))," ")</f>
        <v/>
      </c>
      <c r="F32" s="30">
        <f t="array" ref="F32">_xlfn.IFNA(_xlfn.XLOOKUP($A32,INDIRECT("'"&amp;F$4&amp;"'!$E$10:$E$44"),INDIRECT("'"&amp;F$4&amp;"'!$A$10:$A$44"))," ")</f>
        <v/>
      </c>
      <c r="G32" s="30">
        <f t="array" ref="G32">_xlfn.IFNA(_xlfn.XLOOKUP($A32,INDIRECT("'"&amp;G$4&amp;"'!$E$10:$E$44"),INDIRECT("'"&amp;G$4&amp;"'!$A$10:$A$44"))," ")</f>
        <v/>
      </c>
      <c r="H32" s="30">
        <f t="array" ref="H32">_xlfn.IFNA(_xlfn.XLOOKUP($A32,INDIRECT("'"&amp;H$4&amp;"'!$E$10:$E$44"),INDIRECT("'"&amp;H$4&amp;"'!$A$10:$A$44"))," ")</f>
        <v/>
      </c>
      <c r="I32" s="30">
        <f t="array" ref="I32">_xlfn.IFNA(_xlfn.XLOOKUP($A32,INDIRECT("'"&amp;I$4&amp;"'!$E$10:$E$44"),INDIRECT("'"&amp;I$4&amp;"'!$A$10:$A$44"))," ")</f>
        <v/>
      </c>
      <c r="J32" s="30">
        <f t="array" ref="J32">_xlfn.IFNA(_xlfn.XLOOKUP($A32,INDIRECT("'"&amp;J$4&amp;"'!$E$10:$E$44"),INDIRECT("'"&amp;J$4&amp;"'!$A$10:$A$44"))," ")</f>
        <v/>
      </c>
      <c r="K32" s="30">
        <f t="array" ref="K32">_xlfn.IFNA(_xlfn.XLOOKUP($A32,INDIRECT("'"&amp;K$4&amp;"'!$E$10:$E$44"),INDIRECT("'"&amp;K$4&amp;"'!$A$10:$A$44"))," ")</f>
        <v/>
      </c>
      <c r="L32" s="30">
        <f t="array" ref="L32">_xlfn.IFNA(_xlfn.XLOOKUP($A32,INDIRECT("'"&amp;L$4&amp;"'!$E$10:$E$44"),INDIRECT("'"&amp;L$4&amp;"'!$A$10:$A$44"))," ")</f>
        <v/>
      </c>
      <c r="M32" s="30">
        <f t="array" ref="M32">_xlfn.IFNA(_xlfn.XLOOKUP($A32,INDIRECT("'"&amp;M$4&amp;"'!$E$10:$E$44"),INDIRECT("'"&amp;M$4&amp;"'!$A$10:$A$44"))," ")</f>
        <v/>
      </c>
      <c r="N32" s="30">
        <f t="array" ref="N32">_xlfn.IFNA(_xlfn.XLOOKUP($A32,INDIRECT("'"&amp;N$4&amp;"'!$E$10:$E$44"),INDIRECT("'"&amp;N$4&amp;"'!$A$10:$A$44"))," ")</f>
        <v/>
      </c>
      <c r="O32" s="30">
        <f t="array" ref="O32">_xlfn.IFNA(_xlfn.XLOOKUP($A32,INDIRECT("'"&amp;O$4&amp;"'!$E$10:$E$44"),INDIRECT("'"&amp;O$4&amp;"'!$A$10:$A$44"))," ")</f>
        <v/>
      </c>
      <c r="P32" s="30">
        <f t="array" ref="P32">_xlfn.IFNA(_xlfn.XLOOKUP($A32,INDIRECT("'"&amp;P$4&amp;"'!$E$10:$E$44"),INDIRECT("'"&amp;P$4&amp;"'!$A$10:$A$44"))," ")</f>
        <v/>
      </c>
      <c r="Q32" s="30">
        <f t="array" ref="Q32">_xlfn.IFNA(_xlfn.XLOOKUP($A32,INDIRECT("'"&amp;Q$4&amp;"'!$E$10:$E$44"),INDIRECT("'"&amp;Q$4&amp;"'!$A$10:$A$44"))," ")</f>
        <v/>
      </c>
      <c r="R32" s="30">
        <f t="array" ref="R32">_xlfn.IFNA(_xlfn.XLOOKUP($A32,INDIRECT("'"&amp;R$4&amp;"'!$E$10:$E$44"),INDIRECT("'"&amp;R$4&amp;"'!$A$10:$A$44"))," ")</f>
        <v/>
      </c>
      <c r="S32" s="30">
        <f t="array" ref="S32">_xlfn.IFNA(_xlfn.XLOOKUP($A32,INDIRECT("'"&amp;S$4&amp;"'!$E$10:$E$44"),INDIRECT("'"&amp;S$4&amp;"'!$A$10:$A$44"))," ")</f>
        <v/>
      </c>
      <c r="T32" s="30">
        <f>SUM(Table5[[#This Row],[Week 1]:[Week 18]])</f>
        <v/>
      </c>
      <c r="U32" s="30">
        <f>SUM(B32:S32)-40</f>
        <v/>
      </c>
      <c r="V32" s="30">
        <f>IFERROR(SUM(B32:S32)/COUNT(B32:S32),0)</f>
        <v/>
      </c>
      <c r="W32" s="30">
        <f>IFERROR(MAX(B32:S32),0)</f>
        <v/>
      </c>
    </row>
    <row r="33">
      <c r="A33" s="21" t="inlineStr">
        <is>
          <t>Stan</t>
        </is>
      </c>
      <c r="B33" s="30">
        <f t="array" ref="B33">_xlfn.IFNA(_xlfn.XLOOKUP($A33,INDIRECT("'"&amp;B$4&amp;"'!$E$10:$E$44"),INDIRECT("'"&amp;B$4&amp;"'!$A$10:$A$44"))," ")</f>
        <v/>
      </c>
      <c r="C33" s="30">
        <f t="array" ref="C33">_xlfn.IFNA(_xlfn.XLOOKUP($A33,INDIRECT("'"&amp;C$4&amp;"'!$E$10:$E$44"),INDIRECT("'"&amp;C$4&amp;"'!$A$10:$A$44"))," ")</f>
        <v/>
      </c>
      <c r="D33" s="30">
        <f t="array" ref="D33">_xlfn.IFNA(_xlfn.XLOOKUP($A33,INDIRECT("'"&amp;D$4&amp;"'!$E$10:$E$44"),INDIRECT("'"&amp;D$4&amp;"'!$A$10:$A$44"))," ")</f>
        <v/>
      </c>
      <c r="E33" s="30">
        <f t="array" ref="E33">_xlfn.IFNA(_xlfn.XLOOKUP($A33,INDIRECT("'"&amp;E$4&amp;"'!$E$10:$E$44"),INDIRECT("'"&amp;E$4&amp;"'!$A$10:$A$44"))," ")</f>
        <v/>
      </c>
      <c r="F33" s="30">
        <f t="array" ref="F33">_xlfn.IFNA(_xlfn.XLOOKUP($A33,INDIRECT("'"&amp;F$4&amp;"'!$E$10:$E$44"),INDIRECT("'"&amp;F$4&amp;"'!$A$10:$A$44"))," ")</f>
        <v/>
      </c>
      <c r="G33" s="30">
        <f t="array" ref="G33">_xlfn.IFNA(_xlfn.XLOOKUP($A33,INDIRECT("'"&amp;G$4&amp;"'!$E$10:$E$44"),INDIRECT("'"&amp;G$4&amp;"'!$A$10:$A$44"))," ")</f>
        <v/>
      </c>
      <c r="H33" s="30">
        <f t="array" ref="H33">_xlfn.IFNA(_xlfn.XLOOKUP($A33,INDIRECT("'"&amp;H$4&amp;"'!$E$10:$E$44"),INDIRECT("'"&amp;H$4&amp;"'!$A$10:$A$44"))," ")</f>
        <v/>
      </c>
      <c r="I33" s="30">
        <f t="array" ref="I33">_xlfn.IFNA(_xlfn.XLOOKUP($A33,INDIRECT("'"&amp;I$4&amp;"'!$E$10:$E$44"),INDIRECT("'"&amp;I$4&amp;"'!$A$10:$A$44"))," ")</f>
        <v/>
      </c>
      <c r="J33" s="30">
        <f t="array" ref="J33">_xlfn.IFNA(_xlfn.XLOOKUP($A33,INDIRECT("'"&amp;J$4&amp;"'!$E$10:$E$44"),INDIRECT("'"&amp;J$4&amp;"'!$A$10:$A$44"))," ")</f>
        <v/>
      </c>
      <c r="K33" s="30">
        <f t="array" ref="K33">_xlfn.IFNA(_xlfn.XLOOKUP($A33,INDIRECT("'"&amp;K$4&amp;"'!$E$10:$E$44"),INDIRECT("'"&amp;K$4&amp;"'!$A$10:$A$44"))," ")</f>
        <v/>
      </c>
      <c r="L33" s="30">
        <f t="array" ref="L33">_xlfn.IFNA(_xlfn.XLOOKUP($A33,INDIRECT("'"&amp;L$4&amp;"'!$E$10:$E$44"),INDIRECT("'"&amp;L$4&amp;"'!$A$10:$A$44"))," ")</f>
        <v/>
      </c>
      <c r="M33" s="30">
        <f t="array" ref="M33">_xlfn.IFNA(_xlfn.XLOOKUP($A33,INDIRECT("'"&amp;M$4&amp;"'!$E$10:$E$44"),INDIRECT("'"&amp;M$4&amp;"'!$A$10:$A$44"))," ")</f>
        <v/>
      </c>
      <c r="N33" s="30">
        <f t="array" ref="N33">_xlfn.IFNA(_xlfn.XLOOKUP($A33,INDIRECT("'"&amp;N$4&amp;"'!$E$10:$E$44"),INDIRECT("'"&amp;N$4&amp;"'!$A$10:$A$44"))," ")</f>
        <v/>
      </c>
      <c r="O33" s="30">
        <f t="array" ref="O33">_xlfn.IFNA(_xlfn.XLOOKUP($A33,INDIRECT("'"&amp;O$4&amp;"'!$E$10:$E$44"),INDIRECT("'"&amp;O$4&amp;"'!$A$10:$A$44"))," ")</f>
        <v/>
      </c>
      <c r="P33" s="30">
        <f t="array" ref="P33">_xlfn.IFNA(_xlfn.XLOOKUP($A33,INDIRECT("'"&amp;P$4&amp;"'!$E$10:$E$44"),INDIRECT("'"&amp;P$4&amp;"'!$A$10:$A$44"))," ")</f>
        <v/>
      </c>
      <c r="Q33" s="30">
        <f t="array" ref="Q33">_xlfn.IFNA(_xlfn.XLOOKUP($A33,INDIRECT("'"&amp;Q$4&amp;"'!$E$10:$E$44"),INDIRECT("'"&amp;Q$4&amp;"'!$A$10:$A$44"))," ")</f>
        <v/>
      </c>
      <c r="R33" s="30">
        <f t="array" ref="R33">_xlfn.IFNA(_xlfn.XLOOKUP($A33,INDIRECT("'"&amp;R$4&amp;"'!$E$10:$E$44"),INDIRECT("'"&amp;R$4&amp;"'!$A$10:$A$44"))," ")</f>
        <v/>
      </c>
      <c r="S33" s="30">
        <f t="array" ref="S33">_xlfn.IFNA(_xlfn.XLOOKUP($A33,INDIRECT("'"&amp;S$4&amp;"'!$E$10:$E$44"),INDIRECT("'"&amp;S$4&amp;"'!$A$10:$A$44"))," ")</f>
        <v/>
      </c>
      <c r="T33" s="30">
        <f>SUM(Table5[[#This Row],[Week 1]:[Week 18]])</f>
        <v/>
      </c>
      <c r="U33" s="30">
        <f>SUM(B33:S33)-40</f>
        <v/>
      </c>
      <c r="V33" s="30">
        <f>IFERROR(SUM(B33:S33)/COUNT(B33:S33),0)</f>
        <v/>
      </c>
      <c r="W33" s="30">
        <f>IFERROR(MAX(B33:S33),0)</f>
        <v/>
      </c>
    </row>
    <row r="34">
      <c r="A34" s="21" t="inlineStr">
        <is>
          <t>tb</t>
        </is>
      </c>
      <c r="B34" s="30">
        <f t="array" ref="B34">_xlfn.IFNA(_xlfn.XLOOKUP($A34,INDIRECT("'"&amp;B$4&amp;"'!$E$10:$E$44"),INDIRECT("'"&amp;B$4&amp;"'!$A$10:$A$44"))," ")</f>
        <v/>
      </c>
      <c r="C34" s="30">
        <f t="array" ref="C34">_xlfn.IFNA(_xlfn.XLOOKUP($A34,INDIRECT("'"&amp;C$4&amp;"'!$E$10:$E$44"),INDIRECT("'"&amp;C$4&amp;"'!$A$10:$A$44"))," ")</f>
        <v/>
      </c>
      <c r="D34" s="30">
        <f t="array" ref="D34">_xlfn.IFNA(_xlfn.XLOOKUP($A34,INDIRECT("'"&amp;D$4&amp;"'!$E$10:$E$44"),INDIRECT("'"&amp;D$4&amp;"'!$A$10:$A$44"))," ")</f>
        <v/>
      </c>
      <c r="E34" s="30">
        <f t="array" ref="E34">_xlfn.IFNA(_xlfn.XLOOKUP($A34,INDIRECT("'"&amp;E$4&amp;"'!$E$10:$E$44"),INDIRECT("'"&amp;E$4&amp;"'!$A$10:$A$44"))," ")</f>
        <v/>
      </c>
      <c r="F34" s="30">
        <f t="array" ref="F34">_xlfn.IFNA(_xlfn.XLOOKUP($A34,INDIRECT("'"&amp;F$4&amp;"'!$E$10:$E$44"),INDIRECT("'"&amp;F$4&amp;"'!$A$10:$A$44"))," ")</f>
        <v/>
      </c>
      <c r="G34" s="30">
        <f t="array" ref="G34">_xlfn.IFNA(_xlfn.XLOOKUP($A34,INDIRECT("'"&amp;G$4&amp;"'!$E$10:$E$44"),INDIRECT("'"&amp;G$4&amp;"'!$A$10:$A$44"))," ")</f>
        <v/>
      </c>
      <c r="H34" s="30">
        <f t="array" ref="H34">_xlfn.IFNA(_xlfn.XLOOKUP($A34,INDIRECT("'"&amp;H$4&amp;"'!$E$10:$E$44"),INDIRECT("'"&amp;H$4&amp;"'!$A$10:$A$44"))," ")</f>
        <v/>
      </c>
      <c r="I34" s="30">
        <f t="array" ref="I34">_xlfn.IFNA(_xlfn.XLOOKUP($A34,INDIRECT("'"&amp;I$4&amp;"'!$E$10:$E$44"),INDIRECT("'"&amp;I$4&amp;"'!$A$10:$A$44"))," ")</f>
        <v/>
      </c>
      <c r="J34" s="30">
        <f t="array" ref="J34">_xlfn.IFNA(_xlfn.XLOOKUP($A34,INDIRECT("'"&amp;J$4&amp;"'!$E$10:$E$44"),INDIRECT("'"&amp;J$4&amp;"'!$A$10:$A$44"))," ")</f>
        <v/>
      </c>
      <c r="K34" s="30">
        <f t="array" ref="K34">_xlfn.IFNA(_xlfn.XLOOKUP($A34,INDIRECT("'"&amp;K$4&amp;"'!$E$10:$E$44"),INDIRECT("'"&amp;K$4&amp;"'!$A$10:$A$44"))," ")</f>
        <v/>
      </c>
      <c r="L34" s="30">
        <f t="array" ref="L34">_xlfn.IFNA(_xlfn.XLOOKUP($A34,INDIRECT("'"&amp;L$4&amp;"'!$E$10:$E$44"),INDIRECT("'"&amp;L$4&amp;"'!$A$10:$A$44"))," ")</f>
        <v/>
      </c>
      <c r="M34" s="30">
        <f t="array" ref="M34">_xlfn.IFNA(_xlfn.XLOOKUP($A34,INDIRECT("'"&amp;M$4&amp;"'!$E$10:$E$44"),INDIRECT("'"&amp;M$4&amp;"'!$A$10:$A$44"))," ")</f>
        <v/>
      </c>
      <c r="N34" s="30">
        <f t="array" ref="N34">_xlfn.IFNA(_xlfn.XLOOKUP($A34,INDIRECT("'"&amp;N$4&amp;"'!$E$10:$E$44"),INDIRECT("'"&amp;N$4&amp;"'!$A$10:$A$44"))," ")</f>
        <v/>
      </c>
      <c r="O34" s="30">
        <f t="array" ref="O34">_xlfn.IFNA(_xlfn.XLOOKUP($A34,INDIRECT("'"&amp;O$4&amp;"'!$E$10:$E$44"),INDIRECT("'"&amp;O$4&amp;"'!$A$10:$A$44"))," ")</f>
        <v/>
      </c>
      <c r="P34" s="30">
        <f t="array" ref="P34">_xlfn.IFNA(_xlfn.XLOOKUP($A34,INDIRECT("'"&amp;P$4&amp;"'!$E$10:$E$44"),INDIRECT("'"&amp;P$4&amp;"'!$A$10:$A$44"))," ")</f>
        <v/>
      </c>
      <c r="Q34" s="30">
        <f t="array" ref="Q34">_xlfn.IFNA(_xlfn.XLOOKUP($A34,INDIRECT("'"&amp;Q$4&amp;"'!$E$10:$E$44"),INDIRECT("'"&amp;Q$4&amp;"'!$A$10:$A$44"))," ")</f>
        <v/>
      </c>
      <c r="R34" s="30">
        <f t="array" ref="R34">_xlfn.IFNA(_xlfn.XLOOKUP($A34,INDIRECT("'"&amp;R$4&amp;"'!$E$10:$E$44"),INDIRECT("'"&amp;R$4&amp;"'!$A$10:$A$44"))," ")</f>
        <v/>
      </c>
      <c r="S34" s="30">
        <f t="array" ref="S34">_xlfn.IFNA(_xlfn.XLOOKUP($A34,INDIRECT("'"&amp;S$4&amp;"'!$E$10:$E$44"),INDIRECT("'"&amp;S$4&amp;"'!$A$10:$A$44"))," ")</f>
        <v/>
      </c>
      <c r="T34" s="30">
        <f>SUM(Table5[[#This Row],[Week 1]:[Week 18]])</f>
        <v/>
      </c>
      <c r="U34" s="30">
        <f>SUM(B34:S34)-40</f>
        <v/>
      </c>
      <c r="V34" s="30">
        <f>IFERROR(SUM(B34:S34)/COUNT(B34:S34),0)</f>
        <v/>
      </c>
      <c r="W34" s="30">
        <f>IFERROR(MAX(B34:S34),0)</f>
        <v/>
      </c>
    </row>
    <row r="35">
      <c r="A35" s="21" t="inlineStr">
        <is>
          <t>The Dark Side</t>
        </is>
      </c>
      <c r="B35" s="30">
        <f t="array" ref="B35">_xlfn.IFNA(_xlfn.XLOOKUP($A35,INDIRECT("'"&amp;B$4&amp;"'!$E$10:$E$44"),INDIRECT("'"&amp;B$4&amp;"'!$A$10:$A$44"))," ")</f>
        <v/>
      </c>
      <c r="C35" s="30">
        <f t="array" ref="C35">_xlfn.IFNA(_xlfn.XLOOKUP($A35,INDIRECT("'"&amp;C$4&amp;"'!$E$10:$E$44"),INDIRECT("'"&amp;C$4&amp;"'!$A$10:$A$44"))," ")</f>
        <v/>
      </c>
      <c r="D35" s="30">
        <f t="array" ref="D35">_xlfn.IFNA(_xlfn.XLOOKUP($A35,INDIRECT("'"&amp;D$4&amp;"'!$E$10:$E$44"),INDIRECT("'"&amp;D$4&amp;"'!$A$10:$A$44"))," ")</f>
        <v/>
      </c>
      <c r="E35" s="30">
        <f t="array" ref="E35">_xlfn.IFNA(_xlfn.XLOOKUP($A35,INDIRECT("'"&amp;E$4&amp;"'!$E$10:$E$44"),INDIRECT("'"&amp;E$4&amp;"'!$A$10:$A$44"))," ")</f>
        <v/>
      </c>
      <c r="F35" s="30">
        <f t="array" ref="F35">_xlfn.IFNA(_xlfn.XLOOKUP($A35,INDIRECT("'"&amp;F$4&amp;"'!$E$10:$E$44"),INDIRECT("'"&amp;F$4&amp;"'!$A$10:$A$44"))," ")</f>
        <v/>
      </c>
      <c r="G35" s="30">
        <f t="array" ref="G35">_xlfn.IFNA(_xlfn.XLOOKUP($A35,INDIRECT("'"&amp;G$4&amp;"'!$E$10:$E$44"),INDIRECT("'"&amp;G$4&amp;"'!$A$10:$A$44"))," ")</f>
        <v/>
      </c>
      <c r="H35" s="30">
        <f t="array" ref="H35">_xlfn.IFNA(_xlfn.XLOOKUP($A35,INDIRECT("'"&amp;H$4&amp;"'!$E$10:$E$44"),INDIRECT("'"&amp;H$4&amp;"'!$A$10:$A$44"))," ")</f>
        <v/>
      </c>
      <c r="I35" s="30">
        <f t="array" ref="I35">_xlfn.IFNA(_xlfn.XLOOKUP($A35,INDIRECT("'"&amp;I$4&amp;"'!$E$10:$E$44"),INDIRECT("'"&amp;I$4&amp;"'!$A$10:$A$44"))," ")</f>
        <v/>
      </c>
      <c r="J35" s="30">
        <f t="array" ref="J35">_xlfn.IFNA(_xlfn.XLOOKUP($A35,INDIRECT("'"&amp;J$4&amp;"'!$E$10:$E$44"),INDIRECT("'"&amp;J$4&amp;"'!$A$10:$A$44"))," ")</f>
        <v/>
      </c>
      <c r="K35" s="30">
        <f t="array" ref="K35">_xlfn.IFNA(_xlfn.XLOOKUP($A35,INDIRECT("'"&amp;K$4&amp;"'!$E$10:$E$44"),INDIRECT("'"&amp;K$4&amp;"'!$A$10:$A$44"))," ")</f>
        <v/>
      </c>
      <c r="L35" s="30">
        <f t="array" ref="L35">_xlfn.IFNA(_xlfn.XLOOKUP($A35,INDIRECT("'"&amp;L$4&amp;"'!$E$10:$E$44"),INDIRECT("'"&amp;L$4&amp;"'!$A$10:$A$44"))," ")</f>
        <v/>
      </c>
      <c r="M35" s="30">
        <f t="array" ref="M35">_xlfn.IFNA(_xlfn.XLOOKUP($A35,INDIRECT("'"&amp;M$4&amp;"'!$E$10:$E$44"),INDIRECT("'"&amp;M$4&amp;"'!$A$10:$A$44"))," ")</f>
        <v/>
      </c>
      <c r="N35" s="30">
        <f t="array" ref="N35">_xlfn.IFNA(_xlfn.XLOOKUP($A35,INDIRECT("'"&amp;N$4&amp;"'!$E$10:$E$44"),INDIRECT("'"&amp;N$4&amp;"'!$A$10:$A$44"))," ")</f>
        <v/>
      </c>
      <c r="O35" s="30">
        <f t="array" ref="O35">_xlfn.IFNA(_xlfn.XLOOKUP($A35,INDIRECT("'"&amp;O$4&amp;"'!$E$10:$E$44"),INDIRECT("'"&amp;O$4&amp;"'!$A$10:$A$44"))," ")</f>
        <v/>
      </c>
      <c r="P35" s="30">
        <f t="array" ref="P35">_xlfn.IFNA(_xlfn.XLOOKUP($A35,INDIRECT("'"&amp;P$4&amp;"'!$E$10:$E$44"),INDIRECT("'"&amp;P$4&amp;"'!$A$10:$A$44"))," ")</f>
        <v/>
      </c>
      <c r="Q35" s="30">
        <f t="array" ref="Q35">_xlfn.IFNA(_xlfn.XLOOKUP($A35,INDIRECT("'"&amp;Q$4&amp;"'!$E$10:$E$44"),INDIRECT("'"&amp;Q$4&amp;"'!$A$10:$A$44"))," ")</f>
        <v/>
      </c>
      <c r="R35" s="30">
        <f t="array" ref="R35">_xlfn.IFNA(_xlfn.XLOOKUP($A35,INDIRECT("'"&amp;R$4&amp;"'!$E$10:$E$44"),INDIRECT("'"&amp;R$4&amp;"'!$A$10:$A$44"))," ")</f>
        <v/>
      </c>
      <c r="S35" s="30">
        <f t="array" ref="S35">_xlfn.IFNA(_xlfn.XLOOKUP($A35,INDIRECT("'"&amp;S$4&amp;"'!$E$10:$E$44"),INDIRECT("'"&amp;S$4&amp;"'!$A$10:$A$44"))," ")</f>
        <v/>
      </c>
      <c r="T35" s="30">
        <f>SUM(Table5[[#This Row],[Week 1]:[Week 18]])</f>
        <v/>
      </c>
      <c r="U35" s="30">
        <f>SUM(B35:S35)-40</f>
        <v/>
      </c>
      <c r="V35" s="30">
        <f>IFERROR(SUM(B35:S35)/COUNT(B35:S35),0)</f>
        <v/>
      </c>
      <c r="W35" s="30">
        <f>IFERROR(MAX(B35:S35),0)</f>
        <v/>
      </c>
    </row>
    <row r="36">
      <c r="A36" s="21" t="inlineStr">
        <is>
          <t>TheDogfather</t>
        </is>
      </c>
      <c r="B36" s="30">
        <f t="array" ref="B36">_xlfn.IFNA(_xlfn.XLOOKUP($A36,INDIRECT("'"&amp;B$4&amp;"'!$E$10:$E$44"),INDIRECT("'"&amp;B$4&amp;"'!$A$10:$A$44"))," ")</f>
        <v/>
      </c>
      <c r="C36" s="30">
        <f t="array" ref="C36">_xlfn.IFNA(_xlfn.XLOOKUP($A36,INDIRECT("'"&amp;C$4&amp;"'!$E$10:$E$44"),INDIRECT("'"&amp;C$4&amp;"'!$A$10:$A$44"))," ")</f>
        <v/>
      </c>
      <c r="D36" s="30">
        <f t="array" ref="D36">_xlfn.IFNA(_xlfn.XLOOKUP($A36,INDIRECT("'"&amp;D$4&amp;"'!$E$10:$E$44"),INDIRECT("'"&amp;D$4&amp;"'!$A$10:$A$44"))," ")</f>
        <v/>
      </c>
      <c r="E36" s="30">
        <f t="array" ref="E36">_xlfn.IFNA(_xlfn.XLOOKUP($A36,INDIRECT("'"&amp;E$4&amp;"'!$E$10:$E$44"),INDIRECT("'"&amp;E$4&amp;"'!$A$10:$A$44"))," ")</f>
        <v/>
      </c>
      <c r="F36" s="30">
        <f t="array" ref="F36">_xlfn.IFNA(_xlfn.XLOOKUP($A36,INDIRECT("'"&amp;F$4&amp;"'!$E$10:$E$44"),INDIRECT("'"&amp;F$4&amp;"'!$A$10:$A$44"))," ")</f>
        <v/>
      </c>
      <c r="G36" s="30">
        <f t="array" ref="G36">_xlfn.IFNA(_xlfn.XLOOKUP($A36,INDIRECT("'"&amp;G$4&amp;"'!$E$10:$E$44"),INDIRECT("'"&amp;G$4&amp;"'!$A$10:$A$44"))," ")</f>
        <v/>
      </c>
      <c r="H36" s="30">
        <f t="array" ref="H36">_xlfn.IFNA(_xlfn.XLOOKUP($A36,INDIRECT("'"&amp;H$4&amp;"'!$E$10:$E$44"),INDIRECT("'"&amp;H$4&amp;"'!$A$10:$A$44"))," ")</f>
        <v/>
      </c>
      <c r="I36" s="30">
        <f t="array" ref="I36">_xlfn.IFNA(_xlfn.XLOOKUP($A36,INDIRECT("'"&amp;I$4&amp;"'!$E$10:$E$44"),INDIRECT("'"&amp;I$4&amp;"'!$A$10:$A$44"))," ")</f>
        <v/>
      </c>
      <c r="J36" s="30">
        <f t="array" ref="J36">_xlfn.IFNA(_xlfn.XLOOKUP($A36,INDIRECT("'"&amp;J$4&amp;"'!$E$10:$E$44"),INDIRECT("'"&amp;J$4&amp;"'!$A$10:$A$44"))," ")</f>
        <v/>
      </c>
      <c r="K36" s="30">
        <f t="array" ref="K36">_xlfn.IFNA(_xlfn.XLOOKUP($A36,INDIRECT("'"&amp;K$4&amp;"'!$E$10:$E$44"),INDIRECT("'"&amp;K$4&amp;"'!$A$10:$A$44"))," ")</f>
        <v/>
      </c>
      <c r="L36" s="30">
        <f t="array" ref="L36">_xlfn.IFNA(_xlfn.XLOOKUP($A36,INDIRECT("'"&amp;L$4&amp;"'!$E$10:$E$44"),INDIRECT("'"&amp;L$4&amp;"'!$A$10:$A$44"))," ")</f>
        <v/>
      </c>
      <c r="M36" s="30">
        <f t="array" ref="M36">_xlfn.IFNA(_xlfn.XLOOKUP($A36,INDIRECT("'"&amp;M$4&amp;"'!$E$10:$E$44"),INDIRECT("'"&amp;M$4&amp;"'!$A$10:$A$44"))," ")</f>
        <v/>
      </c>
      <c r="N36" s="30">
        <f t="array" ref="N36">_xlfn.IFNA(_xlfn.XLOOKUP($A36,INDIRECT("'"&amp;N$4&amp;"'!$E$10:$E$44"),INDIRECT("'"&amp;N$4&amp;"'!$A$10:$A$44"))," ")</f>
        <v/>
      </c>
      <c r="O36" s="30">
        <f t="array" ref="O36">_xlfn.IFNA(_xlfn.XLOOKUP($A36,INDIRECT("'"&amp;O$4&amp;"'!$E$10:$E$44"),INDIRECT("'"&amp;O$4&amp;"'!$A$10:$A$44"))," ")</f>
        <v/>
      </c>
      <c r="P36" s="30">
        <f t="array" ref="P36">_xlfn.IFNA(_xlfn.XLOOKUP($A36,INDIRECT("'"&amp;P$4&amp;"'!$E$10:$E$44"),INDIRECT("'"&amp;P$4&amp;"'!$A$10:$A$44"))," ")</f>
        <v/>
      </c>
      <c r="Q36" s="30">
        <f t="array" ref="Q36">_xlfn.IFNA(_xlfn.XLOOKUP($A36,INDIRECT("'"&amp;Q$4&amp;"'!$E$10:$E$44"),INDIRECT("'"&amp;Q$4&amp;"'!$A$10:$A$44"))," ")</f>
        <v/>
      </c>
      <c r="R36" s="30">
        <f t="array" ref="R36">_xlfn.IFNA(_xlfn.XLOOKUP($A36,INDIRECT("'"&amp;R$4&amp;"'!$E$10:$E$44"),INDIRECT("'"&amp;R$4&amp;"'!$A$10:$A$44"))," ")</f>
        <v/>
      </c>
      <c r="S36" s="30">
        <f t="array" ref="S36">_xlfn.IFNA(_xlfn.XLOOKUP($A36,INDIRECT("'"&amp;S$4&amp;"'!$E$10:$E$44"),INDIRECT("'"&amp;S$4&amp;"'!$A$10:$A$44"))," ")</f>
        <v/>
      </c>
      <c r="T36" s="30">
        <f>SUM(Table5[[#This Row],[Week 1]:[Week 18]])</f>
        <v/>
      </c>
      <c r="U36" s="30">
        <f>SUM(B36:S36)-40</f>
        <v/>
      </c>
      <c r="V36" s="30">
        <f>IFERROR(SUM(B36:S36)/COUNT(B36:S36),0)</f>
        <v/>
      </c>
      <c r="W36" s="30">
        <f>IFERROR(MAX(B36:S36),0)</f>
        <v/>
      </c>
    </row>
    <row r="37">
      <c r="A37" s="21" t="inlineStr">
        <is>
          <t>Vonasek Family</t>
        </is>
      </c>
      <c r="B37" s="30">
        <f t="array" ref="B37">_xlfn.IFNA(_xlfn.XLOOKUP($A37,INDIRECT("'"&amp;B$4&amp;"'!$E$10:$E$44"),INDIRECT("'"&amp;B$4&amp;"'!$A$10:$A$44"))," ")</f>
        <v/>
      </c>
      <c r="C37" s="30">
        <f t="array" ref="C37">_xlfn.IFNA(_xlfn.XLOOKUP($A37,INDIRECT("'"&amp;C$4&amp;"'!$E$10:$E$44"),INDIRECT("'"&amp;C$4&amp;"'!$A$10:$A$44"))," ")</f>
        <v/>
      </c>
      <c r="D37" s="30">
        <f t="array" ref="D37">_xlfn.IFNA(_xlfn.XLOOKUP($A37,INDIRECT("'"&amp;D$4&amp;"'!$E$10:$E$44"),INDIRECT("'"&amp;D$4&amp;"'!$A$10:$A$44"))," ")</f>
        <v/>
      </c>
      <c r="E37" s="30">
        <f t="array" ref="E37">_xlfn.IFNA(_xlfn.XLOOKUP($A37,INDIRECT("'"&amp;E$4&amp;"'!$E$10:$E$44"),INDIRECT("'"&amp;E$4&amp;"'!$A$10:$A$44"))," ")</f>
        <v/>
      </c>
      <c r="F37" s="30">
        <f t="array" ref="F37">_xlfn.IFNA(_xlfn.XLOOKUP($A37,INDIRECT("'"&amp;F$4&amp;"'!$E$10:$E$44"),INDIRECT("'"&amp;F$4&amp;"'!$A$10:$A$44"))," ")</f>
        <v/>
      </c>
      <c r="G37" s="30">
        <f t="array" ref="G37">_xlfn.IFNA(_xlfn.XLOOKUP($A37,INDIRECT("'"&amp;G$4&amp;"'!$E$10:$E$44"),INDIRECT("'"&amp;G$4&amp;"'!$A$10:$A$44"))," ")</f>
        <v/>
      </c>
      <c r="H37" s="30">
        <f t="array" ref="H37">_xlfn.IFNA(_xlfn.XLOOKUP($A37,INDIRECT("'"&amp;H$4&amp;"'!$E$10:$E$44"),INDIRECT("'"&amp;H$4&amp;"'!$A$10:$A$44"))," ")</f>
        <v/>
      </c>
      <c r="I37" s="30">
        <f t="array" ref="I37">_xlfn.IFNA(_xlfn.XLOOKUP($A37,INDIRECT("'"&amp;I$4&amp;"'!$E$10:$E$44"),INDIRECT("'"&amp;I$4&amp;"'!$A$10:$A$44"))," ")</f>
        <v/>
      </c>
      <c r="J37" s="30">
        <f t="array" ref="J37">_xlfn.IFNA(_xlfn.XLOOKUP($A37,INDIRECT("'"&amp;J$4&amp;"'!$E$10:$E$44"),INDIRECT("'"&amp;J$4&amp;"'!$A$10:$A$44"))," ")</f>
        <v/>
      </c>
      <c r="K37" s="30">
        <f t="array" ref="K37">_xlfn.IFNA(_xlfn.XLOOKUP($A37,INDIRECT("'"&amp;K$4&amp;"'!$E$10:$E$44"),INDIRECT("'"&amp;K$4&amp;"'!$A$10:$A$44"))," ")</f>
        <v/>
      </c>
      <c r="L37" s="30">
        <f t="array" ref="L37">_xlfn.IFNA(_xlfn.XLOOKUP($A37,INDIRECT("'"&amp;L$4&amp;"'!$E$10:$E$44"),INDIRECT("'"&amp;L$4&amp;"'!$A$10:$A$44"))," ")</f>
        <v/>
      </c>
      <c r="M37" s="30">
        <f t="array" ref="M37">_xlfn.IFNA(_xlfn.XLOOKUP($A37,INDIRECT("'"&amp;M$4&amp;"'!$E$10:$E$44"),INDIRECT("'"&amp;M$4&amp;"'!$A$10:$A$44"))," ")</f>
        <v/>
      </c>
      <c r="N37" s="30">
        <f t="array" ref="N37">_xlfn.IFNA(_xlfn.XLOOKUP($A37,INDIRECT("'"&amp;N$4&amp;"'!$E$10:$E$44"),INDIRECT("'"&amp;N$4&amp;"'!$A$10:$A$44"))," ")</f>
        <v/>
      </c>
      <c r="O37" s="30">
        <f t="array" ref="O37">_xlfn.IFNA(_xlfn.XLOOKUP($A37,INDIRECT("'"&amp;O$4&amp;"'!$E$10:$E$44"),INDIRECT("'"&amp;O$4&amp;"'!$A$10:$A$44"))," ")</f>
        <v/>
      </c>
      <c r="P37" s="30">
        <f t="array" ref="P37">_xlfn.IFNA(_xlfn.XLOOKUP($A37,INDIRECT("'"&amp;P$4&amp;"'!$E$10:$E$44"),INDIRECT("'"&amp;P$4&amp;"'!$A$10:$A$44"))," ")</f>
        <v/>
      </c>
      <c r="Q37" s="30">
        <f t="array" ref="Q37">_xlfn.IFNA(_xlfn.XLOOKUP($A37,INDIRECT("'"&amp;Q$4&amp;"'!$E$10:$E$44"),INDIRECT("'"&amp;Q$4&amp;"'!$A$10:$A$44"))," ")</f>
        <v/>
      </c>
      <c r="R37" s="30">
        <f t="array" ref="R37">_xlfn.IFNA(_xlfn.XLOOKUP($A37,INDIRECT("'"&amp;R$4&amp;"'!$E$10:$E$44"),INDIRECT("'"&amp;R$4&amp;"'!$A$10:$A$44"))," ")</f>
        <v/>
      </c>
      <c r="S37" s="30">
        <f t="array" ref="S37">_xlfn.IFNA(_xlfn.XLOOKUP($A37,INDIRECT("'"&amp;S$4&amp;"'!$E$10:$E$44"),INDIRECT("'"&amp;S$4&amp;"'!$A$10:$A$44"))," ")</f>
        <v/>
      </c>
      <c r="T37" s="30">
        <f>SUM(Table5[[#This Row],[Week 1]:[Week 18]])</f>
        <v/>
      </c>
      <c r="U37" s="30">
        <f>SUM(B37:S37)-40</f>
        <v/>
      </c>
      <c r="V37" s="30">
        <f>IFERROR(SUM(B37:S37)/COUNT(B37:S37),0)</f>
        <v/>
      </c>
      <c r="W37" s="30">
        <f>IFERROR(MAX(B37:S37),0)</f>
        <v/>
      </c>
    </row>
    <row r="38">
      <c r="A38" s="21" t="inlineStr">
        <is>
          <t>Waffle Hauss</t>
        </is>
      </c>
      <c r="B38" s="30">
        <f t="array" ref="B38">_xlfn.IFNA(_xlfn.XLOOKUP($A38,INDIRECT("'"&amp;B$4&amp;"'!$E$10:$E$44"),INDIRECT("'"&amp;B$4&amp;"'!$A$10:$A$44"))," ")</f>
        <v/>
      </c>
      <c r="C38" s="30">
        <f t="array" ref="C38">_xlfn.IFNA(_xlfn.XLOOKUP($A38,INDIRECT("'"&amp;C$4&amp;"'!$E$10:$E$44"),INDIRECT("'"&amp;C$4&amp;"'!$A$10:$A$44"))," ")</f>
        <v/>
      </c>
      <c r="D38" s="30">
        <f t="array" ref="D38">_xlfn.IFNA(_xlfn.XLOOKUP($A38,INDIRECT("'"&amp;D$4&amp;"'!$E$10:$E$44"),INDIRECT("'"&amp;D$4&amp;"'!$A$10:$A$44"))," ")</f>
        <v/>
      </c>
      <c r="E38" s="30">
        <f t="array" ref="E38">_xlfn.IFNA(_xlfn.XLOOKUP($A38,INDIRECT("'"&amp;E$4&amp;"'!$E$10:$E$44"),INDIRECT("'"&amp;E$4&amp;"'!$A$10:$A$44"))," ")</f>
        <v/>
      </c>
      <c r="F38" s="30">
        <f t="array" ref="F38">_xlfn.IFNA(_xlfn.XLOOKUP($A38,INDIRECT("'"&amp;F$4&amp;"'!$E$10:$E$44"),INDIRECT("'"&amp;F$4&amp;"'!$A$10:$A$44"))," ")</f>
        <v/>
      </c>
      <c r="G38" s="30">
        <f t="array" ref="G38">_xlfn.IFNA(_xlfn.XLOOKUP($A38,INDIRECT("'"&amp;G$4&amp;"'!$E$10:$E$44"),INDIRECT("'"&amp;G$4&amp;"'!$A$10:$A$44"))," ")</f>
        <v/>
      </c>
      <c r="H38" s="30">
        <f t="array" ref="H38">_xlfn.IFNA(_xlfn.XLOOKUP($A38,INDIRECT("'"&amp;H$4&amp;"'!$E$10:$E$44"),INDIRECT("'"&amp;H$4&amp;"'!$A$10:$A$44"))," ")</f>
        <v/>
      </c>
      <c r="I38" s="30">
        <f t="array" ref="I38">_xlfn.IFNA(_xlfn.XLOOKUP($A38,INDIRECT("'"&amp;I$4&amp;"'!$E$10:$E$44"),INDIRECT("'"&amp;I$4&amp;"'!$A$10:$A$44"))," ")</f>
        <v/>
      </c>
      <c r="J38" s="30">
        <f t="array" ref="J38">_xlfn.IFNA(_xlfn.XLOOKUP($A38,INDIRECT("'"&amp;J$4&amp;"'!$E$10:$E$44"),INDIRECT("'"&amp;J$4&amp;"'!$A$10:$A$44"))," ")</f>
        <v/>
      </c>
      <c r="K38" s="30">
        <f t="array" ref="K38">_xlfn.IFNA(_xlfn.XLOOKUP($A38,INDIRECT("'"&amp;K$4&amp;"'!$E$10:$E$44"),INDIRECT("'"&amp;K$4&amp;"'!$A$10:$A$44"))," ")</f>
        <v/>
      </c>
      <c r="L38" s="30">
        <f t="array" ref="L38">_xlfn.IFNA(_xlfn.XLOOKUP($A38,INDIRECT("'"&amp;L$4&amp;"'!$E$10:$E$44"),INDIRECT("'"&amp;L$4&amp;"'!$A$10:$A$44"))," ")</f>
        <v/>
      </c>
      <c r="M38" s="30">
        <f t="array" ref="M38">_xlfn.IFNA(_xlfn.XLOOKUP($A38,INDIRECT("'"&amp;M$4&amp;"'!$E$10:$E$44"),INDIRECT("'"&amp;M$4&amp;"'!$A$10:$A$44"))," ")</f>
        <v/>
      </c>
      <c r="N38" s="30">
        <f t="array" ref="N38">_xlfn.IFNA(_xlfn.XLOOKUP($A38,INDIRECT("'"&amp;N$4&amp;"'!$E$10:$E$44"),INDIRECT("'"&amp;N$4&amp;"'!$A$10:$A$44"))," ")</f>
        <v/>
      </c>
      <c r="O38" s="30">
        <f t="array" ref="O38">_xlfn.IFNA(_xlfn.XLOOKUP($A38,INDIRECT("'"&amp;O$4&amp;"'!$E$10:$E$44"),INDIRECT("'"&amp;O$4&amp;"'!$A$10:$A$44"))," ")</f>
        <v/>
      </c>
      <c r="P38" s="30">
        <f t="array" ref="P38">_xlfn.IFNA(_xlfn.XLOOKUP($A38,INDIRECT("'"&amp;P$4&amp;"'!$E$10:$E$44"),INDIRECT("'"&amp;P$4&amp;"'!$A$10:$A$44"))," ")</f>
        <v/>
      </c>
      <c r="Q38" s="30">
        <f t="array" ref="Q38">_xlfn.IFNA(_xlfn.XLOOKUP($A38,INDIRECT("'"&amp;Q$4&amp;"'!$E$10:$E$44"),INDIRECT("'"&amp;Q$4&amp;"'!$A$10:$A$44"))," ")</f>
        <v/>
      </c>
      <c r="R38" s="30">
        <f t="array" ref="R38">_xlfn.IFNA(_xlfn.XLOOKUP($A38,INDIRECT("'"&amp;R$4&amp;"'!$E$10:$E$44"),INDIRECT("'"&amp;R$4&amp;"'!$A$10:$A$44"))," ")</f>
        <v/>
      </c>
      <c r="S38" s="30">
        <f t="array" ref="S38">_xlfn.IFNA(_xlfn.XLOOKUP($A38,INDIRECT("'"&amp;S$4&amp;"'!$E$10:$E$44"),INDIRECT("'"&amp;S$4&amp;"'!$A$10:$A$44"))," ")</f>
        <v/>
      </c>
      <c r="T38" s="30">
        <f>SUM(Table5[[#This Row],[Week 1]:[Week 18]])</f>
        <v/>
      </c>
      <c r="U38" s="30">
        <f>SUM(B38:S38)-40</f>
        <v/>
      </c>
      <c r="V38" s="30">
        <f>IFERROR(SUM(B38:S38)/COUNT(B38:S38),0)</f>
        <v/>
      </c>
      <c r="W38" s="30">
        <f>IFERROR(MAX(B38:S38),0)</f>
        <v/>
      </c>
    </row>
    <row r="39">
      <c r="A39" s="21" t="inlineStr">
        <is>
          <t>Zach N</t>
        </is>
      </c>
      <c r="B39" s="30">
        <f t="array" ref="B39">_xlfn.IFNA(_xlfn.XLOOKUP($A39,INDIRECT("'"&amp;B$4&amp;"'!$E$10:$E$44"),INDIRECT("'"&amp;B$4&amp;"'!$A$10:$A$44"))," ")</f>
        <v/>
      </c>
      <c r="C39" s="30">
        <f t="array" ref="C39">_xlfn.IFNA(_xlfn.XLOOKUP($A39,INDIRECT("'"&amp;C$4&amp;"'!$E$10:$E$44"),INDIRECT("'"&amp;C$4&amp;"'!$A$10:$A$44"))," ")</f>
        <v/>
      </c>
      <c r="D39" s="30">
        <f t="array" ref="D39">_xlfn.IFNA(_xlfn.XLOOKUP($A39,INDIRECT("'"&amp;D$4&amp;"'!$E$10:$E$44"),INDIRECT("'"&amp;D$4&amp;"'!$A$10:$A$44"))," ")</f>
        <v/>
      </c>
      <c r="E39" s="30">
        <f t="array" ref="E39">_xlfn.IFNA(_xlfn.XLOOKUP($A39,INDIRECT("'"&amp;E$4&amp;"'!$E$10:$E$44"),INDIRECT("'"&amp;E$4&amp;"'!$A$10:$A$44"))," ")</f>
        <v/>
      </c>
      <c r="F39" s="30">
        <f t="array" ref="F39">_xlfn.IFNA(_xlfn.XLOOKUP($A39,INDIRECT("'"&amp;F$4&amp;"'!$E$10:$E$44"),INDIRECT("'"&amp;F$4&amp;"'!$A$10:$A$44"))," ")</f>
        <v/>
      </c>
      <c r="G39" s="30">
        <f t="array" ref="G39">_xlfn.IFNA(_xlfn.XLOOKUP($A39,INDIRECT("'"&amp;G$4&amp;"'!$E$10:$E$44"),INDIRECT("'"&amp;G$4&amp;"'!$A$10:$A$44"))," ")</f>
        <v/>
      </c>
      <c r="H39" s="30">
        <f t="array" ref="H39">_xlfn.IFNA(_xlfn.XLOOKUP($A39,INDIRECT("'"&amp;H$4&amp;"'!$E$10:$E$44"),INDIRECT("'"&amp;H$4&amp;"'!$A$10:$A$44"))," ")</f>
        <v/>
      </c>
      <c r="I39" s="30">
        <f t="array" ref="I39">_xlfn.IFNA(_xlfn.XLOOKUP($A39,INDIRECT("'"&amp;I$4&amp;"'!$E$10:$E$44"),INDIRECT("'"&amp;I$4&amp;"'!$A$10:$A$44"))," ")</f>
        <v/>
      </c>
      <c r="J39" s="30">
        <f t="array" ref="J39">_xlfn.IFNA(_xlfn.XLOOKUP($A39,INDIRECT("'"&amp;J$4&amp;"'!$E$10:$E$44"),INDIRECT("'"&amp;J$4&amp;"'!$A$10:$A$44"))," ")</f>
        <v/>
      </c>
      <c r="K39" s="30">
        <f t="array" ref="K39">_xlfn.IFNA(_xlfn.XLOOKUP($A39,INDIRECT("'"&amp;K$4&amp;"'!$E$10:$E$44"),INDIRECT("'"&amp;K$4&amp;"'!$A$10:$A$44"))," ")</f>
        <v/>
      </c>
      <c r="L39" s="30">
        <f t="array" ref="L39">_xlfn.IFNA(_xlfn.XLOOKUP($A39,INDIRECT("'"&amp;L$4&amp;"'!$E$10:$E$44"),INDIRECT("'"&amp;L$4&amp;"'!$A$10:$A$44"))," ")</f>
        <v/>
      </c>
      <c r="M39" s="30">
        <f t="array" ref="M39">_xlfn.IFNA(_xlfn.XLOOKUP($A39,INDIRECT("'"&amp;M$4&amp;"'!$E$10:$E$44"),INDIRECT("'"&amp;M$4&amp;"'!$A$10:$A$44"))," ")</f>
        <v/>
      </c>
      <c r="N39" s="30">
        <f t="array" ref="N39">_xlfn.IFNA(_xlfn.XLOOKUP($A39,INDIRECT("'"&amp;N$4&amp;"'!$E$10:$E$44"),INDIRECT("'"&amp;N$4&amp;"'!$A$10:$A$44"))," ")</f>
        <v/>
      </c>
      <c r="O39" s="30">
        <f t="array" ref="O39">_xlfn.IFNA(_xlfn.XLOOKUP($A39,INDIRECT("'"&amp;O$4&amp;"'!$E$10:$E$44"),INDIRECT("'"&amp;O$4&amp;"'!$A$10:$A$44"))," ")</f>
        <v/>
      </c>
      <c r="P39" s="30">
        <f t="array" ref="P39">_xlfn.IFNA(_xlfn.XLOOKUP($A39,INDIRECT("'"&amp;P$4&amp;"'!$E$10:$E$44"),INDIRECT("'"&amp;P$4&amp;"'!$A$10:$A$44"))," ")</f>
        <v/>
      </c>
      <c r="Q39" s="30">
        <f t="array" ref="Q39">_xlfn.IFNA(_xlfn.XLOOKUP($A39,INDIRECT("'"&amp;Q$4&amp;"'!$E$10:$E$44"),INDIRECT("'"&amp;Q$4&amp;"'!$A$10:$A$44"))," ")</f>
        <v/>
      </c>
      <c r="R39" s="30">
        <f t="array" ref="R39">_xlfn.IFNA(_xlfn.XLOOKUP($A39,INDIRECT("'"&amp;R$4&amp;"'!$E$10:$E$44"),INDIRECT("'"&amp;R$4&amp;"'!$A$10:$A$44"))," ")</f>
        <v/>
      </c>
      <c r="S39" s="30">
        <f t="array" ref="S39">_xlfn.IFNA(_xlfn.XLOOKUP($A39,INDIRECT("'"&amp;S$4&amp;"'!$E$10:$E$44"),INDIRECT("'"&amp;S$4&amp;"'!$A$10:$A$44"))," ")</f>
        <v/>
      </c>
      <c r="T39" s="30">
        <f>SUM(Table5[[#This Row],[Week 1]:[Week 18]])</f>
        <v/>
      </c>
      <c r="U39" s="30">
        <f>SUM(B39:S39)-40</f>
        <v/>
      </c>
      <c r="V39" s="30">
        <f>IFERROR(SUM(B39:S39)/COUNT(B39:S39),0)</f>
        <v/>
      </c>
      <c r="W39" s="30">
        <f>IFERROR(MAX(B39:S39),0)</f>
        <v/>
      </c>
    </row>
    <row r="40">
      <c r="A40" s="21" t="inlineStr">
        <is>
          <t>Total</t>
        </is>
      </c>
      <c r="B40" s="31">
        <f>SUBTOTAL(104,Table5[Week 1])</f>
        <v/>
      </c>
      <c r="C40" s="31">
        <f>SUBTOTAL(104,Table5[Week 2])</f>
        <v/>
      </c>
      <c r="D40" s="31">
        <f>SUBTOTAL(104,Table5[Week 3])</f>
        <v/>
      </c>
      <c r="E40" s="31">
        <f>SUBTOTAL(104,Table5[Week 4])</f>
        <v/>
      </c>
      <c r="F40" s="31">
        <f>SUBTOTAL(104,Table5[Week 5])</f>
        <v/>
      </c>
      <c r="G40" s="31">
        <f>SUBTOTAL(104,Table5[Week 6])</f>
        <v/>
      </c>
      <c r="H40" s="31">
        <f>SUBTOTAL(104,Table5[Week 7])</f>
        <v/>
      </c>
      <c r="I40" s="31">
        <f>SUBTOTAL(104,Table5[Week 8])</f>
        <v/>
      </c>
      <c r="J40" s="31">
        <f>SUBTOTAL(104,Table5[Week 9])</f>
        <v/>
      </c>
      <c r="K40" s="31">
        <f>SUBTOTAL(104,Table5[Week 10])</f>
        <v/>
      </c>
      <c r="L40" s="31">
        <f>SUBTOTAL(104,Table5[Week 11])</f>
        <v/>
      </c>
      <c r="M40" s="31">
        <f>SUBTOTAL(104,Table5[Week 12])</f>
        <v/>
      </c>
      <c r="N40" s="31">
        <f>SUBTOTAL(104,Table5[Week 13])</f>
        <v/>
      </c>
      <c r="O40" s="31">
        <f>SUBTOTAL(104,Table5[Week 14])</f>
        <v/>
      </c>
      <c r="P40" s="31">
        <f>SUBTOTAL(104,Table5[Week 15])</f>
        <v/>
      </c>
      <c r="Q40" s="31">
        <f>SUBTOTAL(104,Table5[Week 16])</f>
        <v/>
      </c>
      <c r="R40" s="31">
        <f>SUBTOTAL(104,Table5[Week 17])</f>
        <v/>
      </c>
      <c r="S40" s="31">
        <f>SUBTOTAL(104,Table5[Week 18])</f>
        <v/>
      </c>
      <c r="T40" s="31">
        <f>SUBTOTAL(109,Table5[Winning])</f>
        <v/>
      </c>
      <c r="U40" s="31">
        <f>SUBTOTAL(104,Table5[Total])</f>
        <v/>
      </c>
      <c r="V40" s="31">
        <f>SUBTOTAL(104,Table5[[Avg ]])</f>
        <v/>
      </c>
      <c r="W40" s="31">
        <f>SUBTOTAL(109,Table5[Best])</f>
        <v/>
      </c>
    </row>
  </sheetData>
  <mergeCells count="1">
    <mergeCell ref="A1:W2"/>
  </mergeCells>
  <conditionalFormatting sqref="U5:U39">
    <cfRule type="cellIs" priority="1" operator="lessThan" dxfId="49">
      <formula>0</formula>
    </cfRule>
    <cfRule type="cellIs" priority="2" operator="greaterThan" dxfId="48">
      <formula>0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46"/>
  <sheetViews>
    <sheetView showGridLines="0" topLeftCell="P6" zoomScale="76" workbookViewId="0">
      <selection activeCell="W21" sqref="W21"/>
    </sheetView>
  </sheetViews>
  <sheetFormatPr baseColWidth="8" defaultRowHeight="14.4"/>
  <cols>
    <col width="11" customWidth="1" style="54" min="1" max="1"/>
    <col width="8" customWidth="1" style="54" min="2" max="4"/>
    <col width="22" customWidth="1" style="54" min="5" max="5"/>
    <col width="17.6640625" customWidth="1" style="54" min="6" max="18"/>
    <col width="23.5546875" bestFit="1" customWidth="1" style="54" min="19" max="19"/>
    <col width="17.6640625" customWidth="1" style="54" min="20" max="21"/>
    <col width="17" customWidth="1" style="54" min="22" max="25"/>
    <col width="12" customWidth="1" style="54" min="26" max="27"/>
    <col width="10" customWidth="1" style="54" min="28" max="28"/>
  </cols>
  <sheetData>
    <row r="1">
      <c r="A1" s="63" t="inlineStr">
        <is>
          <t>🏈 WEEK 1 — ACQL</t>
        </is>
      </c>
    </row>
    <row r="2"/>
    <row r="4">
      <c r="A4" s="5" t="inlineStr">
        <is>
          <t>Home Team</t>
        </is>
      </c>
      <c r="B4" s="5" t="n"/>
      <c r="C4" s="5" t="n"/>
      <c r="D4" s="5" t="n"/>
      <c r="E4" s="5" t="n"/>
      <c r="F4" s="5" t="inlineStr">
        <is>
          <t>Seattle</t>
        </is>
      </c>
      <c r="G4" s="5" t="inlineStr">
        <is>
          <t>Los Angeles Rams</t>
        </is>
      </c>
      <c r="H4" s="5" t="inlineStr">
        <is>
          <t>Cincinnati</t>
        </is>
      </c>
      <c r="I4" s="5" t="inlineStr">
        <is>
          <t>Detroit</t>
        </is>
      </c>
      <c r="J4" s="5" t="inlineStr">
        <is>
          <t>Tennessee</t>
        </is>
      </c>
      <c r="K4" s="5" t="inlineStr">
        <is>
          <t>Indianapolis</t>
        </is>
      </c>
      <c r="L4" s="5" t="inlineStr">
        <is>
          <t>Pittsburgh</t>
        </is>
      </c>
      <c r="M4" s="5" t="inlineStr">
        <is>
          <t>Carolina</t>
        </is>
      </c>
      <c r="N4" s="5" t="inlineStr">
        <is>
          <t>Jacksonville</t>
        </is>
      </c>
      <c r="O4" s="5" t="inlineStr">
        <is>
          <t>Houston</t>
        </is>
      </c>
      <c r="P4" s="5" t="inlineStr">
        <is>
          <t>Las Vegas</t>
        </is>
      </c>
      <c r="Q4" s="5" t="inlineStr">
        <is>
          <t>Minnesota</t>
        </is>
      </c>
      <c r="R4" s="5" t="inlineStr">
        <is>
          <t>Philadelphia</t>
        </is>
      </c>
      <c r="S4" s="5" t="inlineStr">
        <is>
          <t>Los Angeles Chargers</t>
        </is>
      </c>
      <c r="T4" s="5" t="inlineStr">
        <is>
          <t>New York Giants</t>
        </is>
      </c>
      <c r="U4" s="5" t="inlineStr">
        <is>
          <t>Kansas City</t>
        </is>
      </c>
      <c r="V4" s="5" t="n"/>
      <c r="W4" s="5" t="n"/>
      <c r="X4" s="5" t="n"/>
      <c r="Y4" s="5" t="n"/>
    </row>
    <row r="5">
      <c r="A5" s="5" t="inlineStr">
        <is>
          <t>Away Team</t>
        </is>
      </c>
      <c r="B5" s="5" t="n"/>
      <c r="C5" s="5" t="n"/>
      <c r="D5" s="5" t="n"/>
      <c r="E5" s="5" t="n"/>
      <c r="F5" s="5" t="inlineStr">
        <is>
          <t>New England</t>
        </is>
      </c>
      <c r="G5" s="5" t="inlineStr">
        <is>
          <t>San Francisco</t>
        </is>
      </c>
      <c r="H5" s="5" t="inlineStr">
        <is>
          <t>Tampa Bay</t>
        </is>
      </c>
      <c r="I5" s="5" t="inlineStr">
        <is>
          <t>New Orleans</t>
        </is>
      </c>
      <c r="J5" s="5" t="inlineStr">
        <is>
          <t>New York Jets</t>
        </is>
      </c>
      <c r="K5" s="5" t="inlineStr">
        <is>
          <t>Baltimore</t>
        </is>
      </c>
      <c r="L5" s="5" t="inlineStr">
        <is>
          <t>Atlanta</t>
        </is>
      </c>
      <c r="M5" s="5" t="inlineStr">
        <is>
          <t>Chicago</t>
        </is>
      </c>
      <c r="N5" s="5" t="inlineStr">
        <is>
          <t>Cleveland</t>
        </is>
      </c>
      <c r="O5" s="5" t="inlineStr">
        <is>
          <t>Buffalo</t>
        </is>
      </c>
      <c r="P5" s="5" t="inlineStr">
        <is>
          <t>Miami</t>
        </is>
      </c>
      <c r="Q5" s="5" t="inlineStr">
        <is>
          <t>Green Bay</t>
        </is>
      </c>
      <c r="R5" s="5" t="inlineStr">
        <is>
          <t>Washington</t>
        </is>
      </c>
      <c r="S5" s="5" t="inlineStr">
        <is>
          <t>Arizona</t>
        </is>
      </c>
      <c r="T5" s="5" t="inlineStr">
        <is>
          <t>Dallas</t>
        </is>
      </c>
      <c r="U5" s="5" t="inlineStr">
        <is>
          <t>Denver</t>
        </is>
      </c>
      <c r="V5" s="5" t="n"/>
      <c r="W5" s="5" t="n"/>
      <c r="X5" s="5" t="n"/>
      <c r="Y5" s="5" t="n"/>
    </row>
    <row r="6">
      <c r="A6" s="6" t="inlineStr">
        <is>
          <t>Result / Winner →</t>
        </is>
      </c>
      <c r="B6" s="6" t="n"/>
      <c r="C6" s="6" t="n"/>
      <c r="D6" s="6" t="n"/>
      <c r="E6" s="6" t="n"/>
      <c r="F6" s="6" t="inlineStr">
        <is>
          <t>Seattle</t>
        </is>
      </c>
      <c r="G6" s="6" t="inlineStr">
        <is>
          <t>San Francisco</t>
        </is>
      </c>
      <c r="H6" s="6" t="inlineStr">
        <is>
          <t>Cincinnati</t>
        </is>
      </c>
      <c r="I6" s="6" t="inlineStr">
        <is>
          <t>New Orleans</t>
        </is>
      </c>
      <c r="J6" s="6" t="inlineStr">
        <is>
          <t>New York Jets</t>
        </is>
      </c>
      <c r="K6" s="6" t="inlineStr">
        <is>
          <t>Baltimore</t>
        </is>
      </c>
      <c r="L6" s="6" t="inlineStr">
        <is>
          <t>Pittsburgh</t>
        </is>
      </c>
      <c r="M6" s="6" t="inlineStr">
        <is>
          <t>Chicago</t>
        </is>
      </c>
      <c r="N6" s="6" t="inlineStr">
        <is>
          <t>Jacksonville</t>
        </is>
      </c>
      <c r="O6" s="6" t="inlineStr">
        <is>
          <t>Buffalo</t>
        </is>
      </c>
      <c r="P6" s="6" t="inlineStr">
        <is>
          <t>Las Vegas</t>
        </is>
      </c>
      <c r="Q6" s="6" t="inlineStr">
        <is>
          <t>Minnesota</t>
        </is>
      </c>
      <c r="R6" s="6" t="inlineStr">
        <is>
          <t>Philadelphia</t>
        </is>
      </c>
      <c r="S6" s="6" t="inlineStr">
        <is>
          <t>Arizona</t>
        </is>
      </c>
      <c r="T6" s="6" t="inlineStr">
        <is>
          <t>New York Giants</t>
        </is>
      </c>
      <c r="U6" s="6" t="inlineStr">
        <is>
          <t>Kansas City</t>
        </is>
      </c>
      <c r="V6" s="6" t="n"/>
      <c r="W6" s="6" t="n"/>
      <c r="X6" s="6" t="n"/>
      <c r="Y6" s="6" t="n"/>
    </row>
    <row r="7">
      <c r="A7" s="8" t="inlineStr">
        <is>
          <t>Picked Home %</t>
        </is>
      </c>
      <c r="B7" s="8" t="n"/>
      <c r="C7" s="8" t="n"/>
      <c r="D7" s="8" t="n"/>
      <c r="E7" s="8" t="n"/>
      <c r="F7" s="8">
        <f>IFERROR(COUNTIF(B10:B44, F$4)/COUNTA(B10:B44),0)</f>
        <v/>
      </c>
      <c r="G7" s="8">
        <f>IFERROR(COUNTIF(C10:C44, G$4)/COUNTA(C10:C44),0)</f>
        <v/>
      </c>
      <c r="H7" s="8">
        <f>IFERROR(COUNTIF(D10:D44, H$4)/COUNTA(D10:D44),0)</f>
        <v/>
      </c>
      <c r="I7" s="8">
        <f>IFERROR(COUNTIF(E10:E44, I$4)/COUNTA(E10:E44),0)</f>
        <v/>
      </c>
      <c r="J7" s="8">
        <f>IFERROR(COUNTIF(F10:F44, J$4)/COUNTA(F10:F44),0)</f>
        <v/>
      </c>
      <c r="K7" s="8">
        <f>IFERROR(COUNTIF(G10:G44, K$4)/COUNTA(G10:G44),0)</f>
        <v/>
      </c>
      <c r="L7" s="8">
        <f>IFERROR(COUNTIF(H10:H44, L$4)/COUNTA(H10:H44),0)</f>
        <v/>
      </c>
      <c r="M7" s="8">
        <f>IFERROR(COUNTIF(I10:I44, M$4)/COUNTA(I10:I44),0)</f>
        <v/>
      </c>
      <c r="N7" s="8">
        <f>IFERROR(COUNTIF(J10:J44, N$4)/COUNTA(J10:J44),0)</f>
        <v/>
      </c>
      <c r="O7" s="8">
        <f>IFERROR(COUNTIF(K10:K44, O$4)/COUNTA(K10:K44),0)</f>
        <v/>
      </c>
      <c r="P7" s="8">
        <f>IFERROR(COUNTIF(L10:L44, P$4)/COUNTA(L10:L44),0)</f>
        <v/>
      </c>
      <c r="Q7" s="8">
        <f>IFERROR(COUNTIF(M10:M44, Q$4)/COUNTA(M10:M44),0)</f>
        <v/>
      </c>
      <c r="R7" s="8">
        <f>IFERROR(COUNTIF(N10:N44, R$4)/COUNTA(N10:N44),0)</f>
        <v/>
      </c>
      <c r="S7" s="8">
        <f>IFERROR(COUNTIF(O10:O44, S$4)/COUNTA(O10:O44),0)</f>
        <v/>
      </c>
      <c r="T7" s="8">
        <f>IFERROR(COUNTIF(P10:P44, T$4)/COUNTA(P10:P44),0)</f>
        <v/>
      </c>
      <c r="U7" s="8">
        <f>IFERROR(COUNTIF(Q10:Q44, U$4)/COUNTA(Q10:Q44),0)</f>
        <v/>
      </c>
      <c r="V7" s="7" t="n"/>
      <c r="W7" s="7" t="n"/>
      <c r="X7" s="7" t="n"/>
      <c r="Y7" s="7" t="n"/>
    </row>
    <row r="8">
      <c r="I8" t="inlineStr">
        <is>
          <t>(det by 8)</t>
        </is>
      </c>
      <c r="N8" t="inlineStr">
        <is>
          <t>(jax by 8)</t>
        </is>
      </c>
      <c r="S8" t="inlineStr">
        <is>
          <t>(lac by 11)</t>
        </is>
      </c>
    </row>
    <row r="9" ht="28.8" customHeight="1" s="54">
      <c r="A9" s="9" t="inlineStr">
        <is>
          <t>Winnings</t>
        </is>
      </c>
      <c r="B9" s="9" t="inlineStr">
        <is>
          <t>Wins</t>
        </is>
      </c>
      <c r="C9" s="9" t="inlineStr">
        <is>
          <t>Wins</t>
        </is>
      </c>
      <c r="D9" s="9" t="inlineStr">
        <is>
          <t>Rank</t>
        </is>
      </c>
      <c r="E9" s="9" t="inlineStr">
        <is>
          <t>Player</t>
        </is>
      </c>
      <c r="F9" s="9" t="inlineStr">
        <is>
          <t>G1</t>
        </is>
      </c>
      <c r="G9" s="9" t="inlineStr">
        <is>
          <t>G2</t>
        </is>
      </c>
      <c r="H9" s="9" t="inlineStr">
        <is>
          <t>G3</t>
        </is>
      </c>
      <c r="I9" s="9" t="inlineStr">
        <is>
          <t>G4</t>
        </is>
      </c>
      <c r="J9" s="9" t="inlineStr">
        <is>
          <t>G5</t>
        </is>
      </c>
      <c r="K9" s="9" t="inlineStr">
        <is>
          <t>G6</t>
        </is>
      </c>
      <c r="L9" s="9" t="inlineStr">
        <is>
          <t>G7</t>
        </is>
      </c>
      <c r="M9" s="9" t="inlineStr">
        <is>
          <t>G8</t>
        </is>
      </c>
      <c r="N9" s="9" t="inlineStr">
        <is>
          <t>G9</t>
        </is>
      </c>
      <c r="O9" s="9" t="inlineStr">
        <is>
          <t>G10</t>
        </is>
      </c>
      <c r="P9" s="9" t="inlineStr">
        <is>
          <t>G11</t>
        </is>
      </c>
      <c r="Q9" s="9" t="inlineStr">
        <is>
          <t>G12</t>
        </is>
      </c>
      <c r="R9" s="9" t="inlineStr">
        <is>
          <t>G13</t>
        </is>
      </c>
      <c r="S9" s="9" t="inlineStr">
        <is>
          <t>G14</t>
        </is>
      </c>
      <c r="T9" s="9" t="inlineStr">
        <is>
          <t>G15</t>
        </is>
      </c>
      <c r="U9" s="9" t="inlineStr">
        <is>
          <t>G16</t>
        </is>
      </c>
      <c r="V9" s="9" t="inlineStr">
        <is>
          <t>Loser 1</t>
        </is>
      </c>
      <c r="W9" s="9" t="inlineStr">
        <is>
          <t>Loser 2</t>
        </is>
      </c>
      <c r="X9" s="9" t="inlineStr">
        <is>
          <t>Loser 3</t>
        </is>
      </c>
      <c r="Y9" s="9" t="inlineStr">
        <is>
          <t>Suicide</t>
        </is>
      </c>
      <c r="Z9" s="9" t="inlineStr">
        <is>
          <t>Home Team %</t>
        </is>
      </c>
      <c r="AA9" s="9" t="inlineStr">
        <is>
          <t>$ Owed</t>
        </is>
      </c>
      <c r="AB9" s="9" t="inlineStr">
        <is>
          <t>Games Behind</t>
        </is>
      </c>
      <c r="AC9" s="9" t="inlineStr">
        <is>
          <t>Win %</t>
        </is>
      </c>
    </row>
    <row r="10">
      <c r="A10" s="2">
        <f>IF(AD10=0,$AD$46, " ")</f>
        <v/>
      </c>
      <c r="B10">
        <f>SUM(V10:X10)+C10</f>
        <v/>
      </c>
      <c r="C10">
        <f>COUNTA(F10:U10)</f>
        <v/>
      </c>
      <c r="D10">
        <f>_xlfn.RANK.EQ(B10,$B$10:$B$44,0)</f>
        <v/>
      </c>
      <c r="E10" t="inlineStr">
        <is>
          <t>Kit</t>
        </is>
      </c>
      <c r="F10" t="inlineStr">
        <is>
          <t>SEATTLE</t>
        </is>
      </c>
      <c r="J10" t="inlineStr">
        <is>
          <t xml:space="preserve"> new york jets</t>
        </is>
      </c>
      <c r="K10" t="inlineStr">
        <is>
          <t xml:space="preserve"> baltimore</t>
        </is>
      </c>
      <c r="L10" t="inlineStr">
        <is>
          <t xml:space="preserve"> PITTSBURGH</t>
        </is>
      </c>
      <c r="N10" t="inlineStr">
        <is>
          <t xml:space="preserve"> JACKSONVILLE </t>
        </is>
      </c>
      <c r="O10" t="inlineStr">
        <is>
          <t xml:space="preserve"> buffalo</t>
        </is>
      </c>
      <c r="U10" t="inlineStr">
        <is>
          <t xml:space="preserve"> KANSAS CITY</t>
        </is>
      </c>
      <c r="V10" s="11" t="n">
        <v>1</v>
      </c>
      <c r="W10" t="inlineStr">
        <is>
          <t xml:space="preserve"> Arizona</t>
        </is>
      </c>
      <c r="X10" t="inlineStr">
        <is>
          <t xml:space="preserve"> Las Vegas</t>
        </is>
      </c>
      <c r="Y10" s="11" t="inlineStr">
        <is>
          <t xml:space="preserve"> Green Bay</t>
        </is>
      </c>
      <c r="Z10" s="1">
        <f>IFERROR(COUNTIF(F10:U10,"W")/COUNTA(F10:U10),0)</f>
        <v/>
      </c>
      <c r="AA10">
        <f>MAX($B$10:$B$44)-B10</f>
        <v/>
      </c>
      <c r="AB10" s="1">
        <f>IFERROR(B10/16,0)</f>
        <v/>
      </c>
      <c r="AD10" s="76">
        <f>MAX($B$7:$B$141)-B10</f>
        <v/>
      </c>
    </row>
    <row r="11">
      <c r="A11" s="2">
        <f>IF(AD11=0,$AD$46, " ")</f>
        <v/>
      </c>
      <c r="B11">
        <f>SUM(V11:X11)+C11</f>
        <v/>
      </c>
      <c r="C11">
        <f>COUNTA(F11:U11)</f>
        <v/>
      </c>
      <c r="D11">
        <f>_xlfn.RANK.EQ(B11,$B$10:$B$44,0)</f>
        <v/>
      </c>
      <c r="E11" t="inlineStr">
        <is>
          <t>meatloaf</t>
        </is>
      </c>
      <c r="F11" t="inlineStr">
        <is>
          <t>SEATTLE</t>
        </is>
      </c>
      <c r="H11" t="inlineStr">
        <is>
          <t xml:space="preserve"> CINCINNATI</t>
        </is>
      </c>
      <c r="K11" t="inlineStr">
        <is>
          <t xml:space="preserve"> baltimore</t>
        </is>
      </c>
      <c r="L11" t="inlineStr">
        <is>
          <t xml:space="preserve"> PITTSBURGH</t>
        </is>
      </c>
      <c r="M11" t="inlineStr">
        <is>
          <t xml:space="preserve"> chicago</t>
        </is>
      </c>
      <c r="N11" t="inlineStr">
        <is>
          <t xml:space="preserve"> JACKSONVILLE </t>
        </is>
      </c>
      <c r="O11" t="inlineStr">
        <is>
          <t xml:space="preserve"> buffalo</t>
        </is>
      </c>
      <c r="P11" t="inlineStr">
        <is>
          <t xml:space="preserve"> LAS VEGAS</t>
        </is>
      </c>
      <c r="R11" t="inlineStr">
        <is>
          <t xml:space="preserve"> PHILADELPHIA</t>
        </is>
      </c>
      <c r="U11" t="inlineStr">
        <is>
          <t xml:space="preserve"> KANSAS CITY</t>
        </is>
      </c>
      <c r="V11" s="12" t="inlineStr">
        <is>
          <t xml:space="preserve"> New Orleans</t>
        </is>
      </c>
      <c r="W11" t="n">
        <v>1</v>
      </c>
      <c r="X11" t="inlineStr">
        <is>
          <t xml:space="preserve"> Arizona</t>
        </is>
      </c>
      <c r="Y11" s="12" t="inlineStr">
        <is>
          <t xml:space="preserve"> Philadelphia</t>
        </is>
      </c>
      <c r="Z11" s="1">
        <f>IFERROR(COUNTIF(F11:U11,"W")/COUNTA(F11:U11),0)</f>
        <v/>
      </c>
      <c r="AA11">
        <f>MAX($B$10:$B$44)-B11</f>
        <v/>
      </c>
      <c r="AB11" s="1">
        <f>IFERROR(B11/16,0)</f>
        <v/>
      </c>
      <c r="AD11" s="76">
        <f>MAX($B$7:$B$141)-B11</f>
        <v/>
      </c>
    </row>
    <row r="12">
      <c r="A12" s="2">
        <f>IF(AD12=0,$AD$46, " ")</f>
        <v/>
      </c>
      <c r="B12">
        <f>SUM(V12:X12)+C12</f>
        <v/>
      </c>
      <c r="C12">
        <f>COUNTA(F12:U12)</f>
        <v/>
      </c>
      <c r="D12">
        <f>_xlfn.RANK.EQ(B12,$B$10:$B$44,0)</f>
        <v/>
      </c>
      <c r="E12" t="inlineStr">
        <is>
          <t>Vonasek Family</t>
        </is>
      </c>
      <c r="F12" t="inlineStr">
        <is>
          <t>SEATTLE</t>
        </is>
      </c>
      <c r="H12" t="inlineStr">
        <is>
          <t xml:space="preserve"> CINCINNATI</t>
        </is>
      </c>
      <c r="K12" t="inlineStr">
        <is>
          <t xml:space="preserve"> baltimore</t>
        </is>
      </c>
      <c r="L12" t="inlineStr">
        <is>
          <t xml:space="preserve"> PITTSBURGH</t>
        </is>
      </c>
      <c r="M12" t="inlineStr">
        <is>
          <t xml:space="preserve"> chicago</t>
        </is>
      </c>
      <c r="N12" t="inlineStr">
        <is>
          <t xml:space="preserve"> JACKSONVILLE </t>
        </is>
      </c>
      <c r="O12" t="inlineStr">
        <is>
          <t xml:space="preserve"> buffalo</t>
        </is>
      </c>
      <c r="P12" t="inlineStr">
        <is>
          <t xml:space="preserve"> LAS VEGAS</t>
        </is>
      </c>
      <c r="R12" t="inlineStr">
        <is>
          <t xml:space="preserve"> PHILADELPHIA</t>
        </is>
      </c>
      <c r="U12" t="inlineStr">
        <is>
          <t xml:space="preserve"> KANSAS CITY</t>
        </is>
      </c>
      <c r="V12" s="12" t="inlineStr">
        <is>
          <t xml:space="preserve"> Arizona</t>
        </is>
      </c>
      <c r="W12" t="inlineStr">
        <is>
          <t xml:space="preserve"> Washington</t>
        </is>
      </c>
      <c r="X12" t="n">
        <v>1</v>
      </c>
      <c r="Y12" s="12" t="inlineStr">
        <is>
          <t xml:space="preserve"> Los Angeles Rams</t>
        </is>
      </c>
      <c r="Z12" s="1">
        <f>IFERROR(COUNTIF(F12:U12,"W")/COUNTA(F12:U12),0)</f>
        <v/>
      </c>
      <c r="AA12">
        <f>MAX($B$10:$B$44)-B12</f>
        <v/>
      </c>
      <c r="AB12" s="1">
        <f>IFERROR(B12/16,0)</f>
        <v/>
      </c>
      <c r="AD12" s="76">
        <f>MAX($B$7:$B$141)-B12</f>
        <v/>
      </c>
    </row>
    <row r="13">
      <c r="A13" s="2">
        <f>IF(AD13=0,$AD$46, " ")</f>
        <v/>
      </c>
      <c r="B13">
        <f>SUM(V13:X13)+C13</f>
        <v/>
      </c>
      <c r="C13">
        <f>COUNTA(F13:U13)</f>
        <v/>
      </c>
      <c r="D13">
        <f>_xlfn.RANK.EQ(B13,$B$10:$B$44,0)</f>
        <v/>
      </c>
      <c r="E13" t="inlineStr">
        <is>
          <t>Phelpy</t>
        </is>
      </c>
      <c r="F13" t="inlineStr">
        <is>
          <t>SEATTLE</t>
        </is>
      </c>
      <c r="H13" t="inlineStr">
        <is>
          <t xml:space="preserve"> CINCINNATI</t>
        </is>
      </c>
      <c r="I13" t="inlineStr">
        <is>
          <t xml:space="preserve"> new orleans</t>
        </is>
      </c>
      <c r="J13" t="inlineStr">
        <is>
          <t xml:space="preserve"> new york jets</t>
        </is>
      </c>
      <c r="K13" t="inlineStr">
        <is>
          <t xml:space="preserve"> baltimore</t>
        </is>
      </c>
      <c r="L13" t="inlineStr">
        <is>
          <t xml:space="preserve"> PITTSBURGH</t>
        </is>
      </c>
      <c r="M13" t="inlineStr">
        <is>
          <t xml:space="preserve"> chicago</t>
        </is>
      </c>
      <c r="N13" t="inlineStr">
        <is>
          <t xml:space="preserve"> JACKSONVILLE </t>
        </is>
      </c>
      <c r="O13" t="inlineStr">
        <is>
          <t xml:space="preserve"> buffalo</t>
        </is>
      </c>
      <c r="P13" t="inlineStr">
        <is>
          <t xml:space="preserve"> LAS VEGAS</t>
        </is>
      </c>
      <c r="Q13" t="inlineStr">
        <is>
          <t xml:space="preserve"> MINNESOTA</t>
        </is>
      </c>
      <c r="R13" t="inlineStr">
        <is>
          <t xml:space="preserve"> PHILADELPHIA</t>
        </is>
      </c>
      <c r="U13" t="inlineStr">
        <is>
          <t xml:space="preserve"> KANSAS CITY</t>
        </is>
      </c>
      <c r="V13" s="12" t="n">
        <v>1</v>
      </c>
      <c r="W13" t="inlineStr">
        <is>
          <t xml:space="preserve"> Arizona</t>
        </is>
      </c>
      <c r="X13" t="inlineStr">
        <is>
          <t xml:space="preserve"> Miami</t>
        </is>
      </c>
      <c r="Y13" s="12" t="inlineStr">
        <is>
          <t xml:space="preserve"> Philadelphia</t>
        </is>
      </c>
      <c r="Z13" s="1">
        <f>IFERROR(COUNTIF(F13:U13,"W")/COUNTA(F13:U13),0)</f>
        <v/>
      </c>
      <c r="AA13">
        <f>MAX($B$10:$B$44)-B13</f>
        <v/>
      </c>
      <c r="AB13" s="1">
        <f>IFERROR(B13/16,0)</f>
        <v/>
      </c>
      <c r="AD13" s="76">
        <f>MAX($B$7:$B$141)-B13</f>
        <v/>
      </c>
    </row>
    <row r="14">
      <c r="A14" s="2">
        <f>IF(AD14=0,$AD$46, " ")</f>
        <v/>
      </c>
      <c r="B14">
        <f>SUM(V14:X14)+C14</f>
        <v/>
      </c>
      <c r="C14">
        <f>COUNTA(F14:U14)</f>
        <v/>
      </c>
      <c r="D14">
        <f>_xlfn.RANK.EQ(B14,$B$10:$B$44,0)</f>
        <v/>
      </c>
      <c r="E14" t="inlineStr">
        <is>
          <t>Stan</t>
        </is>
      </c>
      <c r="F14" t="inlineStr">
        <is>
          <t>SEATTLE</t>
        </is>
      </c>
      <c r="H14" t="inlineStr">
        <is>
          <t xml:space="preserve"> CINCINNATI</t>
        </is>
      </c>
      <c r="K14" t="inlineStr">
        <is>
          <t xml:space="preserve"> baltimore</t>
        </is>
      </c>
      <c r="L14" t="inlineStr">
        <is>
          <t xml:space="preserve"> PITTSBURGH</t>
        </is>
      </c>
      <c r="M14" t="inlineStr">
        <is>
          <t xml:space="preserve"> chicago</t>
        </is>
      </c>
      <c r="N14" t="inlineStr">
        <is>
          <t xml:space="preserve"> JACKSONVILLE </t>
        </is>
      </c>
      <c r="O14" t="inlineStr">
        <is>
          <t xml:space="preserve"> buffalo</t>
        </is>
      </c>
      <c r="P14" t="inlineStr">
        <is>
          <t xml:space="preserve"> LAS VEGAS</t>
        </is>
      </c>
      <c r="R14" t="inlineStr">
        <is>
          <t xml:space="preserve"> PHILADELPHIA</t>
        </is>
      </c>
      <c r="U14" t="inlineStr">
        <is>
          <t xml:space="preserve"> KANSAS CITY</t>
        </is>
      </c>
      <c r="V14" s="12" t="inlineStr">
        <is>
          <t xml:space="preserve"> Arizona</t>
        </is>
      </c>
      <c r="W14" t="n">
        <v>1</v>
      </c>
      <c r="X14" t="inlineStr">
        <is>
          <t xml:space="preserve"> New Orleans</t>
        </is>
      </c>
      <c r="Y14" s="12" t="inlineStr">
        <is>
          <t xml:space="preserve"> Baltimore</t>
        </is>
      </c>
      <c r="Z14" s="1">
        <f>IFERROR(COUNTIF(F14:U14,"W")/COUNTA(F14:U14),0)</f>
        <v/>
      </c>
      <c r="AA14">
        <f>MAX($B$10:$B$44)-B14</f>
        <v/>
      </c>
      <c r="AB14" s="1">
        <f>IFERROR(B14/16,0)</f>
        <v/>
      </c>
      <c r="AD14" s="76">
        <f>MAX($B$7:$B$141)-B14</f>
        <v/>
      </c>
    </row>
    <row r="15">
      <c r="A15" s="2">
        <f>IF(AD15=0,$AD$46, " ")</f>
        <v/>
      </c>
      <c r="B15">
        <f>SUM(V15:X15)+C15</f>
        <v/>
      </c>
      <c r="C15">
        <f>COUNTA(F15:U15)</f>
        <v/>
      </c>
      <c r="D15">
        <f>_xlfn.RANK.EQ(B15,$B$10:$B$44,0)</f>
        <v/>
      </c>
      <c r="E15" t="inlineStr">
        <is>
          <t>FMF Doc</t>
        </is>
      </c>
      <c r="F15" t="inlineStr">
        <is>
          <t>SEATTLE</t>
        </is>
      </c>
      <c r="H15" t="inlineStr">
        <is>
          <t xml:space="preserve"> CINCINNATI</t>
        </is>
      </c>
      <c r="I15" t="inlineStr">
        <is>
          <t xml:space="preserve"> new orleans</t>
        </is>
      </c>
      <c r="K15" t="inlineStr">
        <is>
          <t xml:space="preserve"> baltimore</t>
        </is>
      </c>
      <c r="L15" t="inlineStr">
        <is>
          <t xml:space="preserve"> PITTSBURGH</t>
        </is>
      </c>
      <c r="M15" t="inlineStr">
        <is>
          <t xml:space="preserve"> chicago</t>
        </is>
      </c>
      <c r="N15" t="inlineStr">
        <is>
          <t xml:space="preserve"> JACKSONVILLE </t>
        </is>
      </c>
      <c r="O15" t="inlineStr">
        <is>
          <t xml:space="preserve"> buffalo</t>
        </is>
      </c>
      <c r="P15" t="inlineStr">
        <is>
          <t xml:space="preserve"> LAS VEGAS</t>
        </is>
      </c>
      <c r="R15" t="inlineStr">
        <is>
          <t xml:space="preserve"> PHILADELPHIA</t>
        </is>
      </c>
      <c r="U15" t="inlineStr">
        <is>
          <t xml:space="preserve"> KANSAS CITY</t>
        </is>
      </c>
      <c r="V15" s="12" t="n">
        <v>1</v>
      </c>
      <c r="W15" t="inlineStr">
        <is>
          <t xml:space="preserve"> Tampa Bay</t>
        </is>
      </c>
      <c r="X15" t="inlineStr">
        <is>
          <t xml:space="preserve"> Arizona</t>
        </is>
      </c>
      <c r="Y15" s="12" t="inlineStr">
        <is>
          <t xml:space="preserve"> Las Vegas</t>
        </is>
      </c>
      <c r="Z15" s="1">
        <f>IFERROR(COUNTIF(F15:U15,"W")/COUNTA(F15:U15),0)</f>
        <v/>
      </c>
      <c r="AA15">
        <f>MAX($B$10:$B$44)-B15</f>
        <v/>
      </c>
      <c r="AB15" s="1">
        <f>IFERROR(B15/16,0)</f>
        <v/>
      </c>
      <c r="AD15" s="76">
        <f>MAX($B$7:$B$141)-B15</f>
        <v/>
      </c>
    </row>
    <row r="16">
      <c r="A16" s="2">
        <f>IF(AD16=0,$AD$46, " ")</f>
        <v/>
      </c>
      <c r="B16">
        <f>SUM(V16:X16)+C16</f>
        <v/>
      </c>
      <c r="C16">
        <f>COUNTA(F16:U16)</f>
        <v/>
      </c>
      <c r="D16">
        <f>_xlfn.RANK.EQ(B16,$B$10:$B$44,0)</f>
        <v/>
      </c>
      <c r="E16" t="inlineStr">
        <is>
          <t>Ian</t>
        </is>
      </c>
      <c r="H16" t="inlineStr">
        <is>
          <t xml:space="preserve"> CINCINNATI</t>
        </is>
      </c>
      <c r="K16" t="inlineStr">
        <is>
          <t xml:space="preserve"> baltimore</t>
        </is>
      </c>
      <c r="L16" t="inlineStr">
        <is>
          <t xml:space="preserve"> PITTSBURGH</t>
        </is>
      </c>
      <c r="M16" t="inlineStr">
        <is>
          <t xml:space="preserve"> chicago</t>
        </is>
      </c>
      <c r="N16" t="inlineStr">
        <is>
          <t xml:space="preserve"> JACKSONVILLE </t>
        </is>
      </c>
      <c r="O16" t="inlineStr">
        <is>
          <t xml:space="preserve"> buffalo</t>
        </is>
      </c>
      <c r="P16" t="inlineStr">
        <is>
          <t xml:space="preserve"> LAS VEGAS</t>
        </is>
      </c>
      <c r="R16" t="inlineStr">
        <is>
          <t xml:space="preserve"> PHILADELPHIA</t>
        </is>
      </c>
      <c r="U16" t="inlineStr">
        <is>
          <t xml:space="preserve"> KANSAS CITY</t>
        </is>
      </c>
      <c r="V16" s="12" t="inlineStr">
        <is>
          <t xml:space="preserve"> Arizona</t>
        </is>
      </c>
      <c r="W16" t="n">
        <v>1</v>
      </c>
      <c r="X16" t="inlineStr">
        <is>
          <t xml:space="preserve"> New Orleans</t>
        </is>
      </c>
      <c r="Y16" s="12" t="inlineStr">
        <is>
          <t xml:space="preserve"> Los Angeles Chargers</t>
        </is>
      </c>
      <c r="Z16" s="1">
        <f>IFERROR(COUNTIF(F16:U16,"W")/COUNTA(F16:U16),0)</f>
        <v/>
      </c>
      <c r="AA16">
        <f>MAX($B$10:$B$44)-B16</f>
        <v/>
      </c>
      <c r="AB16" s="1">
        <f>IFERROR(B16/16,0)</f>
        <v/>
      </c>
      <c r="AD16" s="76">
        <f>MAX($B$7:$B$141)-B16</f>
        <v/>
      </c>
    </row>
    <row r="17">
      <c r="A17" s="2">
        <f>IF(AD17=0,$AD$46, " ")</f>
        <v/>
      </c>
      <c r="B17">
        <f>SUM(V17:X17)+C17</f>
        <v/>
      </c>
      <c r="C17">
        <f>COUNTA(F17:U17)</f>
        <v/>
      </c>
      <c r="D17">
        <f>_xlfn.RANK.EQ(B17,$B$10:$B$44,0)</f>
        <v/>
      </c>
      <c r="E17" t="inlineStr">
        <is>
          <t>cuetop</t>
        </is>
      </c>
      <c r="F17" t="inlineStr">
        <is>
          <t>SEATTLE</t>
        </is>
      </c>
      <c r="H17" t="inlineStr">
        <is>
          <t xml:space="preserve"> CINCINNATI</t>
        </is>
      </c>
      <c r="K17" t="inlineStr">
        <is>
          <t xml:space="preserve"> baltimore</t>
        </is>
      </c>
      <c r="L17" t="inlineStr">
        <is>
          <t xml:space="preserve"> PITTSBURGH</t>
        </is>
      </c>
      <c r="M17" t="inlineStr">
        <is>
          <t xml:space="preserve"> chicago</t>
        </is>
      </c>
      <c r="P17" t="inlineStr">
        <is>
          <t xml:space="preserve"> LAS VEGAS</t>
        </is>
      </c>
      <c r="Q17" t="inlineStr">
        <is>
          <t xml:space="preserve"> MINNESOTA</t>
        </is>
      </c>
      <c r="R17" t="inlineStr">
        <is>
          <t xml:space="preserve"> PHILADELPHIA</t>
        </is>
      </c>
      <c r="S17" t="inlineStr">
        <is>
          <t xml:space="preserve"> arizona</t>
        </is>
      </c>
      <c r="V17" s="12" t="n">
        <v>1</v>
      </c>
      <c r="W17" t="n">
        <v>1</v>
      </c>
      <c r="X17" t="inlineStr">
        <is>
          <t xml:space="preserve"> New Orleans</t>
        </is>
      </c>
      <c r="Y17" s="12" t="inlineStr">
        <is>
          <t xml:space="preserve"> Pittsburgh</t>
        </is>
      </c>
      <c r="Z17" s="1">
        <f>IFERROR(COUNTIF(F17:U17,"W")/COUNTA(F17:U17),0)</f>
        <v/>
      </c>
      <c r="AA17">
        <f>MAX($B$10:$B$44)-B17</f>
        <v/>
      </c>
      <c r="AB17" s="1">
        <f>IFERROR(B17/16,0)</f>
        <v/>
      </c>
      <c r="AD17" s="76">
        <f>MAX($B$7:$B$141)-B17</f>
        <v/>
      </c>
    </row>
    <row r="18">
      <c r="A18" s="2">
        <f>IF(AD18=0,$AD$46, " ")</f>
        <v/>
      </c>
      <c r="B18">
        <f>SUM(V18:X18)+C18</f>
        <v/>
      </c>
      <c r="C18">
        <f>COUNTA(F18:U18)</f>
        <v/>
      </c>
      <c r="D18">
        <f>_xlfn.RANK.EQ(B18,$B$10:$B$44,0)</f>
        <v/>
      </c>
      <c r="E18" t="inlineStr">
        <is>
          <t>Samsaunt</t>
        </is>
      </c>
      <c r="F18" t="inlineStr">
        <is>
          <t>SEATTLE</t>
        </is>
      </c>
      <c r="H18" t="inlineStr">
        <is>
          <t xml:space="preserve"> CINCINNATI</t>
        </is>
      </c>
      <c r="J18" t="inlineStr">
        <is>
          <t xml:space="preserve"> new york jets</t>
        </is>
      </c>
      <c r="K18" t="inlineStr">
        <is>
          <t xml:space="preserve"> baltimore</t>
        </is>
      </c>
      <c r="L18" t="inlineStr">
        <is>
          <t xml:space="preserve"> PITTSBURGH</t>
        </is>
      </c>
      <c r="N18" t="inlineStr">
        <is>
          <t xml:space="preserve"> JACKSONVILLE </t>
        </is>
      </c>
      <c r="P18" t="inlineStr">
        <is>
          <t xml:space="preserve"> LAS VEGAS</t>
        </is>
      </c>
      <c r="Q18" t="inlineStr">
        <is>
          <t xml:space="preserve"> MINNESOTA</t>
        </is>
      </c>
      <c r="R18" t="inlineStr">
        <is>
          <t xml:space="preserve"> PHILADELPHIA</t>
        </is>
      </c>
      <c r="V18" s="12" t="inlineStr">
        <is>
          <t xml:space="preserve"> Arizona</t>
        </is>
      </c>
      <c r="W18" t="n">
        <v>1</v>
      </c>
      <c r="X18" t="inlineStr">
        <is>
          <t xml:space="preserve"> New Orleans</t>
        </is>
      </c>
      <c r="Y18" s="12" t="inlineStr">
        <is>
          <t xml:space="preserve"> Seattle</t>
        </is>
      </c>
      <c r="Z18" s="1">
        <f>IFERROR(COUNTIF(F18:U18,"W")/COUNTA(F18:U18),0)</f>
        <v/>
      </c>
      <c r="AA18">
        <f>MAX($B$10:$B$44)-B18</f>
        <v/>
      </c>
      <c r="AB18" s="1">
        <f>IFERROR(B18/16,0)</f>
        <v/>
      </c>
      <c r="AD18" s="76">
        <f>MAX($B$7:$B$141)-B18</f>
        <v/>
      </c>
    </row>
    <row r="19">
      <c r="A19" s="2">
        <f>IF(AD19=0,$AD$46, " ")</f>
        <v/>
      </c>
      <c r="B19">
        <f>SUM(V19:X19)+C19</f>
        <v/>
      </c>
      <c r="C19">
        <f>COUNTA(F19:U19)</f>
        <v/>
      </c>
      <c r="D19">
        <f>_xlfn.RANK.EQ(B19,$B$10:$B$44,0)</f>
        <v/>
      </c>
      <c r="E19" t="inlineStr">
        <is>
          <t>Debe</t>
        </is>
      </c>
      <c r="F19" t="inlineStr">
        <is>
          <t>SEATTLE</t>
        </is>
      </c>
      <c r="H19" t="inlineStr">
        <is>
          <t xml:space="preserve"> CINCINNATI</t>
        </is>
      </c>
      <c r="K19" t="inlineStr">
        <is>
          <t xml:space="preserve"> baltimore</t>
        </is>
      </c>
      <c r="L19" t="inlineStr">
        <is>
          <t xml:space="preserve"> PITTSBURGH</t>
        </is>
      </c>
      <c r="M19" t="inlineStr">
        <is>
          <t xml:space="preserve"> chicago</t>
        </is>
      </c>
      <c r="N19" t="inlineStr">
        <is>
          <t xml:space="preserve"> JACKSONVILLE </t>
        </is>
      </c>
      <c r="P19" t="inlineStr">
        <is>
          <t xml:space="preserve"> LAS VEGAS</t>
        </is>
      </c>
      <c r="R19" t="inlineStr">
        <is>
          <t xml:space="preserve"> PHILADELPHIA</t>
        </is>
      </c>
      <c r="S19" t="inlineStr">
        <is>
          <t xml:space="preserve"> arizona</t>
        </is>
      </c>
      <c r="U19" t="inlineStr">
        <is>
          <t xml:space="preserve"> KANSAS CITY</t>
        </is>
      </c>
      <c r="V19" s="12" t="inlineStr">
        <is>
          <t xml:space="preserve"> Atlanta</t>
        </is>
      </c>
      <c r="W19" t="inlineStr">
        <is>
          <t xml:space="preserve"> New York Giants</t>
        </is>
      </c>
      <c r="X19" t="n">
        <v>1</v>
      </c>
      <c r="Y19" s="12" t="inlineStr">
        <is>
          <t xml:space="preserve"> Baltimore</t>
        </is>
      </c>
      <c r="Z19" s="1">
        <f>IFERROR(COUNTIF(F19:U19,"W")/COUNTA(F19:U19),0)</f>
        <v/>
      </c>
      <c r="AA19">
        <f>MAX($B$10:$B$44)-B19</f>
        <v/>
      </c>
      <c r="AB19" s="1">
        <f>IFERROR(B19/16,0)</f>
        <v/>
      </c>
      <c r="AD19" s="76">
        <f>MAX($B$7:$B$141)-B19</f>
        <v/>
      </c>
    </row>
    <row r="20">
      <c r="A20" s="2">
        <f>IF(AD20=0,$AD$46, " ")</f>
        <v/>
      </c>
      <c r="B20">
        <f>SUM(V20:X20)+C20</f>
        <v/>
      </c>
      <c r="C20">
        <f>COUNTA(F20:U20)</f>
        <v/>
      </c>
      <c r="D20">
        <f>_xlfn.RANK.EQ(B20,$B$10:$B$44,0)</f>
        <v/>
      </c>
      <c r="E20" t="inlineStr">
        <is>
          <t>Bob h</t>
        </is>
      </c>
      <c r="F20" t="inlineStr">
        <is>
          <t>SEATTLE</t>
        </is>
      </c>
      <c r="H20" t="inlineStr">
        <is>
          <t xml:space="preserve"> CINCINNATI</t>
        </is>
      </c>
      <c r="J20" t="inlineStr">
        <is>
          <t xml:space="preserve"> new york jets</t>
        </is>
      </c>
      <c r="K20" t="inlineStr">
        <is>
          <t xml:space="preserve"> baltimore</t>
        </is>
      </c>
      <c r="M20" t="inlineStr">
        <is>
          <t xml:space="preserve"> chicago</t>
        </is>
      </c>
      <c r="N20" t="inlineStr">
        <is>
          <t xml:space="preserve"> JACKSONVILLE </t>
        </is>
      </c>
      <c r="P20" t="inlineStr">
        <is>
          <t xml:space="preserve"> LAS VEGAS</t>
        </is>
      </c>
      <c r="R20" t="inlineStr">
        <is>
          <t xml:space="preserve"> PHILADELPHIA</t>
        </is>
      </c>
      <c r="U20" t="inlineStr">
        <is>
          <t xml:space="preserve"> KANSAS CITY</t>
        </is>
      </c>
      <c r="V20" s="12" t="inlineStr">
        <is>
          <t xml:space="preserve"> Arizona</t>
        </is>
      </c>
      <c r="W20" t="n">
        <v>1</v>
      </c>
      <c r="X20" t="inlineStr">
        <is>
          <t xml:space="preserve"> New Orleans</t>
        </is>
      </c>
      <c r="Y20" s="12" t="inlineStr">
        <is>
          <t xml:space="preserve"> Arizona</t>
        </is>
      </c>
      <c r="Z20" s="1">
        <f>IFERROR(COUNTIF(F20:U20,"W")/COUNTA(F20:U20),0)</f>
        <v/>
      </c>
      <c r="AA20">
        <f>MAX($B$10:$B$44)-B20</f>
        <v/>
      </c>
      <c r="AB20" s="1">
        <f>IFERROR(B20/16,0)</f>
        <v/>
      </c>
      <c r="AD20" s="76">
        <f>MAX($B$7:$B$141)-B20</f>
        <v/>
      </c>
    </row>
    <row r="21">
      <c r="A21" s="2">
        <f>IF(AD21=0,$AD$46, " ")</f>
        <v/>
      </c>
      <c r="B21">
        <f>SUM(V21:X21)+C21</f>
        <v/>
      </c>
      <c r="C21">
        <f>COUNTA(F21:U21)</f>
        <v/>
      </c>
      <c r="D21">
        <f>_xlfn.RANK.EQ(B21,$B$10:$B$44,0)</f>
        <v/>
      </c>
      <c r="E21" t="inlineStr">
        <is>
          <t>tb</t>
        </is>
      </c>
      <c r="F21" t="inlineStr">
        <is>
          <t>SEATTLE</t>
        </is>
      </c>
      <c r="H21" t="inlineStr">
        <is>
          <t xml:space="preserve"> CINCINNATI</t>
        </is>
      </c>
      <c r="J21" t="inlineStr">
        <is>
          <t xml:space="preserve"> new york jets</t>
        </is>
      </c>
      <c r="K21" t="inlineStr">
        <is>
          <t xml:space="preserve"> baltimore</t>
        </is>
      </c>
      <c r="L21" t="inlineStr">
        <is>
          <t xml:space="preserve"> PITTSBURGH</t>
        </is>
      </c>
      <c r="M21" t="inlineStr">
        <is>
          <t xml:space="preserve"> chicago</t>
        </is>
      </c>
      <c r="P21" t="inlineStr">
        <is>
          <t xml:space="preserve"> LAS VEGAS</t>
        </is>
      </c>
      <c r="R21" t="inlineStr">
        <is>
          <t xml:space="preserve"> PHILADELPHIA</t>
        </is>
      </c>
      <c r="S21" t="inlineStr">
        <is>
          <t xml:space="preserve"> arizona</t>
        </is>
      </c>
      <c r="T21" t="inlineStr">
        <is>
          <t xml:space="preserve"> NEW YORK GIANTS</t>
        </is>
      </c>
      <c r="U21" t="inlineStr">
        <is>
          <t xml:space="preserve"> KANSAS CITY</t>
        </is>
      </c>
      <c r="V21" s="12" t="inlineStr">
        <is>
          <t xml:space="preserve"> New Orleans</t>
        </is>
      </c>
      <c r="W21" t="inlineStr">
        <is>
          <t xml:space="preserve"> Washington</t>
        </is>
      </c>
      <c r="X21" t="n">
        <v>1</v>
      </c>
      <c r="Y21" s="12" t="inlineStr">
        <is>
          <t xml:space="preserve"> Philadelphia</t>
        </is>
      </c>
      <c r="Z21" s="1">
        <f>IFERROR(COUNTIF(F21:U21,"W")/COUNTA(F21:U21),0)</f>
        <v/>
      </c>
      <c r="AA21">
        <f>MAX($B$10:$B$44)-B21</f>
        <v/>
      </c>
      <c r="AB21" s="1">
        <f>IFERROR(B21/16,0)</f>
        <v/>
      </c>
      <c r="AD21" s="76">
        <f>MAX($B$7:$B$141)-B21</f>
        <v/>
      </c>
    </row>
    <row r="22">
      <c r="A22" s="2">
        <f>IF(AD22=0,$AD$46, " ")</f>
        <v/>
      </c>
      <c r="B22">
        <f>SUM(V22:X22)+C22</f>
        <v/>
      </c>
      <c r="C22">
        <f>COUNTA(F22:U22)</f>
        <v/>
      </c>
      <c r="D22">
        <f>_xlfn.RANK.EQ(B22,$B$10:$B$44,0)</f>
        <v/>
      </c>
      <c r="E22" t="inlineStr">
        <is>
          <t>CraneGuy936</t>
        </is>
      </c>
      <c r="F22" t="inlineStr">
        <is>
          <t>SEATTLE</t>
        </is>
      </c>
      <c r="H22" t="inlineStr">
        <is>
          <t xml:space="preserve"> CINCINNATI</t>
        </is>
      </c>
      <c r="K22" t="inlineStr">
        <is>
          <t xml:space="preserve"> baltimore</t>
        </is>
      </c>
      <c r="L22" t="inlineStr">
        <is>
          <t xml:space="preserve"> PITTSBURGH</t>
        </is>
      </c>
      <c r="M22" t="inlineStr">
        <is>
          <t xml:space="preserve"> chicago</t>
        </is>
      </c>
      <c r="N22" t="inlineStr">
        <is>
          <t xml:space="preserve"> JACKSONVILLE </t>
        </is>
      </c>
      <c r="O22" t="inlineStr">
        <is>
          <t xml:space="preserve"> buffalo</t>
        </is>
      </c>
      <c r="P22" t="inlineStr">
        <is>
          <t xml:space="preserve"> LAS VEGAS</t>
        </is>
      </c>
      <c r="R22" t="inlineStr">
        <is>
          <t xml:space="preserve"> PHILADELPHIA</t>
        </is>
      </c>
      <c r="U22" t="inlineStr">
        <is>
          <t xml:space="preserve"> KANSAS CITY</t>
        </is>
      </c>
      <c r="V22" s="12" t="inlineStr">
        <is>
          <t xml:space="preserve"> Arizona</t>
        </is>
      </c>
      <c r="W22" t="n">
        <v>1</v>
      </c>
      <c r="X22" t="inlineStr">
        <is>
          <t xml:space="preserve"> New Orleans</t>
        </is>
      </c>
      <c r="Y22" s="12" t="inlineStr">
        <is>
          <t xml:space="preserve"> Detroit</t>
        </is>
      </c>
      <c r="Z22" s="1">
        <f>IFERROR(COUNTIF(F22:U22,"W")/COUNTA(F22:U22),0)</f>
        <v/>
      </c>
      <c r="AA22">
        <f>MAX($B$10:$B$44)-B22</f>
        <v/>
      </c>
      <c r="AB22" s="1">
        <f>IFERROR(B22/16,0)</f>
        <v/>
      </c>
      <c r="AD22" s="76">
        <f>MAX($B$7:$B$141)-B22</f>
        <v/>
      </c>
    </row>
    <row r="23">
      <c r="A23" s="2">
        <f>IF(AD23=0,$AD$46, " ")</f>
        <v/>
      </c>
      <c r="B23">
        <f>SUM(V23:X23)+C23</f>
        <v/>
      </c>
      <c r="C23">
        <f>COUNTA(F23:U23)</f>
        <v/>
      </c>
      <c r="D23">
        <f>_xlfn.RANK.EQ(B23,$B$10:$B$44,0)</f>
        <v/>
      </c>
      <c r="E23" t="inlineStr">
        <is>
          <t>Regltr5</t>
        </is>
      </c>
      <c r="F23" t="inlineStr">
        <is>
          <t>SEATTLE</t>
        </is>
      </c>
      <c r="G23" t="inlineStr">
        <is>
          <t xml:space="preserve"> san francisco</t>
        </is>
      </c>
      <c r="H23" t="inlineStr">
        <is>
          <t xml:space="preserve"> CINCINNATI</t>
        </is>
      </c>
      <c r="J23" t="inlineStr">
        <is>
          <t xml:space="preserve"> new york jets</t>
        </is>
      </c>
      <c r="K23" t="inlineStr">
        <is>
          <t xml:space="preserve"> baltimore</t>
        </is>
      </c>
      <c r="L23" t="inlineStr">
        <is>
          <t xml:space="preserve"> PITTSBURGH</t>
        </is>
      </c>
      <c r="M23" t="inlineStr">
        <is>
          <t xml:space="preserve"> chicago</t>
        </is>
      </c>
      <c r="N23" t="inlineStr">
        <is>
          <t xml:space="preserve"> JACKSONVILLE </t>
        </is>
      </c>
      <c r="O23" t="inlineStr">
        <is>
          <t xml:space="preserve"> buffalo</t>
        </is>
      </c>
      <c r="P23" t="inlineStr">
        <is>
          <t xml:space="preserve"> LAS VEGAS</t>
        </is>
      </c>
      <c r="R23" t="inlineStr">
        <is>
          <t xml:space="preserve"> PHILADELPHIA</t>
        </is>
      </c>
      <c r="V23" s="12" t="inlineStr">
        <is>
          <t xml:space="preserve"> Arizona</t>
        </is>
      </c>
      <c r="W23" t="n">
        <v>1</v>
      </c>
      <c r="X23" t="inlineStr">
        <is>
          <t xml:space="preserve"> Miami</t>
        </is>
      </c>
      <c r="Y23" s="12" t="inlineStr">
        <is>
          <t xml:space="preserve"> Philadelphia</t>
        </is>
      </c>
      <c r="Z23" s="1">
        <f>IFERROR(COUNTIF(F23:U23,"W")/COUNTA(F23:U23),0)</f>
        <v/>
      </c>
      <c r="AA23">
        <f>MAX($B$10:$B$44)-B23</f>
        <v/>
      </c>
      <c r="AB23" s="1">
        <f>IFERROR(B23/16,0)</f>
        <v/>
      </c>
      <c r="AD23" s="76">
        <f>MAX($B$7:$B$141)-B23</f>
        <v/>
      </c>
    </row>
    <row r="24">
      <c r="A24" s="2">
        <f>IF(AD24=0,$AD$46, " ")</f>
        <v/>
      </c>
      <c r="B24">
        <f>SUM(V24:X24)+C24</f>
        <v/>
      </c>
      <c r="C24">
        <f>COUNTA(F24:U24)</f>
        <v/>
      </c>
      <c r="D24">
        <f>_xlfn.RANK.EQ(B24,$B$10:$B$44,0)</f>
        <v/>
      </c>
      <c r="E24" t="inlineStr">
        <is>
          <t>Katie A</t>
        </is>
      </c>
      <c r="F24" t="inlineStr">
        <is>
          <t>SEATTLE</t>
        </is>
      </c>
      <c r="H24" t="inlineStr">
        <is>
          <t xml:space="preserve"> CINCINNATI</t>
        </is>
      </c>
      <c r="J24" t="inlineStr">
        <is>
          <t xml:space="preserve"> new york jets</t>
        </is>
      </c>
      <c r="K24" t="inlineStr">
        <is>
          <t xml:space="preserve"> baltimore</t>
        </is>
      </c>
      <c r="L24" t="inlineStr">
        <is>
          <t xml:space="preserve"> PITTSBURGH</t>
        </is>
      </c>
      <c r="M24" t="inlineStr">
        <is>
          <t xml:space="preserve"> chicago</t>
        </is>
      </c>
      <c r="N24" t="inlineStr">
        <is>
          <t xml:space="preserve"> JACKSONVILLE </t>
        </is>
      </c>
      <c r="O24" t="inlineStr">
        <is>
          <t xml:space="preserve"> buffalo</t>
        </is>
      </c>
      <c r="P24" t="inlineStr">
        <is>
          <t xml:space="preserve"> LAS VEGAS</t>
        </is>
      </c>
      <c r="R24" t="inlineStr">
        <is>
          <t xml:space="preserve"> PHILADELPHIA</t>
        </is>
      </c>
      <c r="U24" t="inlineStr">
        <is>
          <t xml:space="preserve"> KANSAS CITY</t>
        </is>
      </c>
      <c r="V24" s="12" t="inlineStr">
        <is>
          <t xml:space="preserve"> Arizona</t>
        </is>
      </c>
      <c r="W24" t="n">
        <v>1</v>
      </c>
      <c r="X24" t="inlineStr">
        <is>
          <t xml:space="preserve"> Miami</t>
        </is>
      </c>
      <c r="Y24" s="12" t="inlineStr">
        <is>
          <t xml:space="preserve"> Los Angeles Chargers</t>
        </is>
      </c>
      <c r="Z24" s="1">
        <f>IFERROR(COUNTIF(F24:U24,"W")/COUNTA(F24:U24),0)</f>
        <v/>
      </c>
      <c r="AA24">
        <f>MAX($B$10:$B$44)-B24</f>
        <v/>
      </c>
      <c r="AB24" s="1">
        <f>IFERROR(B24/16,0)</f>
        <v/>
      </c>
      <c r="AD24" s="76">
        <f>MAX($B$7:$B$141)-B24</f>
        <v/>
      </c>
    </row>
    <row r="25">
      <c r="A25" s="2">
        <f>IF(AD25=0,$AD$46, " ")</f>
        <v/>
      </c>
      <c r="B25">
        <f>SUM(V25:X25)+C25</f>
        <v/>
      </c>
      <c r="C25">
        <f>COUNTA(F25:U25)</f>
        <v/>
      </c>
      <c r="D25">
        <f>_xlfn.RANK.EQ(B25,$B$10:$B$44,0)</f>
        <v/>
      </c>
      <c r="E25" t="inlineStr">
        <is>
          <t>DPSOG</t>
        </is>
      </c>
      <c r="F25" t="inlineStr">
        <is>
          <t>SEATTLE</t>
        </is>
      </c>
      <c r="H25" t="inlineStr">
        <is>
          <t xml:space="preserve"> CINCINNATI</t>
        </is>
      </c>
      <c r="I25" t="inlineStr">
        <is>
          <t xml:space="preserve"> new orleans</t>
        </is>
      </c>
      <c r="K25" t="inlineStr">
        <is>
          <t xml:space="preserve"> baltimore</t>
        </is>
      </c>
      <c r="L25" t="inlineStr">
        <is>
          <t xml:space="preserve"> PITTSBURGH</t>
        </is>
      </c>
      <c r="M25" t="inlineStr">
        <is>
          <t xml:space="preserve"> chicago</t>
        </is>
      </c>
      <c r="N25" t="inlineStr">
        <is>
          <t xml:space="preserve"> JACKSONVILLE </t>
        </is>
      </c>
      <c r="P25" t="inlineStr">
        <is>
          <t xml:space="preserve"> LAS VEGAS</t>
        </is>
      </c>
      <c r="Q25" t="inlineStr">
        <is>
          <t xml:space="preserve"> MINNESOTA</t>
        </is>
      </c>
      <c r="R25" t="inlineStr">
        <is>
          <t xml:space="preserve"> PHILADELPHIA</t>
        </is>
      </c>
      <c r="S25" t="inlineStr">
        <is>
          <t xml:space="preserve"> arizona</t>
        </is>
      </c>
      <c r="U25" t="inlineStr">
        <is>
          <t xml:space="preserve"> KANSAS CITY</t>
        </is>
      </c>
      <c r="V25" s="12" t="inlineStr">
        <is>
          <t xml:space="preserve"> New Orleans</t>
        </is>
      </c>
      <c r="W25" t="inlineStr">
        <is>
          <t xml:space="preserve"> Arizona</t>
        </is>
      </c>
      <c r="X25" t="n">
        <v>1</v>
      </c>
      <c r="Y25" s="12" t="inlineStr">
        <is>
          <t xml:space="preserve"> Pittsburgh</t>
        </is>
      </c>
      <c r="Z25" s="1">
        <f>IFERROR(COUNTIF(F25:U25,"W")/COUNTA(F25:U25),0)</f>
        <v/>
      </c>
      <c r="AA25">
        <f>MAX($B$10:$B$44)-B25</f>
        <v/>
      </c>
      <c r="AB25" s="1">
        <f>IFERROR(B25/16,0)</f>
        <v/>
      </c>
      <c r="AD25" s="76">
        <f>MAX($B$7:$B$141)-B25</f>
        <v/>
      </c>
    </row>
    <row r="26">
      <c r="A26" s="2">
        <f>IF(AD26=0,$AD$46, " ")</f>
        <v/>
      </c>
      <c r="B26">
        <f>SUM(V26:X26)+C26</f>
        <v/>
      </c>
      <c r="C26">
        <f>COUNTA(F26:U26)</f>
        <v/>
      </c>
      <c r="D26">
        <f>_xlfn.RANK.EQ(B26,$B$10:$B$44,0)</f>
        <v/>
      </c>
      <c r="E26" t="inlineStr">
        <is>
          <t>TheDogfather</t>
        </is>
      </c>
      <c r="F26" t="inlineStr">
        <is>
          <t>SEATTLE</t>
        </is>
      </c>
      <c r="G26" t="inlineStr">
        <is>
          <t xml:space="preserve"> san francisco</t>
        </is>
      </c>
      <c r="H26" t="inlineStr">
        <is>
          <t xml:space="preserve"> CINCINNATI</t>
        </is>
      </c>
      <c r="K26" t="inlineStr">
        <is>
          <t xml:space="preserve"> baltimore</t>
        </is>
      </c>
      <c r="L26" t="inlineStr">
        <is>
          <t xml:space="preserve"> PITTSBURGH</t>
        </is>
      </c>
      <c r="M26" t="inlineStr">
        <is>
          <t xml:space="preserve"> chicago</t>
        </is>
      </c>
      <c r="N26" t="inlineStr">
        <is>
          <t xml:space="preserve"> JACKSONVILLE </t>
        </is>
      </c>
      <c r="O26" t="inlineStr">
        <is>
          <t xml:space="preserve"> buffalo</t>
        </is>
      </c>
      <c r="P26" t="inlineStr">
        <is>
          <t xml:space="preserve"> LAS VEGAS</t>
        </is>
      </c>
      <c r="R26" t="inlineStr">
        <is>
          <t xml:space="preserve"> PHILADELPHIA</t>
        </is>
      </c>
      <c r="U26" t="inlineStr">
        <is>
          <t xml:space="preserve"> KANSAS CITY</t>
        </is>
      </c>
      <c r="V26" s="12" t="inlineStr">
        <is>
          <t xml:space="preserve"> New Orleans</t>
        </is>
      </c>
      <c r="W26" t="inlineStr">
        <is>
          <t xml:space="preserve"> Jacksonville</t>
        </is>
      </c>
      <c r="X26" t="n">
        <v>1</v>
      </c>
      <c r="Y26" s="12" t="inlineStr">
        <is>
          <t xml:space="preserve"> Baltimore</t>
        </is>
      </c>
      <c r="Z26" s="1">
        <f>IFERROR(COUNTIF(F26:U26,"W")/COUNTA(F26:U26),0)</f>
        <v/>
      </c>
      <c r="AA26">
        <f>MAX($B$10:$B$44)-B26</f>
        <v/>
      </c>
      <c r="AB26" s="1">
        <f>IFERROR(B26/16,0)</f>
        <v/>
      </c>
      <c r="AD26" s="76">
        <f>MAX($B$7:$B$141)-B26</f>
        <v/>
      </c>
    </row>
    <row r="27">
      <c r="A27" s="2">
        <f>IF(AD27=0,$AD$46, " ")</f>
        <v/>
      </c>
      <c r="B27">
        <f>SUM(V27:X27)+C27</f>
        <v/>
      </c>
      <c r="C27">
        <f>COUNTA(F27:U27)</f>
        <v/>
      </c>
      <c r="D27">
        <f>_xlfn.RANK.EQ(B27,$B$10:$B$44,0)</f>
        <v/>
      </c>
      <c r="E27" t="inlineStr">
        <is>
          <t>Ryan S</t>
        </is>
      </c>
      <c r="F27" t="inlineStr">
        <is>
          <t>SEATTLE</t>
        </is>
      </c>
      <c r="K27" t="inlineStr">
        <is>
          <t xml:space="preserve"> baltimore</t>
        </is>
      </c>
      <c r="L27" t="inlineStr">
        <is>
          <t xml:space="preserve"> PITTSBURGH</t>
        </is>
      </c>
      <c r="M27" t="inlineStr">
        <is>
          <t xml:space="preserve"> chicago</t>
        </is>
      </c>
      <c r="N27" t="inlineStr">
        <is>
          <t xml:space="preserve"> JACKSONVILLE </t>
        </is>
      </c>
      <c r="O27" t="inlineStr">
        <is>
          <t xml:space="preserve"> buffalo</t>
        </is>
      </c>
      <c r="P27" t="inlineStr">
        <is>
          <t xml:space="preserve"> LAS VEGAS</t>
        </is>
      </c>
      <c r="R27" t="inlineStr">
        <is>
          <t xml:space="preserve"> PHILADELPHIA</t>
        </is>
      </c>
      <c r="U27" t="inlineStr">
        <is>
          <t xml:space="preserve"> KANSAS CITY</t>
        </is>
      </c>
      <c r="V27" s="12" t="n">
        <v>1</v>
      </c>
      <c r="W27" t="inlineStr">
        <is>
          <t xml:space="preserve"> New Orleans</t>
        </is>
      </c>
      <c r="X27" t="inlineStr">
        <is>
          <t xml:space="preserve"> Washington</t>
        </is>
      </c>
      <c r="Y27" s="12" t="inlineStr">
        <is>
          <t xml:space="preserve"> Tennessee</t>
        </is>
      </c>
      <c r="Z27" s="1">
        <f>IFERROR(COUNTIF(F27:U27,"W")/COUNTA(F27:U27),0)</f>
        <v/>
      </c>
      <c r="AA27">
        <f>MAX($B$10:$B$44)-B27</f>
        <v/>
      </c>
      <c r="AB27" s="1">
        <f>IFERROR(B27/16,0)</f>
        <v/>
      </c>
      <c r="AD27" s="76">
        <f>MAX($B$7:$B$141)-B27</f>
        <v/>
      </c>
    </row>
    <row r="28">
      <c r="A28" s="2">
        <f>IF(AD28=0,$AD$46, " ")</f>
        <v/>
      </c>
      <c r="B28">
        <f>SUM(V28:X28)+C28</f>
        <v/>
      </c>
      <c r="C28">
        <f>COUNTA(F28:U28)</f>
        <v/>
      </c>
      <c r="D28">
        <f>_xlfn.RANK.EQ(B28,$B$10:$B$44,0)</f>
        <v/>
      </c>
      <c r="E28" t="inlineStr">
        <is>
          <t>The Dark Side</t>
        </is>
      </c>
      <c r="F28" t="inlineStr">
        <is>
          <t>SEATTLE</t>
        </is>
      </c>
      <c r="H28" t="inlineStr">
        <is>
          <t xml:space="preserve"> CINCINNATI</t>
        </is>
      </c>
      <c r="K28" t="inlineStr">
        <is>
          <t xml:space="preserve"> baltimore</t>
        </is>
      </c>
      <c r="M28" t="inlineStr">
        <is>
          <t xml:space="preserve"> chicago</t>
        </is>
      </c>
      <c r="N28" t="inlineStr">
        <is>
          <t xml:space="preserve"> JACKSONVILLE </t>
        </is>
      </c>
      <c r="P28" t="inlineStr">
        <is>
          <t xml:space="preserve"> LAS VEGAS</t>
        </is>
      </c>
      <c r="R28" t="inlineStr">
        <is>
          <t xml:space="preserve"> PHILADELPHIA</t>
        </is>
      </c>
      <c r="S28" t="inlineStr">
        <is>
          <t xml:space="preserve"> arizona</t>
        </is>
      </c>
      <c r="V28" s="12" t="inlineStr">
        <is>
          <t xml:space="preserve"> New Orleans</t>
        </is>
      </c>
      <c r="W28" t="n">
        <v>1</v>
      </c>
      <c r="X28" t="inlineStr">
        <is>
          <t xml:space="preserve"> Washington</t>
        </is>
      </c>
      <c r="Y28" s="12" t="inlineStr">
        <is>
          <t xml:space="preserve"> Tennessee</t>
        </is>
      </c>
      <c r="Z28" s="1">
        <f>IFERROR(COUNTIF(F28:U28,"W")/COUNTA(F28:U28),0)</f>
        <v/>
      </c>
      <c r="AA28">
        <f>MAX($B$10:$B$44)-B28</f>
        <v/>
      </c>
      <c r="AB28" s="1">
        <f>IFERROR(B28/16,0)</f>
        <v/>
      </c>
      <c r="AD28" s="76">
        <f>MAX($B$7:$B$141)-B28</f>
        <v/>
      </c>
    </row>
    <row r="29">
      <c r="A29" s="2">
        <f>IF(AD29=0,$AD$46, " ")</f>
        <v/>
      </c>
      <c r="B29">
        <f>SUM(V29:X29)+C29</f>
        <v/>
      </c>
      <c r="C29">
        <f>COUNTA(F29:U29)</f>
        <v/>
      </c>
      <c r="D29">
        <f>_xlfn.RANK.EQ(B29,$B$10:$B$44,0)</f>
        <v/>
      </c>
      <c r="E29" t="inlineStr">
        <is>
          <t>Frankethetank</t>
        </is>
      </c>
      <c r="F29" t="inlineStr">
        <is>
          <t>SEATTLE</t>
        </is>
      </c>
      <c r="I29" t="inlineStr">
        <is>
          <t xml:space="preserve"> new orleans</t>
        </is>
      </c>
      <c r="J29" t="inlineStr">
        <is>
          <t xml:space="preserve"> new york jets</t>
        </is>
      </c>
      <c r="K29" t="inlineStr">
        <is>
          <t xml:space="preserve"> baltimore</t>
        </is>
      </c>
      <c r="L29" t="inlineStr">
        <is>
          <t xml:space="preserve"> PITTSBURGH</t>
        </is>
      </c>
      <c r="M29" t="inlineStr">
        <is>
          <t xml:space="preserve"> chicago</t>
        </is>
      </c>
      <c r="P29" t="inlineStr">
        <is>
          <t xml:space="preserve"> LAS VEGAS</t>
        </is>
      </c>
      <c r="R29" t="inlineStr">
        <is>
          <t xml:space="preserve"> PHILADELPHIA</t>
        </is>
      </c>
      <c r="S29" t="inlineStr">
        <is>
          <t xml:space="preserve"> arizona</t>
        </is>
      </c>
      <c r="U29" t="inlineStr">
        <is>
          <t xml:space="preserve"> KANSAS CITY</t>
        </is>
      </c>
      <c r="V29" s="12" t="inlineStr">
        <is>
          <t xml:space="preserve"> Arizona</t>
        </is>
      </c>
      <c r="W29" t="n">
        <v>1</v>
      </c>
      <c r="X29" t="inlineStr">
        <is>
          <t xml:space="preserve"> Atlanta</t>
        </is>
      </c>
      <c r="Y29" s="12" t="inlineStr">
        <is>
          <t xml:space="preserve"> Pittsburgh</t>
        </is>
      </c>
      <c r="Z29" s="1">
        <f>IFERROR(COUNTIF(F29:U29,"W")/COUNTA(F29:U29),0)</f>
        <v/>
      </c>
      <c r="AA29">
        <f>MAX($B$10:$B$44)-B29</f>
        <v/>
      </c>
      <c r="AB29" s="1">
        <f>IFERROR(B29/16,0)</f>
        <v/>
      </c>
      <c r="AD29" s="76">
        <f>MAX($B$7:$B$141)-B29</f>
        <v/>
      </c>
    </row>
    <row r="30">
      <c r="A30" s="2">
        <f>IF(AD30=0,$AD$46, " ")</f>
        <v/>
      </c>
      <c r="B30">
        <f>SUM(V30:X30)+C30</f>
        <v/>
      </c>
      <c r="C30">
        <f>COUNTA(F30:U30)</f>
        <v/>
      </c>
      <c r="D30">
        <f>_xlfn.RANK.EQ(B30,$B$10:$B$44,0)</f>
        <v/>
      </c>
      <c r="E30" t="inlineStr">
        <is>
          <t>Jim T</t>
        </is>
      </c>
      <c r="F30" t="inlineStr">
        <is>
          <t>SEATTLE</t>
        </is>
      </c>
      <c r="G30" t="inlineStr">
        <is>
          <t xml:space="preserve"> san francisco</t>
        </is>
      </c>
      <c r="H30" t="inlineStr">
        <is>
          <t xml:space="preserve"> CINCINNATI</t>
        </is>
      </c>
      <c r="L30" t="inlineStr">
        <is>
          <t xml:space="preserve"> PITTSBURGH</t>
        </is>
      </c>
      <c r="M30" t="inlineStr">
        <is>
          <t xml:space="preserve"> chicago</t>
        </is>
      </c>
      <c r="N30" t="inlineStr">
        <is>
          <t xml:space="preserve"> JACKSONVILLE </t>
        </is>
      </c>
      <c r="O30" t="inlineStr">
        <is>
          <t xml:space="preserve"> buffalo</t>
        </is>
      </c>
      <c r="Q30" t="inlineStr">
        <is>
          <t xml:space="preserve"> MINNESOTA</t>
        </is>
      </c>
      <c r="R30" t="inlineStr">
        <is>
          <t xml:space="preserve"> PHILADELPHIA</t>
        </is>
      </c>
      <c r="T30" t="inlineStr">
        <is>
          <t xml:space="preserve"> NEW YORK GIANTS</t>
        </is>
      </c>
      <c r="U30" t="inlineStr">
        <is>
          <t xml:space="preserve"> KANSAS CITY</t>
        </is>
      </c>
      <c r="V30" s="12" t="n">
        <v>1</v>
      </c>
      <c r="W30" t="inlineStr">
        <is>
          <t xml:space="preserve"> New Orleans</t>
        </is>
      </c>
      <c r="X30" t="inlineStr">
        <is>
          <t xml:space="preserve"> Arizona</t>
        </is>
      </c>
      <c r="Y30" s="12" t="inlineStr">
        <is>
          <t xml:space="preserve"> Detroit</t>
        </is>
      </c>
      <c r="Z30" s="1">
        <f>IFERROR(COUNTIF(F30:U30,"W")/COUNTA(F30:U30),0)</f>
        <v/>
      </c>
      <c r="AA30">
        <f>MAX($B$10:$B$44)-B30</f>
        <v/>
      </c>
      <c r="AB30" s="1">
        <f>IFERROR(B30/16,0)</f>
        <v/>
      </c>
      <c r="AD30" s="76">
        <f>MAX($B$7:$B$141)-B30</f>
        <v/>
      </c>
    </row>
    <row r="31">
      <c r="A31" s="2">
        <f>IF(AD31=0,$AD$46, " ")</f>
        <v/>
      </c>
      <c r="B31">
        <f>SUM(V31:X31)+C31</f>
        <v/>
      </c>
      <c r="C31">
        <f>COUNTA(F31:U31)</f>
        <v/>
      </c>
      <c r="D31">
        <f>_xlfn.RANK.EQ(B31,$B$10:$B$44,0)</f>
        <v/>
      </c>
      <c r="E31" t="inlineStr">
        <is>
          <t>MiMi</t>
        </is>
      </c>
      <c r="F31" t="inlineStr">
        <is>
          <t>SEATTLE</t>
        </is>
      </c>
      <c r="K31" t="inlineStr">
        <is>
          <t xml:space="preserve"> baltimore</t>
        </is>
      </c>
      <c r="L31" t="inlineStr">
        <is>
          <t xml:space="preserve"> PITTSBURGH</t>
        </is>
      </c>
      <c r="M31" t="inlineStr">
        <is>
          <t xml:space="preserve"> chicago</t>
        </is>
      </c>
      <c r="N31" t="inlineStr">
        <is>
          <t xml:space="preserve"> JACKSONVILLE </t>
        </is>
      </c>
      <c r="O31" t="inlineStr">
        <is>
          <t xml:space="preserve"> buffalo</t>
        </is>
      </c>
      <c r="P31" t="inlineStr">
        <is>
          <t xml:space="preserve"> LAS VEGAS</t>
        </is>
      </c>
      <c r="Q31" t="inlineStr">
        <is>
          <t xml:space="preserve"> MINNESOTA</t>
        </is>
      </c>
      <c r="S31" t="inlineStr">
        <is>
          <t xml:space="preserve"> arizona</t>
        </is>
      </c>
      <c r="U31" t="inlineStr">
        <is>
          <t xml:space="preserve"> KANSAS CITY</t>
        </is>
      </c>
      <c r="V31" s="12" t="inlineStr">
        <is>
          <t xml:space="preserve"> New Orleans</t>
        </is>
      </c>
      <c r="W31" t="n">
        <v>1</v>
      </c>
      <c r="X31" t="inlineStr">
        <is>
          <t xml:space="preserve"> Miami</t>
        </is>
      </c>
      <c r="Y31" s="12" t="inlineStr">
        <is>
          <t xml:space="preserve"> Las Vegas</t>
        </is>
      </c>
      <c r="Z31" s="1">
        <f>IFERROR(COUNTIF(F31:U31,"W")/COUNTA(F31:U31),0)</f>
        <v/>
      </c>
      <c r="AA31">
        <f>MAX($B$10:$B$44)-B31</f>
        <v/>
      </c>
      <c r="AB31" s="1">
        <f>IFERROR(B31/16,0)</f>
        <v/>
      </c>
      <c r="AD31" s="76">
        <f>MAX($B$7:$B$141)-B31</f>
        <v/>
      </c>
    </row>
    <row r="32">
      <c r="A32" s="2">
        <f>IF(AD32=0,$AD$46, " ")</f>
        <v/>
      </c>
      <c r="B32">
        <f>SUM(V32:X32)+C32</f>
        <v/>
      </c>
      <c r="C32">
        <f>COUNTA(F32:U32)</f>
        <v/>
      </c>
      <c r="D32">
        <f>_xlfn.RANK.EQ(B32,$B$10:$B$44,0)</f>
        <v/>
      </c>
      <c r="E32" t="inlineStr">
        <is>
          <t>Gr8granpa</t>
        </is>
      </c>
      <c r="F32" t="inlineStr">
        <is>
          <t>SEATTLE</t>
        </is>
      </c>
      <c r="H32" t="inlineStr">
        <is>
          <t xml:space="preserve"> CINCINNATI</t>
        </is>
      </c>
      <c r="K32" t="inlineStr">
        <is>
          <t xml:space="preserve"> baltimore</t>
        </is>
      </c>
      <c r="L32" t="inlineStr">
        <is>
          <t xml:space="preserve"> PITTSBURGH</t>
        </is>
      </c>
      <c r="M32" t="inlineStr">
        <is>
          <t xml:space="preserve"> chicago</t>
        </is>
      </c>
      <c r="N32" t="inlineStr">
        <is>
          <t xml:space="preserve"> JACKSONVILLE </t>
        </is>
      </c>
      <c r="O32" t="inlineStr">
        <is>
          <t xml:space="preserve"> buffalo</t>
        </is>
      </c>
      <c r="P32" t="inlineStr">
        <is>
          <t xml:space="preserve"> LAS VEGAS</t>
        </is>
      </c>
      <c r="U32" t="inlineStr">
        <is>
          <t xml:space="preserve"> KANSAS CITY</t>
        </is>
      </c>
      <c r="V32" s="12" t="inlineStr">
        <is>
          <t xml:space="preserve"> Arizona</t>
        </is>
      </c>
      <c r="W32" t="inlineStr">
        <is>
          <t xml:space="preserve"> New Orleans</t>
        </is>
      </c>
      <c r="X32" t="n">
        <v>1</v>
      </c>
      <c r="Y32" s="12" t="inlineStr">
        <is>
          <t xml:space="preserve"> Kansas City</t>
        </is>
      </c>
      <c r="Z32" s="1">
        <f>IFERROR(COUNTIF(F32:U32,"W")/COUNTA(F32:U32),0)</f>
        <v/>
      </c>
      <c r="AA32">
        <f>MAX($B$10:$B$44)-B32</f>
        <v/>
      </c>
      <c r="AB32" s="1">
        <f>IFERROR(B32/16,0)</f>
        <v/>
      </c>
      <c r="AD32" s="76">
        <f>MAX($B$7:$B$141)-B32</f>
        <v/>
      </c>
    </row>
    <row r="33">
      <c r="A33" s="2">
        <f>IF(AD33=0,$AD$46, " ")</f>
        <v/>
      </c>
      <c r="B33">
        <f>SUM(V33:X33)+C33</f>
        <v/>
      </c>
      <c r="C33">
        <f>COUNTA(F33:U33)</f>
        <v/>
      </c>
      <c r="D33">
        <f>_xlfn.RANK.EQ(B33,$B$10:$B$44,0)</f>
        <v/>
      </c>
      <c r="E33" t="inlineStr">
        <is>
          <t>Phelps Phamily</t>
        </is>
      </c>
      <c r="F33" t="inlineStr">
        <is>
          <t>SEATTLE</t>
        </is>
      </c>
      <c r="H33" t="inlineStr">
        <is>
          <t xml:space="preserve"> CINCINNATI</t>
        </is>
      </c>
      <c r="K33" t="inlineStr">
        <is>
          <t xml:space="preserve"> baltimore</t>
        </is>
      </c>
      <c r="L33" t="inlineStr">
        <is>
          <t xml:space="preserve"> PITTSBURGH</t>
        </is>
      </c>
      <c r="M33" t="inlineStr">
        <is>
          <t xml:space="preserve"> chicago</t>
        </is>
      </c>
      <c r="N33" t="inlineStr">
        <is>
          <t xml:space="preserve"> JACKSONVILLE </t>
        </is>
      </c>
      <c r="P33" t="inlineStr">
        <is>
          <t xml:space="preserve"> LAS VEGAS</t>
        </is>
      </c>
      <c r="Q33" t="inlineStr">
        <is>
          <t xml:space="preserve"> MINNESOTA</t>
        </is>
      </c>
      <c r="R33" t="inlineStr">
        <is>
          <t xml:space="preserve"> PHILADELPHIA</t>
        </is>
      </c>
      <c r="S33" t="inlineStr">
        <is>
          <t xml:space="preserve"> arizona</t>
        </is>
      </c>
      <c r="V33" s="12" t="n">
        <v>1</v>
      </c>
      <c r="W33" t="inlineStr">
        <is>
          <t xml:space="preserve"> Kansas City</t>
        </is>
      </c>
      <c r="X33" t="n">
        <v>1</v>
      </c>
      <c r="Y33" s="12" t="inlineStr">
        <is>
          <t xml:space="preserve"> Chicago</t>
        </is>
      </c>
      <c r="Z33" s="1">
        <f>IFERROR(COUNTIF(F33:U33,"W")/COUNTA(F33:U33),0)</f>
        <v/>
      </c>
      <c r="AA33">
        <f>MAX($B$10:$B$44)-B33</f>
        <v/>
      </c>
      <c r="AB33" s="1">
        <f>IFERROR(B33/16,0)</f>
        <v/>
      </c>
      <c r="AD33" s="76">
        <f>MAX($B$7:$B$141)-B33</f>
        <v/>
      </c>
    </row>
    <row r="34">
      <c r="A34" s="2">
        <f>IF(AD34=0,$AD$46, " ")</f>
        <v/>
      </c>
      <c r="B34">
        <f>SUM(V34:X34)+C34</f>
        <v/>
      </c>
      <c r="C34">
        <f>COUNTA(F34:U34)</f>
        <v/>
      </c>
      <c r="D34">
        <f>_xlfn.RANK.EQ(B34,$B$10:$B$44,0)</f>
        <v/>
      </c>
      <c r="E34" t="inlineStr">
        <is>
          <t>Waffle Hauss</t>
        </is>
      </c>
      <c r="F34" t="inlineStr">
        <is>
          <t>SEATTLE</t>
        </is>
      </c>
      <c r="H34" t="inlineStr">
        <is>
          <t xml:space="preserve"> CINCINNATI</t>
        </is>
      </c>
      <c r="I34" t="inlineStr">
        <is>
          <t xml:space="preserve"> new orleans</t>
        </is>
      </c>
      <c r="K34" t="inlineStr">
        <is>
          <t xml:space="preserve"> baltimore</t>
        </is>
      </c>
      <c r="L34" t="inlineStr">
        <is>
          <t xml:space="preserve"> PITTSBURGH</t>
        </is>
      </c>
      <c r="M34" t="inlineStr">
        <is>
          <t xml:space="preserve"> chicago</t>
        </is>
      </c>
      <c r="P34" t="inlineStr">
        <is>
          <t xml:space="preserve"> LAS VEGAS</t>
        </is>
      </c>
      <c r="R34" t="inlineStr">
        <is>
          <t xml:space="preserve"> PHILADELPHIA</t>
        </is>
      </c>
      <c r="S34" t="inlineStr">
        <is>
          <t xml:space="preserve"> arizona</t>
        </is>
      </c>
      <c r="V34" s="12" t="inlineStr">
        <is>
          <t xml:space="preserve"> New England</t>
        </is>
      </c>
      <c r="W34" t="inlineStr">
        <is>
          <t xml:space="preserve"> Miami</t>
        </is>
      </c>
      <c r="X34" t="inlineStr">
        <is>
          <t xml:space="preserve"> Washington</t>
        </is>
      </c>
      <c r="Y34" s="12" t="inlineStr">
        <is>
          <t xml:space="preserve"> Philadelphia</t>
        </is>
      </c>
      <c r="Z34" s="1">
        <f>IFERROR(COUNTIF(F34:U34,"W")/COUNTA(F34:U34),0)</f>
        <v/>
      </c>
      <c r="AA34">
        <f>MAX($B$10:$B$44)-B34</f>
        <v/>
      </c>
      <c r="AB34" s="1">
        <f>IFERROR(B34/16,0)</f>
        <v/>
      </c>
      <c r="AD34" s="76">
        <f>MAX($B$7:$B$141)-B34</f>
        <v/>
      </c>
    </row>
    <row r="35">
      <c r="A35" s="2">
        <f>IF(AD35=0,$AD$46, " ")</f>
        <v/>
      </c>
      <c r="B35">
        <f>SUM(V35:X35)+C35</f>
        <v/>
      </c>
      <c r="C35">
        <f>COUNTA(F35:U35)</f>
        <v/>
      </c>
      <c r="D35">
        <f>_xlfn.RANK.EQ(B35,$B$10:$B$44,0)</f>
        <v/>
      </c>
      <c r="E35" t="inlineStr">
        <is>
          <t>Line-Pony</t>
        </is>
      </c>
      <c r="F35" t="inlineStr">
        <is>
          <t>SEATTLE</t>
        </is>
      </c>
      <c r="H35" t="inlineStr">
        <is>
          <t xml:space="preserve"> CINCINNATI</t>
        </is>
      </c>
      <c r="I35" t="inlineStr">
        <is>
          <t xml:space="preserve"> new orleans</t>
        </is>
      </c>
      <c r="K35" t="inlineStr">
        <is>
          <t xml:space="preserve"> baltimore</t>
        </is>
      </c>
      <c r="L35" t="inlineStr">
        <is>
          <t xml:space="preserve"> PITTSBURGH</t>
        </is>
      </c>
      <c r="M35" t="inlineStr">
        <is>
          <t xml:space="preserve"> chicago</t>
        </is>
      </c>
      <c r="O35" t="inlineStr">
        <is>
          <t xml:space="preserve"> buffalo</t>
        </is>
      </c>
      <c r="P35" t="inlineStr">
        <is>
          <t xml:space="preserve"> LAS VEGAS</t>
        </is>
      </c>
      <c r="Q35" t="inlineStr">
        <is>
          <t xml:space="preserve"> MINNESOTA</t>
        </is>
      </c>
      <c r="R35" t="inlineStr">
        <is>
          <t xml:space="preserve"> PHILADELPHIA</t>
        </is>
      </c>
      <c r="S35" t="inlineStr">
        <is>
          <t xml:space="preserve"> arizona</t>
        </is>
      </c>
      <c r="U35" t="inlineStr">
        <is>
          <t xml:space="preserve"> KANSAS CITY</t>
        </is>
      </c>
      <c r="V35" s="12" t="inlineStr">
        <is>
          <t xml:space="preserve"> Washington</t>
        </is>
      </c>
      <c r="W35" t="n">
        <v>1</v>
      </c>
      <c r="X35" t="inlineStr">
        <is>
          <t xml:space="preserve"> Miami</t>
        </is>
      </c>
      <c r="Y35" s="12" t="inlineStr">
        <is>
          <t xml:space="preserve"> Philadelphia</t>
        </is>
      </c>
      <c r="Z35" s="1">
        <f>IFERROR(COUNTIF(F35:U35,"W")/COUNTA(F35:U35),0)</f>
        <v/>
      </c>
      <c r="AA35">
        <f>MAX($B$10:$B$44)-B35</f>
        <v/>
      </c>
      <c r="AB35" s="1">
        <f>IFERROR(B35/16,0)</f>
        <v/>
      </c>
      <c r="AD35" s="76">
        <f>MAX($B$7:$B$141)-B35</f>
        <v/>
      </c>
    </row>
    <row r="36">
      <c r="A36" s="2">
        <f>IF(AD36=0,$AD$46, " ")</f>
        <v/>
      </c>
      <c r="B36">
        <f>SUM(V36:X36)+C36</f>
        <v/>
      </c>
      <c r="C36">
        <f>COUNTA(F36:U36)</f>
        <v/>
      </c>
      <c r="D36">
        <f>_xlfn.RANK.EQ(B36,$B$10:$B$44,0)</f>
        <v/>
      </c>
      <c r="E36" t="inlineStr">
        <is>
          <t>Rusted Ox</t>
        </is>
      </c>
      <c r="F36" t="inlineStr">
        <is>
          <t>SEATTLE</t>
        </is>
      </c>
      <c r="K36" t="inlineStr">
        <is>
          <t xml:space="preserve"> baltimore</t>
        </is>
      </c>
      <c r="L36" t="inlineStr">
        <is>
          <t xml:space="preserve"> PITTSBURGH</t>
        </is>
      </c>
      <c r="N36" t="inlineStr">
        <is>
          <t xml:space="preserve"> JACKSONVILLE </t>
        </is>
      </c>
      <c r="P36" t="inlineStr">
        <is>
          <t xml:space="preserve"> LAS VEGAS</t>
        </is>
      </c>
      <c r="R36" t="inlineStr">
        <is>
          <t xml:space="preserve"> PHILADELPHIA</t>
        </is>
      </c>
      <c r="V36" s="12" t="inlineStr">
        <is>
          <t xml:space="preserve"> New Orleans</t>
        </is>
      </c>
      <c r="W36" t="inlineStr">
        <is>
          <t xml:space="preserve"> Arizona</t>
        </is>
      </c>
      <c r="X36" t="n">
        <v>1</v>
      </c>
      <c r="Y36" s="12" t="inlineStr">
        <is>
          <t xml:space="preserve"> Dallas</t>
        </is>
      </c>
      <c r="Z36" s="1">
        <f>IFERROR(COUNTIF(F36:U36,"W")/COUNTA(F36:U36),0)</f>
        <v/>
      </c>
      <c r="AA36">
        <f>MAX($B$10:$B$44)-B36</f>
        <v/>
      </c>
      <c r="AB36" s="1">
        <f>IFERROR(B36/16,0)</f>
        <v/>
      </c>
      <c r="AD36" s="76">
        <f>MAX($B$7:$B$141)-B36</f>
        <v/>
      </c>
    </row>
    <row r="37">
      <c r="A37" s="2">
        <f>IF(AD37=0,$AD$46, " ")</f>
        <v/>
      </c>
      <c r="B37">
        <f>SUM(V37:X37)+C37</f>
        <v/>
      </c>
      <c r="C37">
        <f>COUNTA(F37:U37)</f>
        <v/>
      </c>
      <c r="D37">
        <f>_xlfn.RANK.EQ(B37,$B$10:$B$44,0)</f>
        <v/>
      </c>
      <c r="E37" t="inlineStr">
        <is>
          <t>Brick_Hauss</t>
        </is>
      </c>
      <c r="F37" t="inlineStr">
        <is>
          <t>SEATTLE</t>
        </is>
      </c>
      <c r="H37" t="inlineStr">
        <is>
          <t xml:space="preserve"> CINCINNATI</t>
        </is>
      </c>
      <c r="K37" t="inlineStr">
        <is>
          <t xml:space="preserve"> baltimore</t>
        </is>
      </c>
      <c r="L37" t="inlineStr">
        <is>
          <t xml:space="preserve"> PITTSBURGH</t>
        </is>
      </c>
      <c r="M37" t="inlineStr">
        <is>
          <t xml:space="preserve"> chicago</t>
        </is>
      </c>
      <c r="O37" t="inlineStr">
        <is>
          <t xml:space="preserve"> buffalo</t>
        </is>
      </c>
      <c r="R37" t="inlineStr">
        <is>
          <t xml:space="preserve"> PHILADELPHIA</t>
        </is>
      </c>
      <c r="V37" s="12" t="inlineStr">
        <is>
          <t xml:space="preserve"> New Orleans</t>
        </is>
      </c>
      <c r="W37" t="inlineStr">
        <is>
          <t xml:space="preserve"> Arizona</t>
        </is>
      </c>
      <c r="X37" t="n">
        <v>1</v>
      </c>
      <c r="Y37" s="12" t="inlineStr">
        <is>
          <t xml:space="preserve"> Dallas</t>
        </is>
      </c>
      <c r="Z37" s="1">
        <f>IFERROR(COUNTIF(F37:U37,"W")/COUNTA(F37:U37),0)</f>
        <v/>
      </c>
      <c r="AA37">
        <f>MAX($B$10:$B$44)-B37</f>
        <v/>
      </c>
      <c r="AB37" s="1">
        <f>IFERROR(B37/16,0)</f>
        <v/>
      </c>
      <c r="AD37" s="76">
        <f>MAX($B$7:$B$141)-B37</f>
        <v/>
      </c>
    </row>
    <row r="38">
      <c r="A38" s="2">
        <f>IF(AD38=0,$AD$46, " ")</f>
        <v/>
      </c>
      <c r="B38">
        <f>SUM(V38:X38)+C38</f>
        <v/>
      </c>
      <c r="C38">
        <f>COUNTA(F38:U38)</f>
        <v/>
      </c>
      <c r="D38">
        <f>_xlfn.RANK.EQ(B38,$B$10:$B$44,0)</f>
        <v/>
      </c>
      <c r="E38" t="inlineStr">
        <is>
          <t>SaleeNmd</t>
        </is>
      </c>
      <c r="F38" t="inlineStr">
        <is>
          <t>SEATTLE</t>
        </is>
      </c>
      <c r="H38" t="inlineStr">
        <is>
          <t xml:space="preserve"> CINCINNATI</t>
        </is>
      </c>
      <c r="K38" t="inlineStr">
        <is>
          <t xml:space="preserve"> baltimore</t>
        </is>
      </c>
      <c r="L38" t="inlineStr">
        <is>
          <t xml:space="preserve"> PITTSBURGH</t>
        </is>
      </c>
      <c r="M38" t="inlineStr">
        <is>
          <t xml:space="preserve"> chicago</t>
        </is>
      </c>
      <c r="N38" t="inlineStr">
        <is>
          <t xml:space="preserve"> JACKSONVILLE </t>
        </is>
      </c>
      <c r="O38" t="inlineStr">
        <is>
          <t xml:space="preserve"> buffalo</t>
        </is>
      </c>
      <c r="P38" t="inlineStr">
        <is>
          <t xml:space="preserve"> LAS VEGAS</t>
        </is>
      </c>
      <c r="R38" t="inlineStr">
        <is>
          <t xml:space="preserve"> PHILADELPHIA</t>
        </is>
      </c>
      <c r="S38" t="inlineStr">
        <is>
          <t xml:space="preserve"> arizona</t>
        </is>
      </c>
      <c r="U38" t="inlineStr">
        <is>
          <t xml:space="preserve"> KANSAS CITY</t>
        </is>
      </c>
      <c r="V38" s="12" t="inlineStr">
        <is>
          <t xml:space="preserve"> Washington</t>
        </is>
      </c>
      <c r="W38" t="n">
        <v>1</v>
      </c>
      <c r="X38" t="inlineStr">
        <is>
          <t xml:space="preserve"> New Orleans</t>
        </is>
      </c>
      <c r="Y38" s="12" t="inlineStr">
        <is>
          <t xml:space="preserve"> Philadelphia</t>
        </is>
      </c>
      <c r="Z38" s="1">
        <f>IFERROR(COUNTIF(F38:U38,"W")/COUNTA(F38:U38),0)</f>
        <v/>
      </c>
      <c r="AA38">
        <f>MAX($B$10:$B$44)-B38</f>
        <v/>
      </c>
      <c r="AB38" s="1">
        <f>IFERROR(B38/16,0)</f>
        <v/>
      </c>
      <c r="AD38" s="76">
        <f>MAX($B$7:$B$141)-B38</f>
        <v/>
      </c>
    </row>
    <row r="39">
      <c r="A39" s="2">
        <f>IF(AD39=0,$AD$46, " ")</f>
        <v/>
      </c>
      <c r="B39">
        <f>SUM(V39:X39)+C39</f>
        <v/>
      </c>
      <c r="C39">
        <f>COUNTA(F39:U39)</f>
        <v/>
      </c>
      <c r="D39">
        <f>_xlfn.RANK.EQ(B39,$B$10:$B$44,0)</f>
        <v/>
      </c>
      <c r="E39" t="inlineStr">
        <is>
          <t>Navygolfer</t>
        </is>
      </c>
      <c r="F39" t="inlineStr">
        <is>
          <t>SEATTLE</t>
        </is>
      </c>
      <c r="G39" t="inlineStr">
        <is>
          <t xml:space="preserve"> san francisco</t>
        </is>
      </c>
      <c r="H39" t="inlineStr">
        <is>
          <t xml:space="preserve"> CINCINNATI</t>
        </is>
      </c>
      <c r="K39" t="inlineStr">
        <is>
          <t xml:space="preserve"> baltimore</t>
        </is>
      </c>
      <c r="L39" t="inlineStr">
        <is>
          <t xml:space="preserve"> PITTSBURGH</t>
        </is>
      </c>
      <c r="M39" t="inlineStr">
        <is>
          <t xml:space="preserve"> chicago</t>
        </is>
      </c>
      <c r="N39" t="inlineStr">
        <is>
          <t xml:space="preserve"> JACKSONVILLE </t>
        </is>
      </c>
      <c r="P39" t="inlineStr">
        <is>
          <t xml:space="preserve"> LAS VEGAS</t>
        </is>
      </c>
      <c r="R39" t="inlineStr">
        <is>
          <t xml:space="preserve"> PHILADELPHIA</t>
        </is>
      </c>
      <c r="V39" s="12" t="inlineStr">
        <is>
          <t xml:space="preserve"> Arizona</t>
        </is>
      </c>
      <c r="W39" t="n">
        <v>1</v>
      </c>
      <c r="X39" t="n">
        <v>1</v>
      </c>
      <c r="Y39" s="12" t="inlineStr">
        <is>
          <t xml:space="preserve"> Seattle</t>
        </is>
      </c>
      <c r="Z39" s="1">
        <f>IFERROR(COUNTIF(F39:U39,"W")/COUNTA(F39:U39),0)</f>
        <v/>
      </c>
      <c r="AA39">
        <f>MAX($B$10:$B$44)-B39</f>
        <v/>
      </c>
      <c r="AB39" s="1">
        <f>IFERROR(B39/16,0)</f>
        <v/>
      </c>
      <c r="AD39" s="76">
        <f>MAX($B$7:$B$141)-B39</f>
        <v/>
      </c>
    </row>
    <row r="40">
      <c r="A40" s="2">
        <f>IF(AD40=0,$AD$46, " ")</f>
        <v/>
      </c>
      <c r="B40">
        <f>SUM(V40:X40)+C40</f>
        <v/>
      </c>
      <c r="C40">
        <f>COUNTA(F40:U40)</f>
        <v/>
      </c>
      <c r="D40">
        <f>_xlfn.RANK.EQ(B40,$B$10:$B$44,0)</f>
        <v/>
      </c>
      <c r="E40" t="inlineStr">
        <is>
          <t>MayeDay! MayeDay!</t>
        </is>
      </c>
      <c r="H40" t="inlineStr">
        <is>
          <t xml:space="preserve"> CINCINNATI</t>
        </is>
      </c>
      <c r="J40" t="inlineStr">
        <is>
          <t xml:space="preserve"> new york jets</t>
        </is>
      </c>
      <c r="K40" t="inlineStr">
        <is>
          <t xml:space="preserve"> baltimore</t>
        </is>
      </c>
      <c r="L40" t="inlineStr">
        <is>
          <t xml:space="preserve"> PITTSBURGH</t>
        </is>
      </c>
      <c r="M40" t="inlineStr">
        <is>
          <t xml:space="preserve"> chicago</t>
        </is>
      </c>
      <c r="N40" t="inlineStr">
        <is>
          <t xml:space="preserve"> JACKSONVILLE </t>
        </is>
      </c>
      <c r="O40" t="inlineStr">
        <is>
          <t xml:space="preserve"> buffalo</t>
        </is>
      </c>
      <c r="R40" t="inlineStr">
        <is>
          <t xml:space="preserve"> PHILADELPHIA</t>
        </is>
      </c>
      <c r="U40" t="inlineStr">
        <is>
          <t xml:space="preserve"> KANSAS CITY</t>
        </is>
      </c>
      <c r="V40" s="12" t="n">
        <v>1</v>
      </c>
      <c r="W40" t="inlineStr">
        <is>
          <t xml:space="preserve"> Arizona</t>
        </is>
      </c>
      <c r="X40" t="inlineStr">
        <is>
          <t xml:space="preserve"> New Orleans</t>
        </is>
      </c>
      <c r="Y40" s="12" t="inlineStr">
        <is>
          <t xml:space="preserve"> New York Jets</t>
        </is>
      </c>
      <c r="Z40" s="1">
        <f>IFERROR(COUNTIF(F40:U40,"W")/COUNTA(F40:U40),0)</f>
        <v/>
      </c>
      <c r="AA40">
        <f>MAX($B$10:$B$44)-B40</f>
        <v/>
      </c>
      <c r="AB40" s="1">
        <f>IFERROR(B40/16,0)</f>
        <v/>
      </c>
      <c r="AD40" s="76">
        <f>MAX($B$7:$B$141)-B40</f>
        <v/>
      </c>
    </row>
    <row r="41">
      <c r="A41" s="2">
        <f>IF(AD41=0,$AD$46, " ")</f>
        <v/>
      </c>
      <c r="B41">
        <f>SUM(V41:X41)+C41</f>
        <v/>
      </c>
      <c r="C41">
        <f>COUNTA(F41:U41)</f>
        <v/>
      </c>
      <c r="D41">
        <f>_xlfn.RANK.EQ(B41,$B$10:$B$44,0)</f>
        <v/>
      </c>
      <c r="E41" t="inlineStr">
        <is>
          <t>Sista Sledge</t>
        </is>
      </c>
      <c r="F41" t="inlineStr">
        <is>
          <t>SEATTLE</t>
        </is>
      </c>
      <c r="H41" t="inlineStr">
        <is>
          <t xml:space="preserve"> CINCINNATI</t>
        </is>
      </c>
      <c r="K41" t="inlineStr">
        <is>
          <t xml:space="preserve"> baltimore</t>
        </is>
      </c>
      <c r="L41" t="inlineStr">
        <is>
          <t xml:space="preserve"> PITTSBURGH</t>
        </is>
      </c>
      <c r="M41" t="inlineStr">
        <is>
          <t xml:space="preserve"> chicago</t>
        </is>
      </c>
      <c r="N41" t="inlineStr">
        <is>
          <t xml:space="preserve"> JACKSONVILLE </t>
        </is>
      </c>
      <c r="P41" t="inlineStr">
        <is>
          <t xml:space="preserve"> LAS VEGAS</t>
        </is>
      </c>
      <c r="R41" t="inlineStr">
        <is>
          <t xml:space="preserve"> PHILADELPHIA</t>
        </is>
      </c>
      <c r="U41" t="inlineStr">
        <is>
          <t xml:space="preserve"> KANSAS CITY</t>
        </is>
      </c>
      <c r="V41" s="12" t="inlineStr">
        <is>
          <t xml:space="preserve"> Arizona</t>
        </is>
      </c>
      <c r="W41" t="n">
        <v>1</v>
      </c>
      <c r="X41" t="inlineStr">
        <is>
          <t xml:space="preserve"> Washington</t>
        </is>
      </c>
      <c r="Y41" s="12" t="inlineStr">
        <is>
          <t xml:space="preserve"> Dallas</t>
        </is>
      </c>
      <c r="Z41" s="1">
        <f>IFERROR(COUNTIF(F41:U41,"W")/COUNTA(F41:U41),0)</f>
        <v/>
      </c>
      <c r="AA41">
        <f>MAX($B$10:$B$44)-B41</f>
        <v/>
      </c>
      <c r="AB41" s="1">
        <f>IFERROR(B41/16,0)</f>
        <v/>
      </c>
      <c r="AD41" s="76">
        <f>MAX($B$7:$B$141)-B41</f>
        <v/>
      </c>
    </row>
    <row r="42">
      <c r="A42" s="2">
        <f>IF(AD42=0,$AD$46, " ")</f>
        <v/>
      </c>
      <c r="B42">
        <f>SUM(V42:X42)+C42</f>
        <v/>
      </c>
      <c r="C42">
        <f>COUNTA(F42:U42)</f>
        <v/>
      </c>
      <c r="D42">
        <f>_xlfn.RANK.EQ(B42,$B$10:$B$44,0)</f>
        <v/>
      </c>
      <c r="E42" t="inlineStr">
        <is>
          <t>Ddupuy</t>
        </is>
      </c>
      <c r="F42" t="inlineStr">
        <is>
          <t>SEATTLE</t>
        </is>
      </c>
      <c r="K42" t="inlineStr">
        <is>
          <t xml:space="preserve"> baltimore</t>
        </is>
      </c>
      <c r="L42" t="inlineStr">
        <is>
          <t xml:space="preserve"> PITTSBURGH</t>
        </is>
      </c>
      <c r="M42" t="inlineStr">
        <is>
          <t xml:space="preserve"> chicago</t>
        </is>
      </c>
      <c r="O42" t="inlineStr">
        <is>
          <t xml:space="preserve"> buffalo</t>
        </is>
      </c>
      <c r="P42" t="inlineStr">
        <is>
          <t xml:space="preserve"> LAS VEGAS</t>
        </is>
      </c>
      <c r="R42" t="inlineStr">
        <is>
          <t xml:space="preserve"> PHILADELPHIA</t>
        </is>
      </c>
      <c r="V42" s="12" t="inlineStr">
        <is>
          <t xml:space="preserve"> Arizona</t>
        </is>
      </c>
      <c r="W42" t="inlineStr">
        <is>
          <t xml:space="preserve"> New Orleans</t>
        </is>
      </c>
      <c r="X42" t="inlineStr">
        <is>
          <t xml:space="preserve"> Washington</t>
        </is>
      </c>
      <c r="Y42" s="12" t="inlineStr">
        <is>
          <t xml:space="preserve"> Los Angeles Chargers</t>
        </is>
      </c>
      <c r="Z42" s="1">
        <f>IFERROR(COUNTIF(F42:U42,"W")/COUNTA(F42:U42),0)</f>
        <v/>
      </c>
      <c r="AA42">
        <f>MAX($B$10:$B$44)-B42</f>
        <v/>
      </c>
      <c r="AB42" s="1">
        <f>IFERROR(B42/16,0)</f>
        <v/>
      </c>
      <c r="AD42" s="76">
        <f>MAX($B$7:$B$141)-B42</f>
        <v/>
      </c>
    </row>
    <row r="43">
      <c r="A43" s="2">
        <f>IF(AD43=0,$AD$46, " ")</f>
        <v/>
      </c>
      <c r="B43">
        <f>SUM(V43:X43)+C43</f>
        <v/>
      </c>
      <c r="C43">
        <f>COUNTA(F43:U43)</f>
        <v/>
      </c>
      <c r="D43">
        <f>_xlfn.RANK.EQ(B43,$B$10:$B$44,0)</f>
        <v/>
      </c>
      <c r="E43" t="inlineStr">
        <is>
          <t>Zach N</t>
        </is>
      </c>
      <c r="F43" t="inlineStr">
        <is>
          <t>SEATTLE</t>
        </is>
      </c>
      <c r="H43" t="inlineStr">
        <is>
          <t xml:space="preserve"> CINCINNATI</t>
        </is>
      </c>
      <c r="K43" t="inlineStr">
        <is>
          <t xml:space="preserve"> baltimore</t>
        </is>
      </c>
      <c r="L43" t="inlineStr">
        <is>
          <t xml:space="preserve"> PITTSBURGH</t>
        </is>
      </c>
      <c r="M43" t="inlineStr">
        <is>
          <t xml:space="preserve"> chicago</t>
        </is>
      </c>
      <c r="N43" t="inlineStr">
        <is>
          <t xml:space="preserve"> JACKSONVILLE </t>
        </is>
      </c>
      <c r="O43" t="inlineStr">
        <is>
          <t xml:space="preserve"> buffalo</t>
        </is>
      </c>
      <c r="P43" t="inlineStr">
        <is>
          <t xml:space="preserve"> LAS VEGAS</t>
        </is>
      </c>
      <c r="Q43" t="inlineStr">
        <is>
          <t xml:space="preserve"> MINNESOTA</t>
        </is>
      </c>
      <c r="R43" t="inlineStr">
        <is>
          <t xml:space="preserve"> PHILADELPHIA</t>
        </is>
      </c>
      <c r="T43" t="inlineStr">
        <is>
          <t xml:space="preserve"> NEW YORK GIANTS</t>
        </is>
      </c>
      <c r="U43" t="inlineStr">
        <is>
          <t xml:space="preserve"> KANSAS CITY</t>
        </is>
      </c>
      <c r="V43" s="12" t="inlineStr">
        <is>
          <t xml:space="preserve"> New Orleans</t>
        </is>
      </c>
      <c r="W43" t="inlineStr">
        <is>
          <t xml:space="preserve"> Arizona</t>
        </is>
      </c>
      <c r="X43" t="n">
        <v>1</v>
      </c>
      <c r="Y43" s="12" t="inlineStr">
        <is>
          <t xml:space="preserve"> Baltimore</t>
        </is>
      </c>
      <c r="Z43" s="1">
        <f>IFERROR(COUNTIF(F43:U43,"W")/COUNTA(F43:U43),0)</f>
        <v/>
      </c>
      <c r="AA43">
        <f>MAX($B$10:$B$44)-B43</f>
        <v/>
      </c>
      <c r="AB43" s="1">
        <f>IFERROR(B43/16,0)</f>
        <v/>
      </c>
      <c r="AD43" s="76">
        <f>MAX($B$7:$B$141)-B43</f>
        <v/>
      </c>
    </row>
    <row r="44">
      <c r="A44" s="2">
        <f>IF(AD44=0,$AD$46, " ")</f>
        <v/>
      </c>
      <c r="B44">
        <f>SUM(V44:X44)+C44</f>
        <v/>
      </c>
      <c r="C44">
        <f>COUNTA(F44:U44)</f>
        <v/>
      </c>
      <c r="D44">
        <f>_xlfn.RANK.EQ(B44,$B$10:$B$44,0)</f>
        <v/>
      </c>
      <c r="E44" t="inlineStr">
        <is>
          <t>Mrp4real</t>
        </is>
      </c>
      <c r="F44" t="inlineStr">
        <is>
          <t>SEATTLE</t>
        </is>
      </c>
      <c r="K44" t="inlineStr">
        <is>
          <t xml:space="preserve"> baltimore</t>
        </is>
      </c>
      <c r="M44" t="inlineStr">
        <is>
          <t xml:space="preserve"> chicago</t>
        </is>
      </c>
      <c r="N44" t="inlineStr">
        <is>
          <t xml:space="preserve"> JACKSONVILLE </t>
        </is>
      </c>
      <c r="O44" t="inlineStr">
        <is>
          <t xml:space="preserve"> buffalo</t>
        </is>
      </c>
      <c r="Q44" t="inlineStr">
        <is>
          <t xml:space="preserve"> MINNESOTA</t>
        </is>
      </c>
      <c r="R44" t="inlineStr">
        <is>
          <t xml:space="preserve"> PHILADELPHIA</t>
        </is>
      </c>
      <c r="V44" s="12" t="inlineStr">
        <is>
          <t xml:space="preserve"> Washington</t>
        </is>
      </c>
      <c r="W44" t="n">
        <v>1</v>
      </c>
      <c r="X44" t="inlineStr">
        <is>
          <t xml:space="preserve"> Kansas City</t>
        </is>
      </c>
      <c r="Y44" s="12" t="inlineStr">
        <is>
          <t xml:space="preserve"> Chicago</t>
        </is>
      </c>
      <c r="Z44" s="1">
        <f>IFERROR(COUNTIF(F44:U44,"W")/COUNTA(F44:U44),0)</f>
        <v/>
      </c>
      <c r="AA44">
        <f>MAX($B$10:$B$44)-B44</f>
        <v/>
      </c>
      <c r="AB44" s="1">
        <f>IFERROR(B44/16,0)</f>
        <v/>
      </c>
      <c r="AD44" s="76">
        <f>MAX($B$7:$B$141)-B44</f>
        <v/>
      </c>
    </row>
    <row r="45">
      <c r="AD45" s="10">
        <f>COUNTIF(AD10:AD44,0)</f>
        <v/>
      </c>
    </row>
    <row r="46">
      <c r="AD46" s="76">
        <f>SUM(AD10:AD44)/AD45</f>
        <v/>
      </c>
    </row>
  </sheetData>
  <autoFilter ref="A9:AB44"/>
  <mergeCells count="1">
    <mergeCell ref="A1:Y2"/>
  </mergeCells>
  <conditionalFormatting sqref="B10:B4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:D4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0:U44">
    <cfRule type="cellIs" priority="4" operator="equal" dxfId="2">
      <formula>"W"</formula>
    </cfRule>
    <cfRule type="cellIs" priority="5" operator="equal" dxfId="1">
      <formula>"L"</formula>
    </cfRule>
  </conditionalFormatting>
  <conditionalFormatting sqref="AD10:AD46">
    <cfRule type="cellIs" priority="1" operator="equal" dxfId="0" stopIfTrue="1">
      <formula>0</formula>
    </cfRule>
  </conditionalFormatting>
  <dataValidations count="2">
    <dataValidation sqref="F6:U6" showDropDown="0" showInputMessage="0" showErrorMessage="0" allowBlank="1" type="list">
      <formula1>"Seattle,Los Angeles Rams,Cincinnati,Detroit,Tennessee,Indianapolis,Pittsburgh,Carolina,Jacksonville,Houston,Las Vegas,Minnesota,Philadelphia,Los Angeles Chargers,New York Giants,Kansas City"</formula1>
    </dataValidation>
    <dataValidation sqref="F10:U44" showDropDown="0" showInputMessage="0" showErrorMessage="0" allowBlank="1" type="list">
      <formula1>"W,L"</formula1>
    </dataValidation>
  </dataValidations>
  <pageMargins left="0.75" right="0.75" top="1" bottom="1" header="0.5" footer="0.5"/>
  <pageSetup orientation="portrait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46"/>
  <sheetViews>
    <sheetView topLeftCell="J1" zoomScale="71" workbookViewId="0">
      <selection activeCell="I8" sqref="I8"/>
    </sheetView>
  </sheetViews>
  <sheetFormatPr baseColWidth="8" defaultColWidth="9.109375" defaultRowHeight="14.4"/>
  <cols>
    <col width="11" customWidth="1" style="54" min="1" max="1"/>
    <col width="8" customWidth="1" style="54" min="2" max="4"/>
    <col width="22" customWidth="1" style="54" min="5" max="5"/>
    <col width="17.88671875" customWidth="1" style="54" min="6" max="15"/>
    <col width="23.5546875" bestFit="1" customWidth="1" style="54" min="16" max="16"/>
    <col width="17.88671875" customWidth="1" style="54" min="17" max="20"/>
    <col width="19.33203125" bestFit="1" customWidth="1" style="54" min="21" max="21"/>
    <col width="17" customWidth="1" style="54" min="22" max="25"/>
    <col width="12" customWidth="1" style="54" min="26" max="27"/>
    <col width="10" customWidth="1" style="54" min="28" max="28"/>
    <col width="9.109375" customWidth="1" style="54" min="29" max="34"/>
    <col width="9.109375" customWidth="1" style="54" min="35" max="16384"/>
  </cols>
  <sheetData>
    <row r="1">
      <c r="A1" s="63" t="inlineStr">
        <is>
          <t>🏈 WEEK 2 — ACQL</t>
        </is>
      </c>
    </row>
    <row r="2"/>
    <row r="4">
      <c r="A4" s="5" t="inlineStr">
        <is>
          <t>Home Team</t>
        </is>
      </c>
      <c r="B4" s="5" t="n"/>
      <c r="C4" s="5" t="n"/>
      <c r="D4" s="5" t="n"/>
      <c r="E4" s="5" t="n"/>
      <c r="F4" s="5" t="inlineStr">
        <is>
          <t>BUFFALO</t>
        </is>
      </c>
      <c r="G4" s="5" t="inlineStr">
        <is>
          <t>ATLANTA</t>
        </is>
      </c>
      <c r="H4" s="5" t="inlineStr">
        <is>
          <t>CHICAGO</t>
        </is>
      </c>
      <c r="I4" s="5" t="inlineStr">
        <is>
          <t>TENNESSEE</t>
        </is>
      </c>
      <c r="J4" s="5" t="inlineStr">
        <is>
          <t>NEW ENGLAND</t>
        </is>
      </c>
      <c r="K4" s="5" t="inlineStr">
        <is>
          <t>NEW YORK JETS</t>
        </is>
      </c>
      <c r="L4" s="5" t="inlineStr">
        <is>
          <t>TAMPA BAY</t>
        </is>
      </c>
      <c r="M4" s="5" t="inlineStr">
        <is>
          <t>BALTIMORE</t>
        </is>
      </c>
      <c r="N4" s="5" t="inlineStr">
        <is>
          <t>HOUSTON</t>
        </is>
      </c>
      <c r="O4" s="5" t="inlineStr">
        <is>
          <t>DENVER</t>
        </is>
      </c>
      <c r="P4" s="5" t="inlineStr">
        <is>
          <t>LOS ANGELES CHARGERS</t>
        </is>
      </c>
      <c r="Q4" s="5" t="inlineStr">
        <is>
          <t>DALLAS</t>
        </is>
      </c>
      <c r="R4" s="5" t="inlineStr">
        <is>
          <t>ARIZONA</t>
        </is>
      </c>
      <c r="S4" s="5" t="inlineStr">
        <is>
          <t>SAN FRANCISCO</t>
        </is>
      </c>
      <c r="T4" s="5" t="inlineStr">
        <is>
          <t>KANSAS CITY</t>
        </is>
      </c>
      <c r="U4" s="5" t="inlineStr">
        <is>
          <t>LOS ANGELES RAMS</t>
        </is>
      </c>
      <c r="V4" s="5" t="n"/>
      <c r="W4" s="5" t="n"/>
      <c r="X4" s="5" t="n"/>
      <c r="Y4" s="5" t="n"/>
    </row>
    <row r="5">
      <c r="A5" s="5" t="inlineStr">
        <is>
          <t>Away Team</t>
        </is>
      </c>
      <c r="B5" s="5" t="n"/>
      <c r="C5" s="5" t="n"/>
      <c r="D5" s="5" t="n"/>
      <c r="E5" s="5" t="n"/>
      <c r="F5" s="5" t="inlineStr">
        <is>
          <t>detroit</t>
        </is>
      </c>
      <c r="G5" s="5" t="inlineStr">
        <is>
          <t>carolina</t>
        </is>
      </c>
      <c r="H5" s="5" t="inlineStr">
        <is>
          <t>minnesota</t>
        </is>
      </c>
      <c r="I5" s="5" t="inlineStr">
        <is>
          <t>philadelphia</t>
        </is>
      </c>
      <c r="J5" s="5" t="inlineStr">
        <is>
          <t>pittsburgh</t>
        </is>
      </c>
      <c r="K5" s="5" t="inlineStr">
        <is>
          <t>green bay</t>
        </is>
      </c>
      <c r="L5" s="5" t="inlineStr">
        <is>
          <t>cleveland</t>
        </is>
      </c>
      <c r="M5" s="5" t="inlineStr">
        <is>
          <t>new orleans</t>
        </is>
      </c>
      <c r="N5" s="5" t="inlineStr">
        <is>
          <t>cincinnati</t>
        </is>
      </c>
      <c r="O5" s="5" t="inlineStr">
        <is>
          <t>jacksonville</t>
        </is>
      </c>
      <c r="P5" s="5" t="inlineStr">
        <is>
          <t>las vegas</t>
        </is>
      </c>
      <c r="Q5" s="5" t="inlineStr">
        <is>
          <t>washington</t>
        </is>
      </c>
      <c r="R5" s="5" t="inlineStr">
        <is>
          <t>seattle</t>
        </is>
      </c>
      <c r="S5" s="5" t="inlineStr">
        <is>
          <t>miami</t>
        </is>
      </c>
      <c r="T5" s="5" t="inlineStr">
        <is>
          <t>indianapolis</t>
        </is>
      </c>
      <c r="U5" s="5" t="inlineStr">
        <is>
          <t>new york giants</t>
        </is>
      </c>
      <c r="V5" s="5" t="n"/>
      <c r="W5" s="5" t="n"/>
      <c r="X5" s="5" t="n"/>
      <c r="Y5" s="5" t="n"/>
    </row>
    <row r="6">
      <c r="A6" s="6" t="inlineStr">
        <is>
          <t>Result / Winner →</t>
        </is>
      </c>
      <c r="B6" s="6" t="n"/>
      <c r="C6" s="6" t="n"/>
      <c r="D6" s="6" t="n"/>
      <c r="E6" s="6" t="n"/>
      <c r="F6" s="6" t="inlineStr">
        <is>
          <t>BUFFALO</t>
        </is>
      </c>
      <c r="G6" s="6" t="inlineStr">
        <is>
          <t>carolina</t>
        </is>
      </c>
      <c r="H6" s="6" t="inlineStr">
        <is>
          <t>minnesota</t>
        </is>
      </c>
      <c r="I6" s="6" t="inlineStr">
        <is>
          <t>TENNESSEE</t>
        </is>
      </c>
      <c r="J6" s="6" t="inlineStr">
        <is>
          <t>NEW ENGLAND</t>
        </is>
      </c>
      <c r="K6" s="6" t="inlineStr">
        <is>
          <t>green bay</t>
        </is>
      </c>
      <c r="L6" s="6" t="inlineStr">
        <is>
          <t>cleveland</t>
        </is>
      </c>
      <c r="M6" s="6" t="inlineStr">
        <is>
          <t>new orleans</t>
        </is>
      </c>
      <c r="N6" s="6" t="inlineStr">
        <is>
          <t>cincinnati</t>
        </is>
      </c>
      <c r="O6" s="6" t="inlineStr">
        <is>
          <t>DENVER</t>
        </is>
      </c>
      <c r="P6" s="6" t="inlineStr">
        <is>
          <t>las vegas</t>
        </is>
      </c>
      <c r="Q6" s="6" t="inlineStr">
        <is>
          <t>DALLAS</t>
        </is>
      </c>
      <c r="R6" s="6" t="inlineStr">
        <is>
          <t>seattle</t>
        </is>
      </c>
      <c r="S6" s="6" t="inlineStr">
        <is>
          <t>SAN FRANCISCO</t>
        </is>
      </c>
      <c r="T6" s="6" t="inlineStr">
        <is>
          <t>indianapolis</t>
        </is>
      </c>
      <c r="U6" s="6" t="inlineStr">
        <is>
          <t>LOS ANGELES RAMS</t>
        </is>
      </c>
      <c r="V6" s="6" t="n"/>
      <c r="W6" s="6" t="n"/>
      <c r="X6" s="6" t="n"/>
      <c r="Y6" s="6" t="n"/>
    </row>
    <row r="7">
      <c r="A7" s="8" t="inlineStr">
        <is>
          <t>Picked Home %</t>
        </is>
      </c>
      <c r="B7" s="8" t="n"/>
      <c r="C7" s="8" t="n"/>
      <c r="D7" s="8" t="n"/>
      <c r="E7" s="8" t="n"/>
      <c r="F7" s="8">
        <f>COUNTIF(F10:F44, F$4)/COUNTA(B10:B44)</f>
        <v/>
      </c>
      <c r="G7" s="8">
        <f>COUNTIF(G10:G44, G$4)/COUNTA(C10:C44)</f>
        <v/>
      </c>
      <c r="H7" s="8">
        <f>COUNTIF(H10:H44, H$4)/COUNTA(D10:D44)</f>
        <v/>
      </c>
      <c r="I7" s="8">
        <f>COUNTIF(I10:I44, I$4)/COUNTA(E10:E44)</f>
        <v/>
      </c>
      <c r="J7" s="8">
        <f>COUNTIF(J10:J44, J$4)/COUNTA(F10:F44)</f>
        <v/>
      </c>
      <c r="K7" s="8">
        <f>IFERROR(COUNTIF(K10:K44, K$4)/COUNTA(G10:G44),0)</f>
        <v/>
      </c>
      <c r="L7" s="8">
        <f>IFERROR(COUNTIF(L10:L44, L$4)/COUNTA(H10:H44),0)</f>
        <v/>
      </c>
      <c r="M7" s="8">
        <f>IFERROR(COUNTIF(M10:M44, M$4)/COUNTA(I10:I44),0)</f>
        <v/>
      </c>
      <c r="N7" s="8">
        <f>IFERROR(COUNTIF(N10:N44, N$4)/COUNTA(J10:J44),0)</f>
        <v/>
      </c>
      <c r="O7" s="8">
        <f>IFERROR(COUNTIF(O10:O44, O$4)/COUNTA(K10:K44),0)</f>
        <v/>
      </c>
      <c r="P7" s="8">
        <f>IFERROR(COUNTIF(P10:P44, P$4)/COUNTA(L10:L44),0)</f>
        <v/>
      </c>
      <c r="Q7" s="8">
        <f>IFERROR(COUNTIF(Q10:Q44, Q$4)/COUNTA(M10:M44),0)</f>
        <v/>
      </c>
      <c r="R7" s="8">
        <f>IFERROR(COUNTIF(R10:R44, R$4)/COUNTA(N10:N44),0)</f>
        <v/>
      </c>
      <c r="S7" s="8">
        <f>IFERROR(COUNTIF(S10:S44, S$4)/COUNTA(O10:O44),0)</f>
        <v/>
      </c>
      <c r="T7" s="8">
        <f>IFERROR(COUNTIF(T10:T44, T$4)/COUNTA(P10:P44),0)</f>
        <v/>
      </c>
      <c r="U7" s="8">
        <f>IFERROR(COUNTIF(U10:U44, U$4)/COUNTA(Q10:Q44),0)</f>
        <v/>
      </c>
      <c r="V7" s="7" t="n"/>
      <c r="W7" s="7" t="n"/>
      <c r="X7" s="7" t="n"/>
      <c r="Y7" s="7" t="n"/>
    </row>
    <row r="8">
      <c r="I8" t="inlineStr">
        <is>
          <t>(phi by 8)</t>
        </is>
      </c>
      <c r="L8" t="inlineStr">
        <is>
          <t>(tb by 9)</t>
        </is>
      </c>
      <c r="M8" t="inlineStr">
        <is>
          <t>(bal by 9)</t>
        </is>
      </c>
      <c r="P8" t="inlineStr">
        <is>
          <t>(lac by 7)</t>
        </is>
      </c>
      <c r="S8" t="inlineStr">
        <is>
          <t>(sf by 11)</t>
        </is>
      </c>
      <c r="T8" t="inlineStr">
        <is>
          <t>(kc by 7)</t>
        </is>
      </c>
      <c r="U8" t="inlineStr">
        <is>
          <t>(lar by 7)</t>
        </is>
      </c>
    </row>
    <row r="9" ht="28.8" customHeight="1" s="54">
      <c r="A9" s="9" t="inlineStr">
        <is>
          <t>Entry Fee</t>
        </is>
      </c>
      <c r="B9" s="9" t="inlineStr">
        <is>
          <t>Wins</t>
        </is>
      </c>
      <c r="C9" s="9" t="inlineStr">
        <is>
          <t>Wins</t>
        </is>
      </c>
      <c r="D9" s="9" t="inlineStr">
        <is>
          <t>Rank</t>
        </is>
      </c>
      <c r="E9" s="9" t="inlineStr">
        <is>
          <t>Player</t>
        </is>
      </c>
      <c r="F9" s="9" t="inlineStr">
        <is>
          <t>G1</t>
        </is>
      </c>
      <c r="G9" s="9" t="inlineStr">
        <is>
          <t>G2</t>
        </is>
      </c>
      <c r="H9" s="9" t="inlineStr">
        <is>
          <t>G3</t>
        </is>
      </c>
      <c r="I9" s="9" t="inlineStr">
        <is>
          <t>G4</t>
        </is>
      </c>
      <c r="J9" s="9" t="inlineStr">
        <is>
          <t>G5</t>
        </is>
      </c>
      <c r="K9" s="9" t="inlineStr">
        <is>
          <t>G6</t>
        </is>
      </c>
      <c r="L9" s="9" t="inlineStr">
        <is>
          <t>G7</t>
        </is>
      </c>
      <c r="M9" s="9" t="inlineStr">
        <is>
          <t>G8</t>
        </is>
      </c>
      <c r="N9" s="9" t="inlineStr">
        <is>
          <t>G9</t>
        </is>
      </c>
      <c r="O9" s="9" t="inlineStr">
        <is>
          <t>G10</t>
        </is>
      </c>
      <c r="P9" s="9" t="inlineStr">
        <is>
          <t>G11</t>
        </is>
      </c>
      <c r="Q9" s="9" t="inlineStr">
        <is>
          <t>G12</t>
        </is>
      </c>
      <c r="R9" s="9" t="inlineStr">
        <is>
          <t>G13</t>
        </is>
      </c>
      <c r="S9" s="9" t="inlineStr">
        <is>
          <t>G14</t>
        </is>
      </c>
      <c r="T9" s="9" t="inlineStr">
        <is>
          <t>G15</t>
        </is>
      </c>
      <c r="U9" s="9" t="inlineStr">
        <is>
          <t>G16</t>
        </is>
      </c>
      <c r="V9" s="9" t="inlineStr">
        <is>
          <t>Loser 1</t>
        </is>
      </c>
      <c r="W9" s="9" t="inlineStr">
        <is>
          <t>Loser 2</t>
        </is>
      </c>
      <c r="X9" s="9" t="inlineStr">
        <is>
          <t>Loser 3</t>
        </is>
      </c>
      <c r="Y9" s="9" t="inlineStr">
        <is>
          <t>Suicide</t>
        </is>
      </c>
      <c r="Z9" s="9" t="inlineStr">
        <is>
          <t>Home Team %</t>
        </is>
      </c>
      <c r="AA9" s="9" t="inlineStr">
        <is>
          <t>$ Owed</t>
        </is>
      </c>
      <c r="AB9" s="9" t="inlineStr">
        <is>
          <t>Games Behind</t>
        </is>
      </c>
      <c r="AC9" s="9" t="inlineStr">
        <is>
          <t>Win %</t>
        </is>
      </c>
    </row>
    <row r="10">
      <c r="A10" s="2">
        <f>_xlfn.IFNA(IF(AD10=0,$AD$46,""),"")</f>
        <v/>
      </c>
      <c r="B10">
        <f>SUM(V10:X10)+C10</f>
        <v/>
      </c>
      <c r="C10">
        <f>COUNTA(F10:U10)</f>
        <v/>
      </c>
      <c r="D10">
        <f>_xlfn.RANK.EQ(B10,$B$10:$B$44,0)</f>
        <v/>
      </c>
      <c r="E10" s="14" t="inlineStr">
        <is>
          <t>Phelpy</t>
        </is>
      </c>
      <c r="F10" s="35" t="inlineStr">
        <is>
          <t>BUFFALO</t>
        </is>
      </c>
      <c r="G10" s="35" t="inlineStr">
        <is>
          <t xml:space="preserve"> carolina</t>
        </is>
      </c>
      <c r="H10" s="35" t="n"/>
      <c r="I10" s="35" t="inlineStr">
        <is>
          <t xml:space="preserve"> TENNESSEE</t>
        </is>
      </c>
      <c r="J10" s="35" t="inlineStr">
        <is>
          <t xml:space="preserve"> NEW ENGLAND</t>
        </is>
      </c>
      <c r="K10" s="35" t="inlineStr">
        <is>
          <t xml:space="preserve"> green bay</t>
        </is>
      </c>
      <c r="L10" s="35" t="n"/>
      <c r="M10" s="35" t="n"/>
      <c r="N10" s="35" t="n"/>
      <c r="O10" s="35" t="inlineStr">
        <is>
          <t xml:space="preserve"> DENVER</t>
        </is>
      </c>
      <c r="P10" s="35" t="n"/>
      <c r="Q10" s="35" t="inlineStr">
        <is>
          <t xml:space="preserve"> DALLAS</t>
        </is>
      </c>
      <c r="R10" s="35" t="inlineStr">
        <is>
          <t xml:space="preserve"> seattle</t>
        </is>
      </c>
      <c r="S10" s="36" t="n"/>
      <c r="T10" s="37" t="n"/>
      <c r="U10" s="35" t="inlineStr">
        <is>
          <t xml:space="preserve"> LOS ANGELES RAMS </t>
        </is>
      </c>
      <c r="V10" s="39" t="inlineStr">
        <is>
          <t xml:space="preserve"> New Orleans</t>
        </is>
      </c>
      <c r="W10" s="39" t="inlineStr">
        <is>
          <t xml:space="preserve"> Cleveland</t>
        </is>
      </c>
      <c r="X10" s="39" t="n">
        <v>1</v>
      </c>
      <c r="Y10" s="35" t="inlineStr">
        <is>
          <t xml:space="preserve"> Chicago</t>
        </is>
      </c>
      <c r="Z10" s="1" t="n">
        <v>0.75</v>
      </c>
      <c r="AA10">
        <f>MAX($B$10:$B$44)-B10</f>
        <v/>
      </c>
      <c r="AB10" s="1">
        <f>IFERROR(B10/16,0)</f>
        <v/>
      </c>
      <c r="AD10" s="76">
        <f>MAX($B$7:$B$141)-B10</f>
        <v/>
      </c>
    </row>
    <row r="11">
      <c r="A11" s="2">
        <f>_xlfn.IFNA(IF(AD11=0,$AD$46,""),"")</f>
        <v/>
      </c>
      <c r="B11">
        <f>SUM(V11:X11)+C11</f>
        <v/>
      </c>
      <c r="C11">
        <f>COUNTA(F11:U11)</f>
        <v/>
      </c>
      <c r="D11">
        <f>_xlfn.RANK.EQ(B11,$B$10:$B$44,0)</f>
        <v/>
      </c>
      <c r="E11" s="13" t="inlineStr">
        <is>
          <t>DPSOG</t>
        </is>
      </c>
      <c r="F11" s="61" t="inlineStr">
        <is>
          <t>BUFFALO</t>
        </is>
      </c>
      <c r="G11" s="61" t="inlineStr">
        <is>
          <t xml:space="preserve"> carolina</t>
        </is>
      </c>
      <c r="H11" s="61" t="n"/>
      <c r="I11" s="61" t="inlineStr">
        <is>
          <t xml:space="preserve"> TENNESSEE</t>
        </is>
      </c>
      <c r="J11" s="61" t="inlineStr">
        <is>
          <t xml:space="preserve"> NEW ENGLAND</t>
        </is>
      </c>
      <c r="K11" s="61" t="inlineStr">
        <is>
          <t xml:space="preserve"> green bay</t>
        </is>
      </c>
      <c r="L11" s="61" t="inlineStr">
        <is>
          <t xml:space="preserve"> cleveland</t>
        </is>
      </c>
      <c r="M11" s="61" t="n"/>
      <c r="N11" s="61" t="n"/>
      <c r="O11" s="61" t="n"/>
      <c r="P11" s="61" t="inlineStr">
        <is>
          <t xml:space="preserve"> las vegas</t>
        </is>
      </c>
      <c r="Q11" s="61" t="inlineStr">
        <is>
          <t xml:space="preserve"> DALLAS</t>
        </is>
      </c>
      <c r="R11" s="61" t="inlineStr">
        <is>
          <t xml:space="preserve"> seattle</t>
        </is>
      </c>
      <c r="S11" s="36" t="n"/>
      <c r="T11" s="37" t="n"/>
      <c r="U11" s="35" t="inlineStr">
        <is>
          <t xml:space="preserve"> LOS ANGELES RAMS </t>
        </is>
      </c>
      <c r="V11" s="39" t="inlineStr">
        <is>
          <t xml:space="preserve"> New Orleans</t>
        </is>
      </c>
      <c r="W11" s="39" t="n">
        <v>1</v>
      </c>
      <c r="X11" s="39" t="inlineStr">
        <is>
          <t xml:space="preserve"> Indianapolis</t>
        </is>
      </c>
      <c r="Y11" s="35" t="inlineStr">
        <is>
          <t xml:space="preserve"> Houston</t>
        </is>
      </c>
      <c r="Z11" s="1" t="n">
        <v>0.5625</v>
      </c>
      <c r="AA11">
        <f>MAX($B$10:$B$44)-B11</f>
        <v/>
      </c>
      <c r="AB11" s="1">
        <f>IFERROR(B11/16,0)</f>
        <v/>
      </c>
      <c r="AD11" s="76">
        <f>MAX($B$7:$B$141)-B11</f>
        <v/>
      </c>
    </row>
    <row r="12">
      <c r="A12" s="2">
        <f>_xlfn.IFNA(IF(AD12=0,$AD$46,""),"")</f>
        <v/>
      </c>
      <c r="B12">
        <f>SUM(V12:X12)+C12</f>
        <v/>
      </c>
      <c r="C12">
        <f>COUNTA(F12:U12)</f>
        <v/>
      </c>
      <c r="D12">
        <f>_xlfn.RANK.EQ(B12,$B$10:$B$44,0)</f>
        <v/>
      </c>
      <c r="E12" s="13" t="inlineStr">
        <is>
          <t>Line-Pony</t>
        </is>
      </c>
      <c r="F12" s="61" t="inlineStr">
        <is>
          <t>BUFFALO</t>
        </is>
      </c>
      <c r="G12" s="61" t="inlineStr">
        <is>
          <t xml:space="preserve"> carolina</t>
        </is>
      </c>
      <c r="H12" s="61" t="n"/>
      <c r="I12" s="61" t="inlineStr">
        <is>
          <t xml:space="preserve"> TENNESSEE</t>
        </is>
      </c>
      <c r="J12" s="61" t="inlineStr">
        <is>
          <t xml:space="preserve"> NEW ENGLAND</t>
        </is>
      </c>
      <c r="K12" s="61" t="inlineStr">
        <is>
          <t xml:space="preserve"> green bay</t>
        </is>
      </c>
      <c r="L12" s="61" t="inlineStr">
        <is>
          <t xml:space="preserve"> cleveland</t>
        </is>
      </c>
      <c r="M12" s="61" t="inlineStr">
        <is>
          <t xml:space="preserve"> new orleans</t>
        </is>
      </c>
      <c r="N12" s="61" t="n"/>
      <c r="O12" s="61" t="inlineStr">
        <is>
          <t xml:space="preserve"> DENVER</t>
        </is>
      </c>
      <c r="P12" s="61" t="inlineStr">
        <is>
          <t xml:space="preserve"> las vegas</t>
        </is>
      </c>
      <c r="Q12" s="61" t="inlineStr">
        <is>
          <t xml:space="preserve"> DALLAS</t>
        </is>
      </c>
      <c r="R12" s="61" t="inlineStr">
        <is>
          <t xml:space="preserve"> seattle</t>
        </is>
      </c>
      <c r="S12" s="36" t="n"/>
      <c r="T12" s="37" t="inlineStr">
        <is>
          <t xml:space="preserve"> indianapolis</t>
        </is>
      </c>
      <c r="U12" s="35" t="n"/>
      <c r="V12" s="39" t="n">
        <v>1</v>
      </c>
      <c r="W12" s="39" t="n">
        <v>1</v>
      </c>
      <c r="X12" s="39" t="inlineStr">
        <is>
          <t xml:space="preserve"> New York Jets</t>
        </is>
      </c>
      <c r="Y12" s="35" t="inlineStr">
        <is>
          <t xml:space="preserve"> Dallas</t>
        </is>
      </c>
      <c r="Z12" s="1" t="n">
        <v>0.4375</v>
      </c>
      <c r="AA12">
        <f>MAX($B$10:$B$44)-B12</f>
        <v/>
      </c>
      <c r="AB12" s="1">
        <f>IFERROR(B12/16,0)</f>
        <v/>
      </c>
      <c r="AD12" s="76">
        <f>MAX($B$7:$B$141)-B12</f>
        <v/>
      </c>
    </row>
    <row r="13">
      <c r="A13" s="2">
        <f>_xlfn.IFNA(IF(AD13=0,$AD$46,""),"")</f>
        <v/>
      </c>
      <c r="B13">
        <f>SUM(V13:X13)+C13</f>
        <v/>
      </c>
      <c r="C13">
        <f>COUNTA(F13:U13)</f>
        <v/>
      </c>
      <c r="D13">
        <f>_xlfn.RANK.EQ(B13,$B$10:$B$44,0)</f>
        <v/>
      </c>
      <c r="E13" s="13" t="inlineStr">
        <is>
          <t>Zach N</t>
        </is>
      </c>
      <c r="F13" s="28" t="inlineStr">
        <is>
          <t>BUFFALO</t>
        </is>
      </c>
      <c r="G13" s="28" t="n"/>
      <c r="H13" s="28" t="n"/>
      <c r="I13" s="28" t="n"/>
      <c r="J13" s="28" t="inlineStr">
        <is>
          <t xml:space="preserve"> NEW ENGLAND</t>
        </is>
      </c>
      <c r="K13" s="28" t="inlineStr">
        <is>
          <t xml:space="preserve"> green bay</t>
        </is>
      </c>
      <c r="L13" s="28" t="n"/>
      <c r="M13" s="28" t="n"/>
      <c r="N13" s="28" t="n"/>
      <c r="O13" s="28" t="inlineStr">
        <is>
          <t xml:space="preserve"> DENVER</t>
        </is>
      </c>
      <c r="P13" s="28" t="n"/>
      <c r="Q13" s="28" t="inlineStr">
        <is>
          <t xml:space="preserve"> DALLAS</t>
        </is>
      </c>
      <c r="R13" s="28" t="n"/>
      <c r="S13" s="36" t="inlineStr">
        <is>
          <t xml:space="preserve"> SAN FRANCISCO </t>
        </is>
      </c>
      <c r="T13" s="37" t="n"/>
      <c r="U13" s="35" t="n"/>
      <c r="V13" s="39" t="inlineStr">
        <is>
          <t xml:space="preserve"> Tennessee</t>
        </is>
      </c>
      <c r="W13" s="39" t="inlineStr">
        <is>
          <t xml:space="preserve"> Cleveland</t>
        </is>
      </c>
      <c r="X13" s="39" t="n">
        <v>1</v>
      </c>
      <c r="Y13" s="35" t="inlineStr">
        <is>
          <t xml:space="preserve"> New England</t>
        </is>
      </c>
      <c r="Z13" s="1" t="n">
        <v>0.8125</v>
      </c>
      <c r="AA13">
        <f>MAX($B$10:$B$44)-B13</f>
        <v/>
      </c>
      <c r="AB13" s="1">
        <f>IFERROR(B13/16,0)</f>
        <v/>
      </c>
      <c r="AD13" s="76">
        <f>MAX($B$7:$B$141)-B13</f>
        <v/>
      </c>
    </row>
    <row r="14">
      <c r="A14" s="2">
        <f>_xlfn.IFNA(IF(AD14=0,$AD$46,""),"")</f>
        <v/>
      </c>
      <c r="B14">
        <f>SUM(V14:X14)+C14</f>
        <v/>
      </c>
      <c r="C14">
        <f>COUNTA(F14:U14)</f>
        <v/>
      </c>
      <c r="D14">
        <f>_xlfn.RANK.EQ(B14,$B$10:$B$44,0)</f>
        <v/>
      </c>
      <c r="E14" s="13" t="inlineStr">
        <is>
          <t>FMF Doc</t>
        </is>
      </c>
      <c r="F14" s="28" t="inlineStr">
        <is>
          <t>BUFFALO</t>
        </is>
      </c>
      <c r="G14" s="28" t="n"/>
      <c r="H14" s="28" t="n"/>
      <c r="I14" s="28" t="inlineStr">
        <is>
          <t xml:space="preserve"> TENNESSEE</t>
        </is>
      </c>
      <c r="J14" s="28" t="inlineStr">
        <is>
          <t xml:space="preserve"> NEW ENGLAND</t>
        </is>
      </c>
      <c r="K14" s="28" t="inlineStr">
        <is>
          <t xml:space="preserve"> green bay</t>
        </is>
      </c>
      <c r="L14" s="28" t="inlineStr">
        <is>
          <t xml:space="preserve"> cleveland</t>
        </is>
      </c>
      <c r="M14" s="28" t="inlineStr">
        <is>
          <t xml:space="preserve"> new orleans</t>
        </is>
      </c>
      <c r="N14" s="28" t="n"/>
      <c r="O14" s="28" t="inlineStr">
        <is>
          <t xml:space="preserve"> DENVER</t>
        </is>
      </c>
      <c r="P14" s="28" t="n"/>
      <c r="Q14" s="28" t="inlineStr">
        <is>
          <t xml:space="preserve"> DALLAS</t>
        </is>
      </c>
      <c r="R14" s="28" t="inlineStr">
        <is>
          <t xml:space="preserve"> seattle</t>
        </is>
      </c>
      <c r="S14" s="36" t="inlineStr">
        <is>
          <t xml:space="preserve"> SAN FRANCISCO </t>
        </is>
      </c>
      <c r="T14" s="37" t="n"/>
      <c r="U14" s="35" t="n"/>
      <c r="V14" s="39" t="inlineStr">
        <is>
          <t xml:space="preserve"> Indianapolis</t>
        </is>
      </c>
      <c r="W14" s="39" t="inlineStr">
        <is>
          <t xml:space="preserve"> Las Vegas</t>
        </is>
      </c>
      <c r="X14" s="39" t="n">
        <v>1</v>
      </c>
      <c r="Y14" s="35" t="inlineStr">
        <is>
          <t xml:space="preserve"> Green Bay</t>
        </is>
      </c>
      <c r="Z14" s="1" t="n">
        <v>0.6875</v>
      </c>
      <c r="AA14">
        <f>MAX($B$10:$B$44)-B14</f>
        <v/>
      </c>
      <c r="AB14" s="1">
        <f>IFERROR(B14/16,0)</f>
        <v/>
      </c>
      <c r="AD14" s="76">
        <f>MAX($B$7:$B$141)-B14</f>
        <v/>
      </c>
    </row>
    <row r="15">
      <c r="A15" s="2">
        <f>_xlfn.IFNA(IF(AD15=0,$AD$46,""),"")</f>
        <v/>
      </c>
      <c r="B15">
        <f>SUM(V15:X15)+C15</f>
        <v/>
      </c>
      <c r="C15">
        <f>COUNTA(F15:U15)</f>
        <v/>
      </c>
      <c r="D15">
        <f>_xlfn.RANK.EQ(B15,$B$10:$B$44,0)</f>
        <v/>
      </c>
      <c r="E15" s="13" t="inlineStr">
        <is>
          <t>tb</t>
        </is>
      </c>
      <c r="F15" s="61" t="inlineStr">
        <is>
          <t>BUFFALO</t>
        </is>
      </c>
      <c r="G15" s="61" t="inlineStr">
        <is>
          <t xml:space="preserve"> carolina</t>
        </is>
      </c>
      <c r="H15" s="61" t="n"/>
      <c r="I15" s="61" t="n"/>
      <c r="J15" s="61" t="inlineStr">
        <is>
          <t xml:space="preserve"> NEW ENGLAND</t>
        </is>
      </c>
      <c r="K15" s="61" t="n"/>
      <c r="L15" s="61" t="n"/>
      <c r="M15" s="61" t="n"/>
      <c r="N15" s="61" t="n"/>
      <c r="O15" s="61" t="n"/>
      <c r="P15" s="61" t="inlineStr">
        <is>
          <t xml:space="preserve"> las vegas</t>
        </is>
      </c>
      <c r="Q15" s="61" t="inlineStr">
        <is>
          <t xml:space="preserve"> DALLAS</t>
        </is>
      </c>
      <c r="R15" s="61" t="inlineStr">
        <is>
          <t xml:space="preserve"> seattle</t>
        </is>
      </c>
      <c r="S15" s="36" t="inlineStr">
        <is>
          <t xml:space="preserve"> SAN FRANCISCO </t>
        </is>
      </c>
      <c r="T15" s="37" t="inlineStr">
        <is>
          <t xml:space="preserve"> indianapolis</t>
        </is>
      </c>
      <c r="U15" s="35" t="n"/>
      <c r="V15" s="39" t="n">
        <v>1</v>
      </c>
      <c r="W15" s="39" t="inlineStr">
        <is>
          <t xml:space="preserve"> Tennessee</t>
        </is>
      </c>
      <c r="X15" s="39" t="inlineStr">
        <is>
          <t xml:space="preserve"> Cleveland</t>
        </is>
      </c>
      <c r="Y15" s="35" t="inlineStr">
        <is>
          <t xml:space="preserve"> Carolina</t>
        </is>
      </c>
      <c r="Z15" s="1" t="n">
        <v>0.5625</v>
      </c>
      <c r="AA15">
        <f>MAX($B$10:$B$44)-B15</f>
        <v/>
      </c>
      <c r="AB15" s="1">
        <f>IFERROR(B15/16,0)</f>
        <v/>
      </c>
      <c r="AD15" s="76">
        <f>MAX($B$7:$B$141)-B15</f>
        <v/>
      </c>
    </row>
    <row r="16">
      <c r="A16" s="2">
        <f>_xlfn.IFNA(IF(AD16=0,$AD$46,""),"")</f>
        <v/>
      </c>
      <c r="B16">
        <f>SUM(V16:X16)+C16</f>
        <v/>
      </c>
      <c r="C16">
        <f>COUNTA(F16:U16)</f>
        <v/>
      </c>
      <c r="D16">
        <f>_xlfn.RANK.EQ(B16,$B$10:$B$44,0)</f>
        <v/>
      </c>
      <c r="E16" s="13" t="inlineStr">
        <is>
          <t>Regltr5</t>
        </is>
      </c>
      <c r="F16" s="61" t="inlineStr">
        <is>
          <t>BUFFALO</t>
        </is>
      </c>
      <c r="G16" s="61" t="inlineStr">
        <is>
          <t xml:space="preserve"> carolina</t>
        </is>
      </c>
      <c r="H16" s="61" t="n"/>
      <c r="I16" s="61" t="n"/>
      <c r="J16" s="61" t="inlineStr">
        <is>
          <t xml:space="preserve"> NEW ENGLAND</t>
        </is>
      </c>
      <c r="K16" s="61" t="inlineStr">
        <is>
          <t xml:space="preserve"> green bay</t>
        </is>
      </c>
      <c r="L16" s="61" t="n"/>
      <c r="M16" s="61" t="inlineStr">
        <is>
          <t xml:space="preserve"> new orleans</t>
        </is>
      </c>
      <c r="N16" s="61" t="inlineStr">
        <is>
          <t xml:space="preserve"> cincinnati</t>
        </is>
      </c>
      <c r="O16" s="61" t="inlineStr">
        <is>
          <t xml:space="preserve"> DENVER</t>
        </is>
      </c>
      <c r="P16" s="61" t="inlineStr">
        <is>
          <t xml:space="preserve"> las vegas</t>
        </is>
      </c>
      <c r="Q16" s="61" t="n"/>
      <c r="R16" s="61" t="inlineStr">
        <is>
          <t xml:space="preserve"> seattle</t>
        </is>
      </c>
      <c r="S16" s="36" t="inlineStr">
        <is>
          <t xml:space="preserve"> SAN FRANCISCO </t>
        </is>
      </c>
      <c r="T16" s="37" t="n"/>
      <c r="U16" s="35" t="n"/>
      <c r="V16" s="39" t="inlineStr">
        <is>
          <t xml:space="preserve"> Cleveland</t>
        </is>
      </c>
      <c r="W16" s="39" t="inlineStr">
        <is>
          <t xml:space="preserve"> Tennessee</t>
        </is>
      </c>
      <c r="X16" s="39" t="n">
        <v>1</v>
      </c>
      <c r="Y16" s="35" t="inlineStr">
        <is>
          <t xml:space="preserve"> Carolina</t>
        </is>
      </c>
      <c r="Z16" s="1" t="n">
        <v>0.4375</v>
      </c>
      <c r="AA16">
        <f>MAX($B$10:$B$44)-B16</f>
        <v/>
      </c>
      <c r="AB16" s="1">
        <f>IFERROR(B16/16,0)</f>
        <v/>
      </c>
      <c r="AD16" s="76">
        <f>MAX($B$7:$B$141)-B16</f>
        <v/>
      </c>
    </row>
    <row r="17">
      <c r="A17" s="2">
        <f>_xlfn.IFNA(IF(AD17=0,$AD$46,""),"")</f>
        <v/>
      </c>
      <c r="B17">
        <f>SUM(V17:X17)+C17</f>
        <v/>
      </c>
      <c r="C17">
        <f>COUNTA(F17:U17)</f>
        <v/>
      </c>
      <c r="D17">
        <f>_xlfn.RANK.EQ(B17,$B$10:$B$44,0)</f>
        <v/>
      </c>
      <c r="E17" s="13" t="inlineStr">
        <is>
          <t>Katie A</t>
        </is>
      </c>
      <c r="F17" s="61" t="inlineStr">
        <is>
          <t>BUFFALO</t>
        </is>
      </c>
      <c r="G17" s="61" t="inlineStr">
        <is>
          <t xml:space="preserve"> carolina</t>
        </is>
      </c>
      <c r="H17" s="61" t="n"/>
      <c r="I17" s="61" t="n"/>
      <c r="J17" s="61" t="inlineStr">
        <is>
          <t xml:space="preserve"> NEW ENGLAND</t>
        </is>
      </c>
      <c r="K17" s="61" t="inlineStr">
        <is>
          <t xml:space="preserve"> green bay</t>
        </is>
      </c>
      <c r="L17" s="61" t="n"/>
      <c r="M17" s="61" t="n"/>
      <c r="N17" s="61" t="n"/>
      <c r="O17" s="61" t="n"/>
      <c r="P17" s="61" t="n"/>
      <c r="Q17" s="61" t="inlineStr">
        <is>
          <t xml:space="preserve"> DALLAS</t>
        </is>
      </c>
      <c r="R17" s="61" t="inlineStr">
        <is>
          <t xml:space="preserve"> seattle</t>
        </is>
      </c>
      <c r="S17" s="36" t="inlineStr">
        <is>
          <t xml:space="preserve"> SAN FRANCISCO </t>
        </is>
      </c>
      <c r="T17" s="37" t="n"/>
      <c r="U17" s="35" t="inlineStr">
        <is>
          <t xml:space="preserve"> LOS ANGELES RAMS </t>
        </is>
      </c>
      <c r="V17" s="39" t="n">
        <v>1</v>
      </c>
      <c r="W17" s="39" t="inlineStr">
        <is>
          <t xml:space="preserve"> Cleveland</t>
        </is>
      </c>
      <c r="X17" s="39" t="inlineStr">
        <is>
          <t xml:space="preserve"> New Orleans</t>
        </is>
      </c>
      <c r="Y17" s="35" t="inlineStr">
        <is>
          <t xml:space="preserve"> DEAD</t>
        </is>
      </c>
      <c r="Z17" s="1" t="n">
        <v>0.6875</v>
      </c>
      <c r="AA17">
        <f>MAX($B$10:$B$44)-B17</f>
        <v/>
      </c>
      <c r="AB17" s="1">
        <f>IFERROR(B17/16,0)</f>
        <v/>
      </c>
      <c r="AD17" s="76">
        <f>MAX($B$7:$B$141)-B17</f>
        <v/>
      </c>
    </row>
    <row r="18">
      <c r="A18" s="2">
        <f>_xlfn.IFNA(IF(AD18=0,$AD$46,""),"")</f>
        <v/>
      </c>
      <c r="B18">
        <f>SUM(V18:X18)+C18</f>
        <v/>
      </c>
      <c r="C18">
        <f>COUNTA(F18:U18)</f>
        <v/>
      </c>
      <c r="D18">
        <f>_xlfn.RANK.EQ(B18,$B$10:$B$44,0)</f>
        <v/>
      </c>
      <c r="E18" s="13" t="inlineStr">
        <is>
          <t>TheDogfather</t>
        </is>
      </c>
      <c r="F18" s="28" t="inlineStr">
        <is>
          <t>BUFFALO</t>
        </is>
      </c>
      <c r="G18" s="28" t="n"/>
      <c r="H18" s="28" t="n"/>
      <c r="I18" s="28" t="n"/>
      <c r="J18" s="28" t="inlineStr">
        <is>
          <t xml:space="preserve"> NEW ENGLAND</t>
        </is>
      </c>
      <c r="K18" s="28" t="n"/>
      <c r="L18" s="28" t="n"/>
      <c r="M18" s="28" t="n"/>
      <c r="N18" s="28" t="inlineStr">
        <is>
          <t xml:space="preserve"> cincinnati</t>
        </is>
      </c>
      <c r="O18" s="28" t="inlineStr">
        <is>
          <t xml:space="preserve"> DENVER</t>
        </is>
      </c>
      <c r="P18" s="28" t="n"/>
      <c r="Q18" s="28" t="n"/>
      <c r="R18" s="28" t="n"/>
      <c r="S18" s="36" t="n"/>
      <c r="T18" s="37" t="n"/>
      <c r="U18" s="35" t="inlineStr">
        <is>
          <t xml:space="preserve"> LOS ANGELES RAMS </t>
        </is>
      </c>
      <c r="V18" s="39" t="inlineStr">
        <is>
          <t xml:space="preserve"> Carolina</t>
        </is>
      </c>
      <c r="W18" s="39" t="inlineStr">
        <is>
          <t xml:space="preserve"> Tennessee</t>
        </is>
      </c>
      <c r="X18" s="39" t="inlineStr">
        <is>
          <t xml:space="preserve"> Cleveland</t>
        </is>
      </c>
      <c r="Y18" s="35" t="inlineStr">
        <is>
          <t xml:space="preserve"> Kansas City</t>
        </is>
      </c>
      <c r="Z18" s="1" t="n">
        <v>0.75</v>
      </c>
      <c r="AA18">
        <f>MAX($B$10:$B$44)-B18</f>
        <v/>
      </c>
      <c r="AB18" s="1">
        <f>IFERROR(B18/16,0)</f>
        <v/>
      </c>
      <c r="AD18" s="76">
        <f>MAX($B$7:$B$141)-B18</f>
        <v/>
      </c>
    </row>
    <row r="19">
      <c r="A19" s="2">
        <f>_xlfn.IFNA(IF(AD19=0,$AD$46,""),"")</f>
        <v/>
      </c>
      <c r="B19">
        <f>SUM(V19:X19)+C19</f>
        <v/>
      </c>
      <c r="C19">
        <f>COUNTA(F19:U19)</f>
        <v/>
      </c>
      <c r="D19">
        <f>_xlfn.RANK.EQ(B19,$B$10:$B$44,0)</f>
        <v/>
      </c>
      <c r="E19" s="13" t="inlineStr">
        <is>
          <t>Jim T</t>
        </is>
      </c>
      <c r="F19" s="61" t="inlineStr">
        <is>
          <t>BUFFALO</t>
        </is>
      </c>
      <c r="G19" s="61" t="inlineStr">
        <is>
          <t xml:space="preserve"> carolina</t>
        </is>
      </c>
      <c r="H19" s="61" t="n"/>
      <c r="I19" s="61" t="inlineStr">
        <is>
          <t xml:space="preserve"> TENNESSEE</t>
        </is>
      </c>
      <c r="J19" s="61" t="n"/>
      <c r="K19" s="61" t="inlineStr">
        <is>
          <t xml:space="preserve"> green bay</t>
        </is>
      </c>
      <c r="L19" s="61" t="n"/>
      <c r="M19" s="61" t="n"/>
      <c r="N19" s="61" t="n"/>
      <c r="O19" s="61" t="inlineStr">
        <is>
          <t xml:space="preserve"> DENVER</t>
        </is>
      </c>
      <c r="P19" s="61" t="n"/>
      <c r="Q19" s="61" t="inlineStr">
        <is>
          <t xml:space="preserve"> DALLAS</t>
        </is>
      </c>
      <c r="R19" s="61" t="inlineStr">
        <is>
          <t xml:space="preserve"> seattle</t>
        </is>
      </c>
      <c r="S19" s="36" t="inlineStr">
        <is>
          <t xml:space="preserve"> SAN FRANCISCO </t>
        </is>
      </c>
      <c r="T19" s="37" t="n"/>
      <c r="U19" s="35" t="inlineStr">
        <is>
          <t xml:space="preserve"> LOS ANGELES RAMS </t>
        </is>
      </c>
      <c r="V19" s="39" t="n">
        <v>1</v>
      </c>
      <c r="W19" s="39" t="inlineStr">
        <is>
          <t xml:space="preserve"> Cleveland</t>
        </is>
      </c>
      <c r="X19" s="39" t="inlineStr">
        <is>
          <t xml:space="preserve"> Tennessee</t>
        </is>
      </c>
      <c r="Y19" s="35" t="inlineStr">
        <is>
          <t xml:space="preserve"> DEAD</t>
        </is>
      </c>
      <c r="Z19" s="1" t="n">
        <v>0.75</v>
      </c>
      <c r="AA19">
        <f>MAX($B$10:$B$44)-B19</f>
        <v/>
      </c>
      <c r="AB19" s="1">
        <f>IFERROR(B19/16,0)</f>
        <v/>
      </c>
      <c r="AD19" s="76">
        <f>MAX($B$7:$B$141)-B19</f>
        <v/>
      </c>
    </row>
    <row r="20">
      <c r="A20" s="2">
        <f>_xlfn.IFNA(IF(AD20=0,$AD$46,""),"")</f>
        <v/>
      </c>
      <c r="B20">
        <f>SUM(V20:X20)+C20</f>
        <v/>
      </c>
      <c r="C20">
        <f>COUNTA(F20:U20)</f>
        <v/>
      </c>
      <c r="D20">
        <f>_xlfn.RANK.EQ(B20,$B$10:$B$44,0)</f>
        <v/>
      </c>
      <c r="E20" s="13" t="inlineStr">
        <is>
          <t>Phelps Phamily</t>
        </is>
      </c>
      <c r="F20" s="61" t="inlineStr">
        <is>
          <t>BUFFALO</t>
        </is>
      </c>
      <c r="G20" s="61" t="inlineStr">
        <is>
          <t xml:space="preserve"> carolina</t>
        </is>
      </c>
      <c r="H20" s="61" t="n"/>
      <c r="I20" s="61" t="n"/>
      <c r="J20" s="61" t="inlineStr">
        <is>
          <t xml:space="preserve"> NEW ENGLAND</t>
        </is>
      </c>
      <c r="K20" s="61" t="inlineStr">
        <is>
          <t xml:space="preserve"> green bay</t>
        </is>
      </c>
      <c r="L20" s="61" t="n"/>
      <c r="M20" s="61" t="inlineStr">
        <is>
          <t xml:space="preserve"> new orleans</t>
        </is>
      </c>
      <c r="N20" s="61" t="inlineStr">
        <is>
          <t xml:space="preserve"> cincinnati</t>
        </is>
      </c>
      <c r="O20" s="61" t="n"/>
      <c r="P20" s="61" t="n"/>
      <c r="Q20" s="61" t="n"/>
      <c r="R20" s="61" t="inlineStr">
        <is>
          <t xml:space="preserve"> seattle</t>
        </is>
      </c>
      <c r="S20" s="36" t="inlineStr">
        <is>
          <t xml:space="preserve"> SAN FRANCISCO </t>
        </is>
      </c>
      <c r="T20" s="37" t="inlineStr">
        <is>
          <t xml:space="preserve"> indianapolis</t>
        </is>
      </c>
      <c r="U20" s="35" t="inlineStr">
        <is>
          <t xml:space="preserve"> LOS ANGELES RAMS </t>
        </is>
      </c>
      <c r="V20" s="39" t="n">
        <v>1</v>
      </c>
      <c r="W20" s="39" t="inlineStr">
        <is>
          <t xml:space="preserve"> Cleveland</t>
        </is>
      </c>
      <c r="X20" s="39" t="inlineStr">
        <is>
          <t xml:space="preserve"> Tennessee</t>
        </is>
      </c>
      <c r="Y20" s="35" t="inlineStr">
        <is>
          <t xml:space="preserve"> Buffalo</t>
        </is>
      </c>
      <c r="Z20" s="1" t="n">
        <v>0.4375</v>
      </c>
      <c r="AA20">
        <f>MAX($B$10:$B$44)-B20</f>
        <v/>
      </c>
      <c r="AB20" s="1">
        <f>IFERROR(B20/16,0)</f>
        <v/>
      </c>
      <c r="AD20" s="76">
        <f>MAX($B$7:$B$141)-B20</f>
        <v/>
      </c>
    </row>
    <row r="21">
      <c r="A21" s="2">
        <f>_xlfn.IFNA(IF(AD21=0,$AD$46,""),"")</f>
        <v/>
      </c>
      <c r="B21">
        <f>SUM(V21:X21)+C21</f>
        <v/>
      </c>
      <c r="C21">
        <f>COUNTA(F21:U21)</f>
        <v/>
      </c>
      <c r="D21">
        <f>_xlfn.RANK.EQ(B21,$B$10:$B$44,0)</f>
        <v/>
      </c>
      <c r="E21" s="13" t="inlineStr">
        <is>
          <t>SaleeNmd</t>
        </is>
      </c>
      <c r="F21" s="61" t="inlineStr">
        <is>
          <t>BUFFALO</t>
        </is>
      </c>
      <c r="G21" s="61" t="inlineStr">
        <is>
          <t xml:space="preserve"> carolina</t>
        </is>
      </c>
      <c r="H21" s="61" t="n"/>
      <c r="I21" s="61" t="n"/>
      <c r="J21" s="61" t="inlineStr">
        <is>
          <t xml:space="preserve"> NEW ENGLAND</t>
        </is>
      </c>
      <c r="K21" s="61" t="inlineStr">
        <is>
          <t xml:space="preserve"> green bay</t>
        </is>
      </c>
      <c r="L21" s="61" t="inlineStr">
        <is>
          <t xml:space="preserve"> cleveland</t>
        </is>
      </c>
      <c r="M21" s="61" t="inlineStr">
        <is>
          <t xml:space="preserve"> new orleans</t>
        </is>
      </c>
      <c r="N21" s="61" t="n"/>
      <c r="O21" s="61" t="inlineStr">
        <is>
          <t xml:space="preserve"> DENVER</t>
        </is>
      </c>
      <c r="P21" s="61" t="inlineStr">
        <is>
          <t xml:space="preserve"> las vegas</t>
        </is>
      </c>
      <c r="Q21" s="61" t="inlineStr">
        <is>
          <t xml:space="preserve"> DALLAS</t>
        </is>
      </c>
      <c r="R21" s="61" t="inlineStr">
        <is>
          <t xml:space="preserve"> seattle</t>
        </is>
      </c>
      <c r="S21" s="36" t="inlineStr">
        <is>
          <t xml:space="preserve"> SAN FRANCISCO </t>
        </is>
      </c>
      <c r="T21" s="37" t="inlineStr">
        <is>
          <t xml:space="preserve"> indianapolis</t>
        </is>
      </c>
      <c r="U21" s="35" t="n"/>
      <c r="V21" s="39" t="n">
        <v>1</v>
      </c>
      <c r="W21" s="39" t="inlineStr">
        <is>
          <t xml:space="preserve"> Tennessee</t>
        </is>
      </c>
      <c r="X21" s="39" t="inlineStr">
        <is>
          <t xml:space="preserve"> New Orleans</t>
        </is>
      </c>
      <c r="Y21" s="35" t="inlineStr">
        <is>
          <t xml:space="preserve"> Green Bay</t>
        </is>
      </c>
      <c r="Z21" s="1" t="n">
        <v>0.4375</v>
      </c>
      <c r="AA21">
        <f>MAX($B$10:$B$44)-B21</f>
        <v/>
      </c>
      <c r="AB21" s="1">
        <f>IFERROR(B21/16,0)</f>
        <v/>
      </c>
      <c r="AD21" s="76">
        <f>MAX($B$7:$B$141)-B21</f>
        <v/>
      </c>
    </row>
    <row r="22">
      <c r="A22" s="2">
        <f>_xlfn.IFNA(IF(AD22=0,$AD$46,""),"")</f>
        <v/>
      </c>
      <c r="B22">
        <f>SUM(V22:X22)+C22</f>
        <v/>
      </c>
      <c r="C22">
        <f>COUNTA(F22:U22)</f>
        <v/>
      </c>
      <c r="D22">
        <f>_xlfn.RANK.EQ(B22,$B$10:$B$44,0)</f>
        <v/>
      </c>
      <c r="E22" s="13" t="inlineStr">
        <is>
          <t>meatloaf</t>
        </is>
      </c>
      <c r="F22" s="61" t="inlineStr">
        <is>
          <t>BUFFALO</t>
        </is>
      </c>
      <c r="G22" s="61" t="inlineStr">
        <is>
          <t xml:space="preserve"> carolina</t>
        </is>
      </c>
      <c r="H22" s="61" t="n"/>
      <c r="I22" s="61" t="n"/>
      <c r="J22" s="61" t="inlineStr">
        <is>
          <t xml:space="preserve"> NEW ENGLAND</t>
        </is>
      </c>
      <c r="K22" s="61" t="n"/>
      <c r="L22" s="61" t="n"/>
      <c r="M22" s="61" t="inlineStr">
        <is>
          <t xml:space="preserve"> new orleans</t>
        </is>
      </c>
      <c r="N22" s="61" t="n"/>
      <c r="O22" s="61" t="inlineStr">
        <is>
          <t xml:space="preserve"> DENVER</t>
        </is>
      </c>
      <c r="P22" s="61" t="n"/>
      <c r="Q22" s="61" t="inlineStr">
        <is>
          <t xml:space="preserve"> DALLAS</t>
        </is>
      </c>
      <c r="R22" s="61" t="n"/>
      <c r="S22" s="36" t="inlineStr">
        <is>
          <t xml:space="preserve"> SAN FRANCISCO </t>
        </is>
      </c>
      <c r="T22" s="37" t="n"/>
      <c r="U22" s="35" t="inlineStr">
        <is>
          <t xml:space="preserve"> LOS ANGELES RAMS </t>
        </is>
      </c>
      <c r="V22" s="39" t="inlineStr">
        <is>
          <t xml:space="preserve"> Cleveland</t>
        </is>
      </c>
      <c r="W22" s="39" t="n">
        <v>1</v>
      </c>
      <c r="X22" s="39" t="inlineStr">
        <is>
          <t xml:space="preserve"> Las Vegas</t>
        </is>
      </c>
      <c r="Y22" s="35" t="inlineStr">
        <is>
          <t xml:space="preserve"> Chicago</t>
        </is>
      </c>
      <c r="Z22" s="1" t="n">
        <v>0.8125</v>
      </c>
      <c r="AA22">
        <f>MAX($B$10:$B$44)-B22</f>
        <v/>
      </c>
      <c r="AB22" s="1">
        <f>IFERROR(B22/16,0)</f>
        <v/>
      </c>
      <c r="AD22" s="76">
        <f>MAX($B$7:$B$141)-B22</f>
        <v/>
      </c>
    </row>
    <row r="23">
      <c r="A23" s="2">
        <f>_xlfn.IFNA(IF(AD23=0,$AD$46,""),"")</f>
        <v/>
      </c>
      <c r="B23">
        <f>SUM(V23:X23)+C23</f>
        <v/>
      </c>
      <c r="C23">
        <f>COUNTA(F23:U23)</f>
        <v/>
      </c>
      <c r="D23">
        <f>_xlfn.RANK.EQ(B23,$B$10:$B$44,0)</f>
        <v/>
      </c>
      <c r="E23" s="13" t="inlineStr">
        <is>
          <t>Vonasek Family</t>
        </is>
      </c>
      <c r="F23" s="61" t="inlineStr">
        <is>
          <t>BUFFALO</t>
        </is>
      </c>
      <c r="G23" s="61" t="inlineStr">
        <is>
          <t xml:space="preserve"> carolina</t>
        </is>
      </c>
      <c r="H23" s="61" t="n"/>
      <c r="I23" s="61" t="n"/>
      <c r="J23" s="61" t="inlineStr">
        <is>
          <t xml:space="preserve"> NEW ENGLAND</t>
        </is>
      </c>
      <c r="K23" s="61" t="inlineStr">
        <is>
          <t xml:space="preserve"> green bay</t>
        </is>
      </c>
      <c r="L23" s="61" t="n"/>
      <c r="M23" s="61" t="n"/>
      <c r="N23" s="61" t="n"/>
      <c r="O23" s="61" t="inlineStr">
        <is>
          <t xml:space="preserve"> DENVER</t>
        </is>
      </c>
      <c r="P23" s="61" t="n"/>
      <c r="Q23" s="61" t="n"/>
      <c r="R23" s="61" t="inlineStr">
        <is>
          <t xml:space="preserve"> seattle</t>
        </is>
      </c>
      <c r="S23" s="36" t="inlineStr">
        <is>
          <t xml:space="preserve"> SAN FRANCISCO </t>
        </is>
      </c>
      <c r="T23" s="37" t="n"/>
      <c r="U23" s="35" t="inlineStr">
        <is>
          <t xml:space="preserve"> LOS ANGELES RAMS </t>
        </is>
      </c>
      <c r="V23" s="39" t="inlineStr">
        <is>
          <t xml:space="preserve"> New Orleans</t>
        </is>
      </c>
      <c r="W23" s="39" t="n">
        <v>1</v>
      </c>
      <c r="X23" s="39" t="inlineStr">
        <is>
          <t xml:space="preserve"> Indianapolis</t>
        </is>
      </c>
      <c r="Y23" s="35" t="inlineStr">
        <is>
          <t xml:space="preserve"> DEAD</t>
        </is>
      </c>
      <c r="Z23" s="1" t="n">
        <v>0.6875</v>
      </c>
      <c r="AA23">
        <f>MAX($B$10:$B$44)-B23</f>
        <v/>
      </c>
      <c r="AB23" s="1">
        <f>IFERROR(B23/16,0)</f>
        <v/>
      </c>
      <c r="AD23" s="76">
        <f>MAX($B$7:$B$141)-B23</f>
        <v/>
      </c>
    </row>
    <row r="24">
      <c r="A24" s="2">
        <f>_xlfn.IFNA(IF(AD24=0,$AD$46,""),"")</f>
        <v/>
      </c>
      <c r="B24">
        <f>SUM(V24:X24)+C24</f>
        <v/>
      </c>
      <c r="C24">
        <f>COUNTA(F24:U24)</f>
        <v/>
      </c>
      <c r="D24">
        <f>_xlfn.RANK.EQ(B24,$B$10:$B$44,0)</f>
        <v/>
      </c>
      <c r="E24" s="13" t="inlineStr">
        <is>
          <t>Stan</t>
        </is>
      </c>
      <c r="F24" s="61" t="inlineStr">
        <is>
          <t>BUFFALO</t>
        </is>
      </c>
      <c r="G24" s="61" t="inlineStr">
        <is>
          <t xml:space="preserve"> carolina</t>
        </is>
      </c>
      <c r="H24" s="61" t="n"/>
      <c r="I24" s="61" t="n"/>
      <c r="J24" s="61" t="inlineStr">
        <is>
          <t xml:space="preserve"> NEW ENGLAND</t>
        </is>
      </c>
      <c r="K24" s="61" t="inlineStr">
        <is>
          <t xml:space="preserve"> green bay</t>
        </is>
      </c>
      <c r="L24" s="61" t="n"/>
      <c r="M24" s="61" t="n"/>
      <c r="N24" s="61" t="n"/>
      <c r="O24" s="61" t="inlineStr">
        <is>
          <t xml:space="preserve"> DENVER</t>
        </is>
      </c>
      <c r="P24" s="61" t="inlineStr">
        <is>
          <t xml:space="preserve"> las vegas</t>
        </is>
      </c>
      <c r="Q24" s="61" t="n"/>
      <c r="R24" s="61" t="inlineStr">
        <is>
          <t xml:space="preserve"> seattle</t>
        </is>
      </c>
      <c r="S24" s="36" t="inlineStr">
        <is>
          <t xml:space="preserve"> SAN FRANCISCO </t>
        </is>
      </c>
      <c r="T24" s="37" t="inlineStr">
        <is>
          <t xml:space="preserve"> indianapolis</t>
        </is>
      </c>
      <c r="U24" s="35" t="n"/>
      <c r="V24" s="39" t="inlineStr">
        <is>
          <t xml:space="preserve"> Tennessee</t>
        </is>
      </c>
      <c r="W24" s="39" t="inlineStr">
        <is>
          <t xml:space="preserve"> Cleveland</t>
        </is>
      </c>
      <c r="X24" s="39" t="n">
        <v>1</v>
      </c>
      <c r="Y24" s="35" t="inlineStr">
        <is>
          <t xml:space="preserve"> New England</t>
        </is>
      </c>
      <c r="Z24" s="1" t="n">
        <v>0.5</v>
      </c>
      <c r="AA24">
        <f>MAX($B$10:$B$44)-B24</f>
        <v/>
      </c>
      <c r="AB24" s="1">
        <f>IFERROR(B24/16,0)</f>
        <v/>
      </c>
      <c r="AD24" s="76">
        <f>MAX($B$7:$B$141)-B24</f>
        <v/>
      </c>
    </row>
    <row r="25">
      <c r="A25" s="2">
        <f>_xlfn.IFNA(IF(AD25=0,$AD$46,""),"")</f>
        <v/>
      </c>
      <c r="B25">
        <f>SUM(V25:X25)+C25</f>
        <v/>
      </c>
      <c r="C25">
        <f>COUNTA(F25:U25)</f>
        <v/>
      </c>
      <c r="D25">
        <f>_xlfn.RANK.EQ(B25,$B$10:$B$44,0)</f>
        <v/>
      </c>
      <c r="E25" s="13" t="inlineStr">
        <is>
          <t>cuetop</t>
        </is>
      </c>
      <c r="F25" s="61" t="inlineStr">
        <is>
          <t>BUFFALO</t>
        </is>
      </c>
      <c r="G25" s="61" t="inlineStr">
        <is>
          <t xml:space="preserve"> carolina</t>
        </is>
      </c>
      <c r="H25" s="61" t="n"/>
      <c r="I25" s="61" t="n"/>
      <c r="J25" s="61" t="inlineStr">
        <is>
          <t xml:space="preserve"> NEW ENGLAND</t>
        </is>
      </c>
      <c r="K25" s="61" t="inlineStr">
        <is>
          <t xml:space="preserve"> green bay</t>
        </is>
      </c>
      <c r="L25" s="61" t="n"/>
      <c r="M25" s="61" t="n"/>
      <c r="N25" s="61" t="n"/>
      <c r="O25" s="61" t="inlineStr">
        <is>
          <t xml:space="preserve"> DENVER</t>
        </is>
      </c>
      <c r="P25" s="61" t="inlineStr">
        <is>
          <t xml:space="preserve"> las vegas</t>
        </is>
      </c>
      <c r="Q25" s="61" t="inlineStr">
        <is>
          <t xml:space="preserve"> DALLAS</t>
        </is>
      </c>
      <c r="R25" s="61" t="n"/>
      <c r="S25" s="36" t="inlineStr">
        <is>
          <t xml:space="preserve"> SAN FRANCISCO </t>
        </is>
      </c>
      <c r="T25" s="37" t="n"/>
      <c r="U25" s="35" t="n"/>
      <c r="V25" s="39" t="inlineStr">
        <is>
          <t xml:space="preserve"> Cleveland</t>
        </is>
      </c>
      <c r="W25" s="39" t="n">
        <v>1</v>
      </c>
      <c r="X25" s="39" t="inlineStr">
        <is>
          <t xml:space="preserve"> Tennessee</t>
        </is>
      </c>
      <c r="Y25" s="35" t="inlineStr">
        <is>
          <t xml:space="preserve"> Buffalo</t>
        </is>
      </c>
      <c r="Z25" s="1" t="n">
        <v>0.6875</v>
      </c>
      <c r="AA25">
        <f>MAX($B$10:$B$44)-B25</f>
        <v/>
      </c>
      <c r="AB25" s="1">
        <f>IFERROR(B25/16,0)</f>
        <v/>
      </c>
      <c r="AD25" s="76">
        <f>MAX($B$7:$B$141)-B25</f>
        <v/>
      </c>
    </row>
    <row r="26">
      <c r="A26" s="2">
        <f>_xlfn.IFNA(IF(AD26=0,$AD$46,""),"")</f>
        <v/>
      </c>
      <c r="B26">
        <f>SUM(V26:X26)+C26</f>
        <v/>
      </c>
      <c r="C26">
        <f>COUNTA(F26:U26)</f>
        <v/>
      </c>
      <c r="D26">
        <f>_xlfn.RANK.EQ(B26,$B$10:$B$44,0)</f>
        <v/>
      </c>
      <c r="E26" s="13" t="inlineStr">
        <is>
          <t>Debe</t>
        </is>
      </c>
      <c r="F26" s="28" t="inlineStr">
        <is>
          <t>BUFFALO</t>
        </is>
      </c>
      <c r="G26" s="28" t="n"/>
      <c r="H26" s="28" t="n"/>
      <c r="I26" s="28" t="n"/>
      <c r="J26" s="28" t="inlineStr">
        <is>
          <t xml:space="preserve"> NEW ENGLAND</t>
        </is>
      </c>
      <c r="K26" s="28" t="inlineStr">
        <is>
          <t xml:space="preserve"> green bay</t>
        </is>
      </c>
      <c r="L26" s="28" t="n"/>
      <c r="M26" s="28" t="n"/>
      <c r="N26" s="28" t="n"/>
      <c r="O26" s="28" t="inlineStr">
        <is>
          <t xml:space="preserve"> DENVER</t>
        </is>
      </c>
      <c r="P26" s="28" t="inlineStr">
        <is>
          <t xml:space="preserve"> las vegas</t>
        </is>
      </c>
      <c r="Q26" s="28" t="inlineStr">
        <is>
          <t xml:space="preserve"> DALLAS</t>
        </is>
      </c>
      <c r="R26" s="28" t="inlineStr">
        <is>
          <t xml:space="preserve"> seattle</t>
        </is>
      </c>
      <c r="S26" s="36" t="n"/>
      <c r="T26" s="37" t="n"/>
      <c r="U26" s="35" t="n"/>
      <c r="V26" s="39" t="inlineStr">
        <is>
          <t xml:space="preserve"> Carolina</t>
        </is>
      </c>
      <c r="W26" s="39" t="inlineStr">
        <is>
          <t xml:space="preserve"> Tennessee</t>
        </is>
      </c>
      <c r="X26" s="39" t="inlineStr">
        <is>
          <t xml:space="preserve"> New Orleans</t>
        </is>
      </c>
      <c r="Y26" s="35" t="inlineStr">
        <is>
          <t xml:space="preserve"> Seattle</t>
        </is>
      </c>
      <c r="Z26" s="1" t="n">
        <v>0.625</v>
      </c>
      <c r="AA26">
        <f>MAX($B$10:$B$44)-B26</f>
        <v/>
      </c>
      <c r="AB26" s="1">
        <f>IFERROR(B26/16,0)</f>
        <v/>
      </c>
      <c r="AD26" s="76">
        <f>MAX($B$7:$B$141)-B26</f>
        <v/>
      </c>
    </row>
    <row r="27">
      <c r="A27" s="2">
        <f>_xlfn.IFNA(IF(AD27=0,$AD$46,""),"")</f>
        <v/>
      </c>
      <c r="B27">
        <f>SUM(V27:X27)+C27</f>
        <v/>
      </c>
      <c r="C27">
        <f>COUNTA(F27:U27)</f>
        <v/>
      </c>
      <c r="D27">
        <f>_xlfn.RANK.EQ(B27,$B$10:$B$44,0)</f>
        <v/>
      </c>
      <c r="E27" s="13" t="inlineStr">
        <is>
          <t>CraneGuy936</t>
        </is>
      </c>
      <c r="F27" s="61" t="n"/>
      <c r="G27" s="61" t="inlineStr">
        <is>
          <t xml:space="preserve"> carolina</t>
        </is>
      </c>
      <c r="H27" s="61" t="n"/>
      <c r="I27" s="61" t="n"/>
      <c r="J27" s="61" t="n"/>
      <c r="K27" s="61" t="inlineStr">
        <is>
          <t xml:space="preserve"> green bay</t>
        </is>
      </c>
      <c r="L27" s="61" t="n"/>
      <c r="M27" s="61" t="n"/>
      <c r="N27" s="61" t="n"/>
      <c r="O27" s="61" t="n"/>
      <c r="P27" s="61" t="inlineStr">
        <is>
          <t xml:space="preserve"> las vegas</t>
        </is>
      </c>
      <c r="Q27" s="61" t="inlineStr">
        <is>
          <t xml:space="preserve"> DALLAS</t>
        </is>
      </c>
      <c r="R27" s="61" t="inlineStr">
        <is>
          <t xml:space="preserve"> seattle</t>
        </is>
      </c>
      <c r="S27" s="36" t="inlineStr">
        <is>
          <t xml:space="preserve"> SAN FRANCISCO </t>
        </is>
      </c>
      <c r="T27" s="37" t="n"/>
      <c r="U27" s="35" t="inlineStr">
        <is>
          <t xml:space="preserve"> LOS ANGELES RAMS </t>
        </is>
      </c>
      <c r="V27" s="39" t="n">
        <v>1</v>
      </c>
      <c r="W27" s="39" t="inlineStr">
        <is>
          <t xml:space="preserve"> Cleveland</t>
        </is>
      </c>
      <c r="X27" s="39" t="inlineStr">
        <is>
          <t xml:space="preserve"> New England</t>
        </is>
      </c>
      <c r="Y27" s="35" t="inlineStr">
        <is>
          <t xml:space="preserve"> DEAD</t>
        </is>
      </c>
      <c r="Z27" s="1" t="n">
        <v>0.5</v>
      </c>
      <c r="AA27">
        <f>MAX($B$10:$B$44)-B27</f>
        <v/>
      </c>
      <c r="AB27" s="1">
        <f>IFERROR(B27/16,0)</f>
        <v/>
      </c>
      <c r="AD27" s="76">
        <f>MAX($B$7:$B$141)-B27</f>
        <v/>
      </c>
    </row>
    <row r="28">
      <c r="A28" s="2">
        <f>_xlfn.IFNA(IF(AD28=0,$AD$46,""),"")</f>
        <v/>
      </c>
      <c r="B28">
        <f>SUM(V28:X28)+C28</f>
        <v/>
      </c>
      <c r="C28">
        <f>COUNTA(F28:U28)</f>
        <v/>
      </c>
      <c r="D28">
        <f>_xlfn.RANK.EQ(B28,$B$10:$B$44,0)</f>
        <v/>
      </c>
      <c r="E28" s="13" t="inlineStr">
        <is>
          <t>Frankethetank</t>
        </is>
      </c>
      <c r="F28" s="61" t="inlineStr">
        <is>
          <t>BUFFALO</t>
        </is>
      </c>
      <c r="G28" s="61" t="inlineStr">
        <is>
          <t xml:space="preserve"> carolina</t>
        </is>
      </c>
      <c r="H28" s="61" t="n"/>
      <c r="I28" s="61" t="n"/>
      <c r="J28" s="61" t="inlineStr">
        <is>
          <t xml:space="preserve"> NEW ENGLAND</t>
        </is>
      </c>
      <c r="K28" s="61" t="inlineStr">
        <is>
          <t xml:space="preserve"> green bay</t>
        </is>
      </c>
      <c r="L28" s="61" t="inlineStr">
        <is>
          <t xml:space="preserve"> cleveland</t>
        </is>
      </c>
      <c r="M28" s="61" t="inlineStr">
        <is>
          <t xml:space="preserve"> new orleans</t>
        </is>
      </c>
      <c r="N28" s="61" t="n"/>
      <c r="O28" s="61" t="inlineStr">
        <is>
          <t xml:space="preserve"> DENVER</t>
        </is>
      </c>
      <c r="P28" s="61" t="inlineStr">
        <is>
          <t xml:space="preserve"> las vegas</t>
        </is>
      </c>
      <c r="Q28" s="61" t="n"/>
      <c r="R28" s="61" t="inlineStr">
        <is>
          <t xml:space="preserve"> seattle</t>
        </is>
      </c>
      <c r="S28" s="36" t="n"/>
      <c r="T28" s="37" t="n"/>
      <c r="U28" s="35" t="inlineStr">
        <is>
          <t xml:space="preserve"> LOS ANGELES RAMS </t>
        </is>
      </c>
      <c r="V28" s="39" t="inlineStr">
        <is>
          <t xml:space="preserve"> New York Jets</t>
        </is>
      </c>
      <c r="W28" s="39" t="inlineStr">
        <is>
          <t xml:space="preserve"> Cleveland</t>
        </is>
      </c>
      <c r="X28" s="39" t="inlineStr">
        <is>
          <t xml:space="preserve"> Tennessee</t>
        </is>
      </c>
      <c r="Y28" s="35" t="inlineStr">
        <is>
          <t xml:space="preserve"> Green Bay</t>
        </is>
      </c>
      <c r="Z28" s="1" t="n">
        <v>0.4375</v>
      </c>
      <c r="AA28">
        <f>MAX($B$10:$B$44)-B28</f>
        <v/>
      </c>
      <c r="AB28" s="1">
        <f>IFERROR(B28/16,0)</f>
        <v/>
      </c>
      <c r="AD28" s="76">
        <f>MAX($B$7:$B$141)-B28</f>
        <v/>
      </c>
    </row>
    <row r="29">
      <c r="A29" s="2">
        <f>_xlfn.IFNA(IF(AD29=0,$AD$46,""),"")</f>
        <v/>
      </c>
      <c r="B29">
        <f>SUM(V29:X29)+C29</f>
        <v/>
      </c>
      <c r="C29">
        <f>COUNTA(F29:U29)</f>
        <v/>
      </c>
      <c r="D29">
        <f>_xlfn.RANK.EQ(B29,$B$10:$B$44,0)</f>
        <v/>
      </c>
      <c r="E29" s="13" t="inlineStr">
        <is>
          <t>MiMi</t>
        </is>
      </c>
      <c r="F29" s="28" t="inlineStr">
        <is>
          <t>BUFFALO</t>
        </is>
      </c>
      <c r="G29" s="28" t="n"/>
      <c r="H29" s="28" t="n"/>
      <c r="I29" s="28" t="inlineStr">
        <is>
          <t xml:space="preserve"> TENNESSEE</t>
        </is>
      </c>
      <c r="J29" s="28" t="inlineStr">
        <is>
          <t xml:space="preserve"> NEW ENGLAND</t>
        </is>
      </c>
      <c r="K29" s="28" t="inlineStr">
        <is>
          <t xml:space="preserve"> green bay</t>
        </is>
      </c>
      <c r="L29" s="28" t="n"/>
      <c r="M29" s="28" t="n"/>
      <c r="N29" s="28" t="inlineStr">
        <is>
          <t xml:space="preserve"> cincinnati</t>
        </is>
      </c>
      <c r="O29" s="28" t="inlineStr">
        <is>
          <t xml:space="preserve"> DENVER</t>
        </is>
      </c>
      <c r="P29" s="28" t="inlineStr">
        <is>
          <t xml:space="preserve"> las vegas</t>
        </is>
      </c>
      <c r="Q29" s="28" t="n"/>
      <c r="R29" s="28" t="inlineStr">
        <is>
          <t xml:space="preserve"> seattle</t>
        </is>
      </c>
      <c r="S29" s="36" t="inlineStr">
        <is>
          <t xml:space="preserve"> SAN FRANCISCO </t>
        </is>
      </c>
      <c r="T29" s="37" t="n"/>
      <c r="U29" s="35" t="inlineStr">
        <is>
          <t xml:space="preserve"> LOS ANGELES RAMS </t>
        </is>
      </c>
      <c r="V29" s="39" t="inlineStr">
        <is>
          <t xml:space="preserve"> Cleveland</t>
        </is>
      </c>
      <c r="W29" s="39" t="n">
        <v>1</v>
      </c>
      <c r="X29" s="39" t="n">
        <v>1</v>
      </c>
      <c r="Y29" s="35" t="inlineStr">
        <is>
          <t xml:space="preserve"> Buffalo</t>
        </is>
      </c>
      <c r="Z29" s="1" t="n">
        <v>0.6875</v>
      </c>
      <c r="AA29">
        <f>MAX($B$10:$B$44)-B29</f>
        <v/>
      </c>
      <c r="AB29" s="1">
        <f>IFERROR(B29/16,0)</f>
        <v/>
      </c>
      <c r="AD29" s="76">
        <f>MAX($B$7:$B$141)-B29</f>
        <v/>
      </c>
    </row>
    <row r="30">
      <c r="A30" s="2">
        <f>_xlfn.IFNA(IF(AD30=0,$AD$46,""),"")</f>
        <v/>
      </c>
      <c r="B30">
        <f>SUM(V30:X30)+C30</f>
        <v/>
      </c>
      <c r="C30">
        <f>COUNTA(F30:U30)</f>
        <v/>
      </c>
      <c r="D30">
        <f>_xlfn.RANK.EQ(B30,$B$10:$B$44,0)</f>
        <v/>
      </c>
      <c r="E30" s="13" t="inlineStr">
        <is>
          <t>Navygolfer</t>
        </is>
      </c>
      <c r="F30" s="28" t="inlineStr">
        <is>
          <t>BUFFALO</t>
        </is>
      </c>
      <c r="G30" s="28" t="inlineStr">
        <is>
          <t xml:space="preserve"> carolina</t>
        </is>
      </c>
      <c r="H30" s="28" t="n"/>
      <c r="I30" s="28" t="n"/>
      <c r="J30" s="28" t="inlineStr">
        <is>
          <t xml:space="preserve"> NEW ENGLAND</t>
        </is>
      </c>
      <c r="K30" s="28" t="inlineStr">
        <is>
          <t xml:space="preserve"> green bay</t>
        </is>
      </c>
      <c r="L30" s="28" t="n"/>
      <c r="M30" s="28" t="n"/>
      <c r="N30" s="28" t="n"/>
      <c r="O30" s="28" t="inlineStr">
        <is>
          <t xml:space="preserve"> DENVER</t>
        </is>
      </c>
      <c r="P30" s="28" t="inlineStr">
        <is>
          <t xml:space="preserve"> las vegas</t>
        </is>
      </c>
      <c r="Q30" s="28" t="inlineStr">
        <is>
          <t xml:space="preserve"> DALLAS</t>
        </is>
      </c>
      <c r="R30" s="28" t="inlineStr">
        <is>
          <t xml:space="preserve"> seattle</t>
        </is>
      </c>
      <c r="S30" s="36" t="inlineStr">
        <is>
          <t xml:space="preserve"> SAN FRANCISCO </t>
        </is>
      </c>
      <c r="T30" s="37" t="n"/>
      <c r="U30" s="35" t="n"/>
      <c r="V30" s="39" t="inlineStr">
        <is>
          <t xml:space="preserve"> New Orleans</t>
        </is>
      </c>
      <c r="W30" s="39" t="n">
        <v>1</v>
      </c>
      <c r="X30" s="39" t="inlineStr">
        <is>
          <t xml:space="preserve"> Tennessee</t>
        </is>
      </c>
      <c r="Y30" s="35" t="inlineStr">
        <is>
          <t xml:space="preserve"> Carolina</t>
        </is>
      </c>
      <c r="Z30" s="1" t="n">
        <v>0.625</v>
      </c>
      <c r="AA30">
        <f>MAX($B$10:$B$44)-B30</f>
        <v/>
      </c>
      <c r="AB30" s="1">
        <f>IFERROR(B30/16,0)</f>
        <v/>
      </c>
      <c r="AD30" s="76">
        <f>MAX($B$7:$B$141)-B30</f>
        <v/>
      </c>
    </row>
    <row r="31">
      <c r="A31" s="2">
        <f>_xlfn.IFNA(IF(AD31=0,$AD$46,""),"")</f>
        <v/>
      </c>
      <c r="B31">
        <f>SUM(V31:X31)+C31</f>
        <v/>
      </c>
      <c r="C31">
        <f>COUNTA(F31:U31)</f>
        <v/>
      </c>
      <c r="D31">
        <f>_xlfn.RANK.EQ(B31,$B$10:$B$44,0)</f>
        <v/>
      </c>
      <c r="E31" s="13" t="inlineStr">
        <is>
          <t>Ian</t>
        </is>
      </c>
      <c r="F31" s="28" t="inlineStr">
        <is>
          <t>BUFFALO</t>
        </is>
      </c>
      <c r="G31" s="28" t="inlineStr">
        <is>
          <t xml:space="preserve"> carolina</t>
        </is>
      </c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inlineStr">
        <is>
          <t xml:space="preserve"> las vegas</t>
        </is>
      </c>
      <c r="Q31" s="28" t="inlineStr">
        <is>
          <t xml:space="preserve"> DALLAS</t>
        </is>
      </c>
      <c r="R31" s="28" t="n"/>
      <c r="S31" s="36" t="inlineStr">
        <is>
          <t xml:space="preserve"> SAN FRANCISCO </t>
        </is>
      </c>
      <c r="T31" s="37" t="inlineStr">
        <is>
          <t xml:space="preserve"> indianapolis</t>
        </is>
      </c>
      <c r="U31" s="35" t="inlineStr">
        <is>
          <t xml:space="preserve"> LOS ANGELES RAMS </t>
        </is>
      </c>
      <c r="V31" s="39" t="n">
        <v>1</v>
      </c>
      <c r="W31" s="39" t="inlineStr">
        <is>
          <t xml:space="preserve"> Minnesota</t>
        </is>
      </c>
      <c r="X31" s="39" t="inlineStr">
        <is>
          <t xml:space="preserve"> New Orleans</t>
        </is>
      </c>
      <c r="Y31" s="35" t="inlineStr">
        <is>
          <t xml:space="preserve"> DEAD</t>
        </is>
      </c>
      <c r="Z31" s="1" t="n">
        <v>0.625</v>
      </c>
      <c r="AA31">
        <f>MAX($B$10:$B$44)-B31</f>
        <v/>
      </c>
      <c r="AB31" s="1">
        <f>IFERROR(B31/16,0)</f>
        <v/>
      </c>
      <c r="AD31" s="76">
        <f>MAX($B$7:$B$141)-B31</f>
        <v/>
      </c>
    </row>
    <row r="32">
      <c r="A32" s="2">
        <f>_xlfn.IFNA(IF(AD32=0,$AD$46,""),"")</f>
        <v/>
      </c>
      <c r="B32">
        <f>SUM(V32:X32)+C32</f>
        <v/>
      </c>
      <c r="C32">
        <f>COUNTA(F32:U32)</f>
        <v/>
      </c>
      <c r="D32">
        <f>_xlfn.RANK.EQ(B32,$B$10:$B$44,0)</f>
        <v/>
      </c>
      <c r="E32" s="13" t="inlineStr">
        <is>
          <t>Samsaunt</t>
        </is>
      </c>
      <c r="F32" s="28" t="inlineStr">
        <is>
          <t>BUFFALO</t>
        </is>
      </c>
      <c r="G32" s="28" t="inlineStr">
        <is>
          <t xml:space="preserve"> carolina</t>
        </is>
      </c>
      <c r="H32" s="28" t="n"/>
      <c r="I32" s="28" t="n"/>
      <c r="J32" s="28" t="n"/>
      <c r="K32" s="28" t="inlineStr">
        <is>
          <t xml:space="preserve"> green bay</t>
        </is>
      </c>
      <c r="L32" s="28" t="n"/>
      <c r="M32" s="28" t="n"/>
      <c r="N32" s="28" t="inlineStr">
        <is>
          <t xml:space="preserve"> cincinnati</t>
        </is>
      </c>
      <c r="O32" s="28" t="n"/>
      <c r="P32" s="28" t="inlineStr">
        <is>
          <t xml:space="preserve"> las vegas</t>
        </is>
      </c>
      <c r="Q32" s="28" t="inlineStr">
        <is>
          <t xml:space="preserve"> DALLAS</t>
        </is>
      </c>
      <c r="R32" s="28" t="inlineStr">
        <is>
          <t xml:space="preserve"> seattle</t>
        </is>
      </c>
      <c r="S32" s="36" t="inlineStr">
        <is>
          <t xml:space="preserve"> SAN FRANCISCO </t>
        </is>
      </c>
      <c r="T32" s="37" t="n"/>
      <c r="U32" s="35" t="inlineStr">
        <is>
          <t xml:space="preserve"> LOS ANGELES RAMS </t>
        </is>
      </c>
      <c r="V32" s="39" t="inlineStr">
        <is>
          <t xml:space="preserve"> Tennessee</t>
        </is>
      </c>
      <c r="W32" s="39" t="n">
        <v>1</v>
      </c>
      <c r="X32" s="39" t="inlineStr">
        <is>
          <t xml:space="preserve"> New York Jets</t>
        </is>
      </c>
      <c r="Y32" s="35" t="inlineStr">
        <is>
          <t xml:space="preserve"> Buffalo</t>
        </is>
      </c>
      <c r="Z32" s="1" t="n">
        <v>0.5</v>
      </c>
      <c r="AA32">
        <f>MAX($B$10:$B$44)-B32</f>
        <v/>
      </c>
      <c r="AB32" s="1">
        <f>IFERROR(B32/16,0)</f>
        <v/>
      </c>
      <c r="AD32" s="76">
        <f>MAX($B$7:$B$141)-B32</f>
        <v/>
      </c>
    </row>
    <row r="33">
      <c r="A33" s="2">
        <f>_xlfn.IFNA(IF(AD33=0,$AD$46,""),"")</f>
        <v/>
      </c>
      <c r="B33">
        <f>SUM(V33:X33)+C33</f>
        <v/>
      </c>
      <c r="C33">
        <f>COUNTA(F33:U33)</f>
        <v/>
      </c>
      <c r="D33">
        <f>_xlfn.RANK.EQ(B33,$B$10:$B$44,0)</f>
        <v/>
      </c>
      <c r="E33" s="13" t="inlineStr">
        <is>
          <t>Bob h</t>
        </is>
      </c>
      <c r="F33" s="28" t="inlineStr">
        <is>
          <t>BUFFALO</t>
        </is>
      </c>
      <c r="G33" s="28" t="inlineStr">
        <is>
          <t xml:space="preserve"> carolina</t>
        </is>
      </c>
      <c r="H33" s="28" t="n"/>
      <c r="I33" s="28" t="n"/>
      <c r="J33" s="28" t="inlineStr">
        <is>
          <t xml:space="preserve"> NEW ENGLAND</t>
        </is>
      </c>
      <c r="K33" s="28" t="inlineStr">
        <is>
          <t xml:space="preserve"> green bay</t>
        </is>
      </c>
      <c r="L33" s="28" t="n"/>
      <c r="M33" s="28" t="n"/>
      <c r="N33" s="28" t="n"/>
      <c r="O33" s="28" t="inlineStr">
        <is>
          <t xml:space="preserve"> DENVER</t>
        </is>
      </c>
      <c r="P33" s="28" t="n"/>
      <c r="Q33" s="28" t="inlineStr">
        <is>
          <t xml:space="preserve"> DALLAS</t>
        </is>
      </c>
      <c r="R33" s="28" t="inlineStr">
        <is>
          <t xml:space="preserve"> seattle</t>
        </is>
      </c>
      <c r="S33" s="36" t="inlineStr">
        <is>
          <t xml:space="preserve"> SAN FRANCISCO </t>
        </is>
      </c>
      <c r="T33" s="37" t="n"/>
      <c r="U33" s="35" t="inlineStr">
        <is>
          <t xml:space="preserve"> LOS ANGELES RAMS </t>
        </is>
      </c>
      <c r="V33" s="39" t="n">
        <v>1</v>
      </c>
      <c r="W33" s="39" t="inlineStr">
        <is>
          <t xml:space="preserve"> Cleveland</t>
        </is>
      </c>
      <c r="X33" s="39" t="n">
        <v>1</v>
      </c>
      <c r="Y33" s="35" t="inlineStr">
        <is>
          <t xml:space="preserve"> Tennessee</t>
        </is>
      </c>
      <c r="Z33" s="1" t="n">
        <v>0.75</v>
      </c>
      <c r="AA33">
        <f>MAX($B$10:$B$44)-B33</f>
        <v/>
      </c>
      <c r="AB33" s="1">
        <f>IFERROR(B33/16,0)</f>
        <v/>
      </c>
      <c r="AD33" s="76">
        <f>MAX($B$7:$B$141)-B33</f>
        <v/>
      </c>
    </row>
    <row r="34">
      <c r="A34" s="2">
        <f>_xlfn.IFNA(IF(AD34=0,$AD$46,""),"")</f>
        <v/>
      </c>
      <c r="B34">
        <f>SUM(V34:X34)+C34</f>
        <v/>
      </c>
      <c r="C34">
        <f>COUNTA(F34:U34)</f>
        <v/>
      </c>
      <c r="D34">
        <f>_xlfn.RANK.EQ(B34,$B$10:$B$44,0)</f>
        <v/>
      </c>
      <c r="E34" s="13" t="inlineStr">
        <is>
          <t>Ryan S</t>
        </is>
      </c>
      <c r="F34" s="28" t="inlineStr">
        <is>
          <t>BUFFALO</t>
        </is>
      </c>
      <c r="G34" s="61" t="inlineStr">
        <is>
          <t xml:space="preserve"> carolina</t>
        </is>
      </c>
      <c r="H34" s="61" t="n"/>
      <c r="I34" s="61" t="n"/>
      <c r="J34" s="61" t="inlineStr">
        <is>
          <t xml:space="preserve"> NEW ENGLAND</t>
        </is>
      </c>
      <c r="K34" s="61" t="inlineStr">
        <is>
          <t xml:space="preserve"> green bay</t>
        </is>
      </c>
      <c r="L34" s="61" t="n"/>
      <c r="M34" s="61" t="n"/>
      <c r="N34" s="61" t="n"/>
      <c r="O34" s="61" t="n"/>
      <c r="P34" s="61" t="inlineStr">
        <is>
          <t xml:space="preserve"> las vegas</t>
        </is>
      </c>
      <c r="Q34" s="61" t="n"/>
      <c r="R34" s="61" t="inlineStr">
        <is>
          <t xml:space="preserve"> seattle</t>
        </is>
      </c>
      <c r="S34" s="36" t="n"/>
      <c r="T34" s="37" t="n"/>
      <c r="U34" s="35" t="n"/>
      <c r="V34" s="39" t="inlineStr">
        <is>
          <t xml:space="preserve"> Cleveland</t>
        </is>
      </c>
      <c r="W34" s="39" t="inlineStr">
        <is>
          <t xml:space="preserve"> Tennessee</t>
        </is>
      </c>
      <c r="X34" s="39" t="inlineStr">
        <is>
          <t xml:space="preserve"> New Orleans</t>
        </is>
      </c>
      <c r="Y34" s="35" t="inlineStr">
        <is>
          <t xml:space="preserve"> DEAD</t>
        </is>
      </c>
      <c r="Z34" s="1" t="n">
        <v>0.4375</v>
      </c>
      <c r="AA34">
        <f>MAX($B$10:$B$44)-B34</f>
        <v/>
      </c>
      <c r="AB34" s="1">
        <f>IFERROR(B34/16,0)</f>
        <v/>
      </c>
      <c r="AD34" s="76">
        <f>MAX($B$7:$B$141)-B34</f>
        <v/>
      </c>
    </row>
    <row r="35">
      <c r="A35" s="2">
        <f>_xlfn.IFNA(IF(AD35=0,$AD$46,""),"")</f>
        <v/>
      </c>
      <c r="B35">
        <f>SUM(V35:X35)+C35</f>
        <v/>
      </c>
      <c r="C35">
        <f>COUNTA(F35:U35)</f>
        <v/>
      </c>
      <c r="D35">
        <f>_xlfn.RANK.EQ(B35,$B$10:$B$44,0)</f>
        <v/>
      </c>
      <c r="E35" s="13" t="inlineStr">
        <is>
          <t>Gr8granpa</t>
        </is>
      </c>
      <c r="F35" s="61" t="inlineStr">
        <is>
          <t>BUFFALO</t>
        </is>
      </c>
      <c r="G35" s="61" t="inlineStr">
        <is>
          <t xml:space="preserve"> carolina</t>
        </is>
      </c>
      <c r="H35" s="61" t="n"/>
      <c r="I35" s="61" t="n"/>
      <c r="J35" s="61" t="inlineStr">
        <is>
          <t xml:space="preserve"> NEW ENGLAND</t>
        </is>
      </c>
      <c r="K35" s="61" t="inlineStr">
        <is>
          <t xml:space="preserve"> green bay</t>
        </is>
      </c>
      <c r="L35" s="61" t="n"/>
      <c r="M35" s="61" t="n"/>
      <c r="N35" s="61" t="inlineStr">
        <is>
          <t xml:space="preserve"> cincinnati</t>
        </is>
      </c>
      <c r="O35" s="61" t="inlineStr">
        <is>
          <t xml:space="preserve"> DENVER</t>
        </is>
      </c>
      <c r="P35" s="61" t="n"/>
      <c r="Q35" s="61" t="n"/>
      <c r="R35" s="61" t="inlineStr">
        <is>
          <t xml:space="preserve"> seattle</t>
        </is>
      </c>
      <c r="S35" s="36" t="inlineStr">
        <is>
          <t xml:space="preserve"> SAN FRANCISCO </t>
        </is>
      </c>
      <c r="T35" s="37" t="n"/>
      <c r="U35" s="35" t="inlineStr">
        <is>
          <t xml:space="preserve"> LOS ANGELES RAMS </t>
        </is>
      </c>
      <c r="V35" s="39" t="n">
        <v>1</v>
      </c>
      <c r="W35" s="39" t="inlineStr">
        <is>
          <t xml:space="preserve"> Cleveland</t>
        </is>
      </c>
      <c r="X35" s="39" t="inlineStr">
        <is>
          <t xml:space="preserve"> New Orleans</t>
        </is>
      </c>
      <c r="Y35" s="35" t="inlineStr">
        <is>
          <t xml:space="preserve"> Seattle</t>
        </is>
      </c>
      <c r="Z35" s="1" t="n">
        <v>0.625</v>
      </c>
      <c r="AA35">
        <f>MAX($B$10:$B$44)-B35</f>
        <v/>
      </c>
      <c r="AB35" s="1">
        <f>IFERROR(B35/16,0)</f>
        <v/>
      </c>
      <c r="AD35" s="76">
        <f>MAX($B$7:$B$141)-B35</f>
        <v/>
      </c>
    </row>
    <row r="36">
      <c r="A36" s="2">
        <f>_xlfn.IFNA(IF(AD36=0,$AD$46,""),"")</f>
        <v/>
      </c>
      <c r="B36">
        <f>SUM(V36:X36)+C36</f>
        <v/>
      </c>
      <c r="C36">
        <f>COUNTA(F36:U36)</f>
        <v/>
      </c>
      <c r="D36">
        <f>_xlfn.RANK.EQ(B36,$B$10:$B$44,0)</f>
        <v/>
      </c>
      <c r="E36" s="13" t="inlineStr">
        <is>
          <t>MayeDay! MayeDay!</t>
        </is>
      </c>
      <c r="F36" s="61" t="inlineStr">
        <is>
          <t>BUFFALO</t>
        </is>
      </c>
      <c r="G36" s="61" t="inlineStr">
        <is>
          <t xml:space="preserve"> carolina</t>
        </is>
      </c>
      <c r="H36" s="61" t="n"/>
      <c r="I36" s="61" t="n"/>
      <c r="J36" s="61" t="inlineStr">
        <is>
          <t xml:space="preserve"> NEW ENGLAND</t>
        </is>
      </c>
      <c r="K36" s="28" t="n"/>
      <c r="L36" s="61" t="n"/>
      <c r="M36" s="61" t="inlineStr">
        <is>
          <t xml:space="preserve"> new orleans</t>
        </is>
      </c>
      <c r="N36" s="61" t="n"/>
      <c r="O36" s="61" t="n"/>
      <c r="P36" s="61" t="n"/>
      <c r="Q36" s="61" t="inlineStr">
        <is>
          <t xml:space="preserve"> DALLAS</t>
        </is>
      </c>
      <c r="R36" s="61" t="inlineStr">
        <is>
          <t xml:space="preserve"> seattle</t>
        </is>
      </c>
      <c r="S36" s="36" t="inlineStr">
        <is>
          <t xml:space="preserve"> SAN FRANCISCO </t>
        </is>
      </c>
      <c r="T36" s="37" t="n"/>
      <c r="U36" s="35" t="inlineStr">
        <is>
          <t xml:space="preserve"> LOS ANGELES RAMS </t>
        </is>
      </c>
      <c r="V36" s="39" t="inlineStr">
        <is>
          <t xml:space="preserve"> Indianapolis</t>
        </is>
      </c>
      <c r="W36" s="39" t="inlineStr">
        <is>
          <t xml:space="preserve"> Tennessee</t>
        </is>
      </c>
      <c r="X36" s="39" t="n">
        <v>1</v>
      </c>
      <c r="Y36" s="35" t="inlineStr">
        <is>
          <t xml:space="preserve"> Seattle</t>
        </is>
      </c>
      <c r="Z36" s="1" t="n">
        <v>0.6875</v>
      </c>
      <c r="AA36">
        <f>MAX($B$10:$B$44)-B36</f>
        <v/>
      </c>
      <c r="AB36" s="1">
        <f>IFERROR(B36/16,0)</f>
        <v/>
      </c>
      <c r="AD36" s="76">
        <f>MAX($B$7:$B$141)-B36</f>
        <v/>
      </c>
    </row>
    <row r="37">
      <c r="A37" s="2">
        <f>_xlfn.IFNA(IF(AD37=0,$AD$46,""),"")</f>
        <v/>
      </c>
      <c r="B37">
        <f>SUM(V37:X37)+C37</f>
        <v/>
      </c>
      <c r="C37">
        <f>COUNTA(F37:U37)</f>
        <v/>
      </c>
      <c r="D37">
        <f>_xlfn.RANK.EQ(B37,$B$10:$B$44,0)</f>
        <v/>
      </c>
      <c r="E37" s="13" t="inlineStr">
        <is>
          <t>Sista Sledge</t>
        </is>
      </c>
      <c r="F37" s="28" t="inlineStr">
        <is>
          <t>BUFFALO</t>
        </is>
      </c>
      <c r="G37" s="28" t="inlineStr">
        <is>
          <t xml:space="preserve"> carolina</t>
        </is>
      </c>
      <c r="H37" s="28" t="n"/>
      <c r="I37" s="28" t="n"/>
      <c r="J37" s="28" t="inlineStr">
        <is>
          <t xml:space="preserve"> NEW ENGLAND</t>
        </is>
      </c>
      <c r="K37" s="28" t="inlineStr">
        <is>
          <t xml:space="preserve"> green bay</t>
        </is>
      </c>
      <c r="L37" s="28" t="n"/>
      <c r="M37" s="28" t="n"/>
      <c r="N37" s="28" t="n"/>
      <c r="O37" s="28" t="inlineStr">
        <is>
          <t xml:space="preserve"> DENVER</t>
        </is>
      </c>
      <c r="P37" s="28" t="inlineStr">
        <is>
          <t xml:space="preserve"> las vegas</t>
        </is>
      </c>
      <c r="Q37" s="28" t="inlineStr">
        <is>
          <t xml:space="preserve"> DALLAS</t>
        </is>
      </c>
      <c r="R37" s="28" t="inlineStr">
        <is>
          <t xml:space="preserve"> seattle</t>
        </is>
      </c>
      <c r="S37" s="36" t="inlineStr">
        <is>
          <t xml:space="preserve"> SAN FRANCISCO </t>
        </is>
      </c>
      <c r="T37" s="37" t="n"/>
      <c r="U37" s="35" t="inlineStr">
        <is>
          <t xml:space="preserve"> LOS ANGELES RAMS </t>
        </is>
      </c>
      <c r="V37" s="39" t="inlineStr">
        <is>
          <t xml:space="preserve"> Cleveland</t>
        </is>
      </c>
      <c r="W37" s="39" t="n">
        <v>1</v>
      </c>
      <c r="X37" s="39" t="inlineStr">
        <is>
          <t xml:space="preserve"> Tennessee</t>
        </is>
      </c>
      <c r="Y37" s="35" t="inlineStr">
        <is>
          <t xml:space="preserve"> DEAD</t>
        </is>
      </c>
      <c r="Z37" s="1" t="n">
        <v>0.6875</v>
      </c>
      <c r="AA37">
        <f>MAX($B$10:$B$44)-B37</f>
        <v/>
      </c>
      <c r="AB37" s="1">
        <f>IFERROR(B37/16,0)</f>
        <v/>
      </c>
      <c r="AD37" s="76">
        <f>MAX($B$7:$B$141)-B37</f>
        <v/>
      </c>
    </row>
    <row r="38">
      <c r="A38" s="2">
        <f>_xlfn.IFNA(IF(AD38=0,$AD$46,""),"")</f>
        <v/>
      </c>
      <c r="B38">
        <f>SUM(V38:X38)+C38</f>
        <v/>
      </c>
      <c r="C38">
        <f>COUNTA(F38:U38)</f>
        <v/>
      </c>
      <c r="D38">
        <f>_xlfn.RANK.EQ(B38,$B$10:$B$44,0)</f>
        <v/>
      </c>
      <c r="E38" s="13" t="inlineStr">
        <is>
          <t>The Dark Side</t>
        </is>
      </c>
      <c r="F38" s="28" t="inlineStr">
        <is>
          <t>BUFFALO</t>
        </is>
      </c>
      <c r="G38" s="28" t="inlineStr">
        <is>
          <t xml:space="preserve"> carolina</t>
        </is>
      </c>
      <c r="H38" s="28" t="n"/>
      <c r="I38" s="28" t="n"/>
      <c r="J38" s="28" t="inlineStr">
        <is>
          <t xml:space="preserve"> NEW ENGLAND</t>
        </is>
      </c>
      <c r="K38" s="28" t="inlineStr">
        <is>
          <t xml:space="preserve"> green bay</t>
        </is>
      </c>
      <c r="L38" s="28" t="n"/>
      <c r="M38" s="28" t="n"/>
      <c r="N38" s="28" t="inlineStr">
        <is>
          <t xml:space="preserve"> cincinnati</t>
        </is>
      </c>
      <c r="O38" s="28" t="n"/>
      <c r="P38" s="28" t="inlineStr">
        <is>
          <t xml:space="preserve"> las vegas</t>
        </is>
      </c>
      <c r="Q38" s="28" t="inlineStr">
        <is>
          <t xml:space="preserve"> DALLAS</t>
        </is>
      </c>
      <c r="R38" s="28" t="inlineStr">
        <is>
          <t xml:space="preserve"> seattle</t>
        </is>
      </c>
      <c r="S38" s="36" t="n"/>
      <c r="T38" s="37" t="n"/>
      <c r="U38" s="35" t="inlineStr">
        <is>
          <t xml:space="preserve"> LOS ANGELES RAMS </t>
        </is>
      </c>
      <c r="V38" s="39" t="inlineStr">
        <is>
          <t xml:space="preserve"> Tennessee</t>
        </is>
      </c>
      <c r="W38" s="39" t="inlineStr">
        <is>
          <t xml:space="preserve"> Cleveland</t>
        </is>
      </c>
      <c r="X38" s="39" t="inlineStr">
        <is>
          <t xml:space="preserve"> Indianapolis</t>
        </is>
      </c>
      <c r="Y38" s="35" t="inlineStr">
        <is>
          <t xml:space="preserve"> DEAD</t>
        </is>
      </c>
      <c r="Z38" s="1" t="n">
        <v>0.5</v>
      </c>
      <c r="AA38">
        <f>MAX($B$10:$B$44)-B38</f>
        <v/>
      </c>
      <c r="AB38" s="1">
        <f>IFERROR(B38/16,0)</f>
        <v/>
      </c>
      <c r="AD38" s="76">
        <f>MAX($B$7:$B$141)-B38</f>
        <v/>
      </c>
    </row>
    <row r="39">
      <c r="A39" s="2">
        <f>_xlfn.IFNA(IF(AD39=0,$AD$46,""),"")</f>
        <v/>
      </c>
      <c r="B39">
        <f>SUM(V39:X39)+C39</f>
        <v/>
      </c>
      <c r="C39">
        <f>COUNTA(F39:U39)</f>
        <v/>
      </c>
      <c r="D39">
        <f>_xlfn.RANK.EQ(B39,$B$10:$B$44,0)</f>
        <v/>
      </c>
      <c r="E39" s="13" t="inlineStr">
        <is>
          <t>Waffle Hauss</t>
        </is>
      </c>
      <c r="F39" s="38" t="inlineStr">
        <is>
          <t>BUFFALO</t>
        </is>
      </c>
      <c r="G39" s="38" t="inlineStr">
        <is>
          <t xml:space="preserve"> carolina</t>
        </is>
      </c>
      <c r="H39" s="38" t="n"/>
      <c r="I39" s="38" t="n"/>
      <c r="J39" s="38" t="inlineStr">
        <is>
          <t xml:space="preserve"> NEW ENGLAND</t>
        </is>
      </c>
      <c r="K39" s="38" t="inlineStr">
        <is>
          <t xml:space="preserve"> green bay</t>
        </is>
      </c>
      <c r="L39" s="38" t="inlineStr">
        <is>
          <t xml:space="preserve"> cleveland</t>
        </is>
      </c>
      <c r="M39" s="38" t="n"/>
      <c r="N39" s="38" t="n"/>
      <c r="O39" s="38" t="inlineStr">
        <is>
          <t xml:space="preserve"> DENVER</t>
        </is>
      </c>
      <c r="P39" s="38" t="inlineStr">
        <is>
          <t xml:space="preserve"> las vegas</t>
        </is>
      </c>
      <c r="Q39" s="38" t="inlineStr">
        <is>
          <t xml:space="preserve"> DALLAS</t>
        </is>
      </c>
      <c r="R39" s="38" t="inlineStr">
        <is>
          <t xml:space="preserve"> seattle</t>
        </is>
      </c>
      <c r="S39" s="36" t="inlineStr">
        <is>
          <t xml:space="preserve"> SAN FRANCISCO </t>
        </is>
      </c>
      <c r="T39" s="37" t="inlineStr">
        <is>
          <t xml:space="preserve"> indianapolis</t>
        </is>
      </c>
      <c r="U39" s="36" t="inlineStr">
        <is>
          <t xml:space="preserve"> LOS ANGELES RAMS </t>
        </is>
      </c>
      <c r="V39" s="39" t="n">
        <v>1</v>
      </c>
      <c r="W39" s="39" t="inlineStr">
        <is>
          <t xml:space="preserve"> Tennessee</t>
        </is>
      </c>
      <c r="X39" s="39" t="n">
        <v>1</v>
      </c>
      <c r="Y39" s="36" t="inlineStr">
        <is>
          <t xml:space="preserve"> Chicago</t>
        </is>
      </c>
      <c r="Z39" s="1" t="n">
        <v>0.5625</v>
      </c>
      <c r="AA39">
        <f>MAX($B$10:$B$44)-B39</f>
        <v/>
      </c>
      <c r="AB39" s="1">
        <f>IFERROR(B39/16,0)</f>
        <v/>
      </c>
      <c r="AD39" s="76">
        <f>MAX($B$7:$B$141)-B39</f>
        <v/>
      </c>
    </row>
    <row r="40">
      <c r="A40" s="2">
        <f>_xlfn.IFNA(IF(AD40=0,$AD$46,""),"")</f>
        <v/>
      </c>
      <c r="B40">
        <f>SUM(V40:X40)+C40</f>
        <v/>
      </c>
      <c r="C40">
        <f>COUNTA(F40:U40)</f>
        <v/>
      </c>
      <c r="D40">
        <f>_xlfn.RANK.EQ(B40,$B$10:$B$44,0)</f>
        <v/>
      </c>
      <c r="E40" s="13" t="inlineStr">
        <is>
          <t>Kit</t>
        </is>
      </c>
      <c r="F40" s="37" t="inlineStr">
        <is>
          <t>BUFFALO</t>
        </is>
      </c>
      <c r="G40" s="37" t="n"/>
      <c r="H40" s="37" t="n"/>
      <c r="I40" s="37" t="n"/>
      <c r="J40" s="37" t="inlineStr">
        <is>
          <t xml:space="preserve"> NEW ENGLAND</t>
        </is>
      </c>
      <c r="K40" s="37" t="inlineStr">
        <is>
          <t xml:space="preserve"> green bay</t>
        </is>
      </c>
      <c r="L40" s="37" t="n"/>
      <c r="M40" s="37" t="n"/>
      <c r="N40" s="37" t="inlineStr">
        <is>
          <t xml:space="preserve"> cincinnati</t>
        </is>
      </c>
      <c r="O40" s="37" t="n"/>
      <c r="P40" s="37" t="inlineStr">
        <is>
          <t xml:space="preserve"> las vegas</t>
        </is>
      </c>
      <c r="Q40" s="37" t="n"/>
      <c r="R40" s="37" t="inlineStr">
        <is>
          <t xml:space="preserve"> seattle</t>
        </is>
      </c>
      <c r="S40" s="36" t="n"/>
      <c r="T40" s="37" t="n"/>
      <c r="U40" s="35" t="inlineStr">
        <is>
          <t xml:space="preserve"> LOS ANGELES RAMS </t>
        </is>
      </c>
      <c r="V40" s="39" t="inlineStr">
        <is>
          <t xml:space="preserve"> Cleveland</t>
        </is>
      </c>
      <c r="W40" s="39" t="inlineStr">
        <is>
          <t xml:space="preserve"> Las Vegas</t>
        </is>
      </c>
      <c r="X40" s="39" t="inlineStr">
        <is>
          <t xml:space="preserve"> Tennessee</t>
        </is>
      </c>
      <c r="Y40" s="35" t="inlineStr">
        <is>
          <t xml:space="preserve"> DEAD</t>
        </is>
      </c>
      <c r="Z40" s="1" t="n">
        <v>0.5</v>
      </c>
      <c r="AA40">
        <f>MAX($B$10:$B$44)-B40</f>
        <v/>
      </c>
      <c r="AB40" s="1">
        <f>IFERROR(B40/16,0)</f>
        <v/>
      </c>
      <c r="AD40" s="76">
        <f>MAX($B$7:$B$141)-B40</f>
        <v/>
      </c>
    </row>
    <row r="41">
      <c r="A41" s="2">
        <f>_xlfn.IFNA(IF(AD41=0,$AD$46,""),"")</f>
        <v/>
      </c>
      <c r="B41">
        <f>SUM(V41:X41)+C41</f>
        <v/>
      </c>
      <c r="C41">
        <f>COUNTA(F41:U41)</f>
        <v/>
      </c>
      <c r="D41">
        <f>_xlfn.RANK.EQ(B41,$B$10:$B$44,0)</f>
        <v/>
      </c>
      <c r="E41" s="13" t="inlineStr">
        <is>
          <t>Brick_Hauss</t>
        </is>
      </c>
      <c r="F41" s="37" t="inlineStr">
        <is>
          <t>BUFFALO</t>
        </is>
      </c>
      <c r="G41" s="37" t="inlineStr">
        <is>
          <t xml:space="preserve"> carolina</t>
        </is>
      </c>
      <c r="H41" s="37" t="n"/>
      <c r="I41" s="37" t="n"/>
      <c r="J41" s="37" t="inlineStr">
        <is>
          <t xml:space="preserve"> NEW ENGLAND</t>
        </is>
      </c>
      <c r="K41" s="37" t="inlineStr">
        <is>
          <t xml:space="preserve"> green bay</t>
        </is>
      </c>
      <c r="L41" s="37" t="n"/>
      <c r="M41" s="37" t="n"/>
      <c r="N41" s="37" t="n"/>
      <c r="O41" s="37" t="n"/>
      <c r="P41" s="37" t="n"/>
      <c r="Q41" s="37" t="n"/>
      <c r="R41" s="37" t="inlineStr">
        <is>
          <t xml:space="preserve"> seattle</t>
        </is>
      </c>
      <c r="S41" s="36" t="n"/>
      <c r="T41" s="37" t="inlineStr">
        <is>
          <t xml:space="preserve"> indianapolis</t>
        </is>
      </c>
      <c r="U41" s="36" t="inlineStr">
        <is>
          <t xml:space="preserve"> LOS ANGELES RAMS </t>
        </is>
      </c>
      <c r="V41" s="39" t="inlineStr">
        <is>
          <t xml:space="preserve"> Tennessee</t>
        </is>
      </c>
      <c r="W41" s="39" t="n">
        <v>1</v>
      </c>
      <c r="X41" s="39" t="inlineStr">
        <is>
          <t xml:space="preserve"> Cleveland</t>
        </is>
      </c>
      <c r="Y41" s="36" t="inlineStr">
        <is>
          <t xml:space="preserve"> DEAD</t>
        </is>
      </c>
      <c r="Z41" s="1" t="n">
        <v>0.5</v>
      </c>
      <c r="AA41">
        <f>MAX($B$10:$B$44)-B41</f>
        <v/>
      </c>
      <c r="AB41" s="1">
        <f>IFERROR(B41/16,0)</f>
        <v/>
      </c>
      <c r="AD41" s="76">
        <f>MAX($B$7:$B$141)-B41</f>
        <v/>
      </c>
    </row>
    <row r="42">
      <c r="A42" s="2">
        <f>_xlfn.IFNA(IF(AD42=0,$AD$46,""),"")</f>
        <v/>
      </c>
      <c r="B42">
        <f>SUM(V42:X42)+C42</f>
        <v/>
      </c>
      <c r="C42">
        <f>COUNTA(F42:U42)</f>
        <v/>
      </c>
      <c r="D42">
        <f>_xlfn.RANK.EQ(B42,$B$10:$B$44,0)</f>
        <v/>
      </c>
      <c r="E42" s="13" t="inlineStr">
        <is>
          <t>Mrp4real</t>
        </is>
      </c>
      <c r="F42" s="37" t="inlineStr">
        <is>
          <t>BUFFALO</t>
        </is>
      </c>
      <c r="G42" s="37" t="inlineStr">
        <is>
          <t xml:space="preserve"> carolina</t>
        </is>
      </c>
      <c r="H42" s="37" t="n"/>
      <c r="I42" s="37" t="n"/>
      <c r="J42" s="37" t="inlineStr">
        <is>
          <t xml:space="preserve"> NEW ENGLAND</t>
        </is>
      </c>
      <c r="K42" s="37" t="inlineStr">
        <is>
          <t xml:space="preserve"> green bay</t>
        </is>
      </c>
      <c r="L42" s="37" t="n"/>
      <c r="M42" s="37" t="n"/>
      <c r="N42" s="37" t="n"/>
      <c r="O42" s="37" t="n"/>
      <c r="P42" s="37" t="inlineStr">
        <is>
          <t xml:space="preserve"> las vegas</t>
        </is>
      </c>
      <c r="Q42" s="37" t="n"/>
      <c r="R42" s="37" t="inlineStr">
        <is>
          <t xml:space="preserve"> seattle</t>
        </is>
      </c>
      <c r="S42" s="36" t="inlineStr">
        <is>
          <t xml:space="preserve"> SAN FRANCISCO </t>
        </is>
      </c>
      <c r="T42" s="37" t="n"/>
      <c r="U42" s="36" t="inlineStr">
        <is>
          <t xml:space="preserve"> LOS ANGELES RAMS </t>
        </is>
      </c>
      <c r="V42" s="39" t="n">
        <v>1</v>
      </c>
      <c r="W42" s="39" t="inlineStr">
        <is>
          <t xml:space="preserve"> Tennessee</t>
        </is>
      </c>
      <c r="X42" s="39" t="n">
        <v>1</v>
      </c>
      <c r="Y42" s="36" t="inlineStr">
        <is>
          <t xml:space="preserve"> Philadelphia</t>
        </is>
      </c>
      <c r="Z42" s="1" t="n">
        <v>0.5625</v>
      </c>
      <c r="AA42">
        <f>MAX($B$10:$B$44)-B42</f>
        <v/>
      </c>
      <c r="AB42" s="1">
        <f>IFERROR(B42/16,0)</f>
        <v/>
      </c>
      <c r="AD42" s="76">
        <f>MAX($B$7:$B$141)-B42</f>
        <v/>
      </c>
    </row>
    <row r="43">
      <c r="A43" s="2">
        <f>_xlfn.IFNA(IF(AD43=0,$AD$46,""),"")</f>
        <v/>
      </c>
      <c r="B43">
        <f>SUM(V43:X43)+C43</f>
        <v/>
      </c>
      <c r="C43">
        <f>COUNTA(F43:U43)</f>
        <v/>
      </c>
      <c r="D43">
        <f>_xlfn.RANK.EQ(B43,$B$10:$B$44,0)</f>
        <v/>
      </c>
      <c r="E43" s="13" t="inlineStr">
        <is>
          <t>Rusted Ox</t>
        </is>
      </c>
      <c r="F43" s="37" t="inlineStr">
        <is>
          <t>BUFFALO</t>
        </is>
      </c>
      <c r="G43" s="37" t="inlineStr">
        <is>
          <t xml:space="preserve"> carolina</t>
        </is>
      </c>
      <c r="H43" s="37" t="n"/>
      <c r="I43" s="37" t="n"/>
      <c r="J43" s="37" t="inlineStr">
        <is>
          <t xml:space="preserve"> NEW ENGLAND</t>
        </is>
      </c>
      <c r="K43" s="37" t="inlineStr">
        <is>
          <t xml:space="preserve"> green bay</t>
        </is>
      </c>
      <c r="L43" s="37" t="n"/>
      <c r="M43" s="37" t="n"/>
      <c r="N43" s="37" t="inlineStr">
        <is>
          <t xml:space="preserve"> cincinnati</t>
        </is>
      </c>
      <c r="O43" s="37" t="inlineStr">
        <is>
          <t xml:space="preserve"> DENVER</t>
        </is>
      </c>
      <c r="P43" s="37" t="n"/>
      <c r="Q43" s="37" t="inlineStr">
        <is>
          <t xml:space="preserve"> DALLAS</t>
        </is>
      </c>
      <c r="R43" s="37" t="inlineStr">
        <is>
          <t xml:space="preserve"> seattle</t>
        </is>
      </c>
      <c r="S43" s="36" t="inlineStr">
        <is>
          <t xml:space="preserve"> SAN FRANCISCO </t>
        </is>
      </c>
      <c r="T43" s="37" t="n"/>
      <c r="U43" s="36" t="inlineStr">
        <is>
          <t xml:space="preserve"> LOS ANGELES RAMS </t>
        </is>
      </c>
      <c r="V43" s="39" t="n">
        <v>1</v>
      </c>
      <c r="W43" s="39" t="inlineStr">
        <is>
          <t xml:space="preserve"> Dallas</t>
        </is>
      </c>
      <c r="X43" s="39" t="inlineStr">
        <is>
          <t xml:space="preserve"> New Orleans</t>
        </is>
      </c>
      <c r="Y43" s="36" t="inlineStr">
        <is>
          <t xml:space="preserve"> DEAD</t>
        </is>
      </c>
      <c r="Z43" s="1" t="n">
        <v>0.6875</v>
      </c>
      <c r="AA43">
        <f>MAX($B$10:$B$44)-B43</f>
        <v/>
      </c>
      <c r="AB43" s="1">
        <f>IFERROR(B43/16,0)</f>
        <v/>
      </c>
      <c r="AD43" s="76">
        <f>MAX($B$7:$B$141)-B43</f>
        <v/>
      </c>
    </row>
    <row r="44" ht="15" customHeight="1" s="54">
      <c r="A44" s="2">
        <f>_xlfn.IFNA(IF(AD44=0,$AD$46,""),"")</f>
        <v/>
      </c>
      <c r="B44">
        <f>SUM(V44:X44)+C44</f>
        <v/>
      </c>
      <c r="C44">
        <f>COUNTA(F44:U44)</f>
        <v/>
      </c>
      <c r="D44">
        <f>_xlfn.RANK.EQ(B44,$B$10:$B$44,0)</f>
        <v/>
      </c>
      <c r="E44" s="13" t="inlineStr">
        <is>
          <t>Ddupuy</t>
        </is>
      </c>
      <c r="F44" s="37" t="inlineStr">
        <is>
          <t>BUFFALO</t>
        </is>
      </c>
      <c r="G44" s="37" t="inlineStr">
        <is>
          <t xml:space="preserve"> carolina</t>
        </is>
      </c>
      <c r="H44" s="37" t="n"/>
      <c r="I44" s="37" t="n"/>
      <c r="J44" s="37" t="inlineStr">
        <is>
          <t xml:space="preserve"> NEW ENGLAND</t>
        </is>
      </c>
      <c r="K44" s="37" t="inlineStr">
        <is>
          <t xml:space="preserve"> green bay</t>
        </is>
      </c>
      <c r="L44" s="37" t="n"/>
      <c r="M44" s="37" t="n"/>
      <c r="N44" s="37" t="n"/>
      <c r="O44" s="37" t="n"/>
      <c r="P44" s="37" t="inlineStr">
        <is>
          <t xml:space="preserve"> las vegas</t>
        </is>
      </c>
      <c r="Q44" s="37" t="inlineStr">
        <is>
          <t xml:space="preserve"> DALLAS</t>
        </is>
      </c>
      <c r="R44" s="37" t="inlineStr">
        <is>
          <t xml:space="preserve"> seattle</t>
        </is>
      </c>
      <c r="S44" s="36" t="inlineStr">
        <is>
          <t xml:space="preserve"> SAN FRANCISCO </t>
        </is>
      </c>
      <c r="T44" s="37" t="inlineStr">
        <is>
          <t xml:space="preserve"> indianapolis</t>
        </is>
      </c>
      <c r="U44" s="36" t="n"/>
      <c r="V44" s="39" t="n">
        <v>1</v>
      </c>
      <c r="W44" s="39" t="inlineStr">
        <is>
          <t xml:space="preserve"> New Orleans</t>
        </is>
      </c>
      <c r="X44" s="39" t="inlineStr">
        <is>
          <t xml:space="preserve"> Cleveland</t>
        </is>
      </c>
      <c r="Y44" s="36" t="inlineStr">
        <is>
          <t xml:space="preserve"> DEAD</t>
        </is>
      </c>
      <c r="Z44" s="1" t="n">
        <v>0.5</v>
      </c>
      <c r="AA44">
        <f>MAX($B$10:$B$44)-B44</f>
        <v/>
      </c>
      <c r="AB44" s="1">
        <f>IFERROR(B44/16,0)</f>
        <v/>
      </c>
      <c r="AD44" s="76">
        <f>MAX($B$7:$B$141)-B44</f>
        <v/>
      </c>
    </row>
    <row r="45" ht="15" customHeight="1" s="54">
      <c r="V45" s="39" t="n"/>
      <c r="W45" s="39" t="n"/>
      <c r="X45" s="39" t="n"/>
      <c r="AD45" s="10">
        <f>COUNTIF(AD10:AD44,0)</f>
        <v/>
      </c>
    </row>
    <row r="46">
      <c r="AD46" s="76">
        <f>SUM(AD10:AD44)/AD45</f>
        <v/>
      </c>
    </row>
  </sheetData>
  <mergeCells count="1">
    <mergeCell ref="A1:Y2"/>
  </mergeCells>
  <conditionalFormatting sqref="B10:B4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:D4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0:U15 F16:K16 F17:U44 M16:U16">
    <cfRule type="cellIs" priority="4" operator="equal" dxfId="2">
      <formula>"W"</formula>
    </cfRule>
    <cfRule type="cellIs" priority="5" operator="equal" dxfId="1">
      <formula>"L"</formula>
    </cfRule>
  </conditionalFormatting>
  <conditionalFormatting sqref="AD10:AD46">
    <cfRule type="cellIs" priority="1" operator="equal" dxfId="0" stopIfTrue="1">
      <formula>0</formula>
    </cfRule>
  </conditionalFormatting>
  <dataValidations count="2">
    <dataValidation sqref="F6:U6" showDropDown="0" showInputMessage="0" showErrorMessage="0" allowBlank="1" type="list">
      <formula1>"Seattle,Los Angeles Rams,Cincinnati,Detroit,Tennessee,Indianapolis,Pittsburgh,Carolina,Jacksonville,Houston,Las Vegas,Minnesota,Philadelphia,Los Angeles Chargers,New York Giants,Kansas City"</formula1>
    </dataValidation>
    <dataValidation sqref="F10:U15 F16:K16 F17:U44 M16:U16" showDropDown="0" showInputMessage="0" showErrorMessage="0" allowBlank="1" type="list">
      <formula1>"W,L"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Sheet1">
    <outlinePr summaryBelow="1" summaryRight="1"/>
    <pageSetUpPr/>
  </sheetPr>
  <dimension ref="A1:AD46"/>
  <sheetViews>
    <sheetView topLeftCell="J1" zoomScale="61" workbookViewId="0">
      <selection activeCell="I6" sqref="I6"/>
    </sheetView>
  </sheetViews>
  <sheetFormatPr baseColWidth="8" defaultColWidth="9.109375" defaultRowHeight="14.4"/>
  <cols>
    <col width="11" customWidth="1" style="54" min="1" max="1"/>
    <col width="8" customWidth="1" style="54" min="2" max="4"/>
    <col width="18.88671875" bestFit="1" customWidth="1" style="54" min="5" max="5"/>
    <col width="13.21875" bestFit="1" customWidth="1" style="54" min="6" max="6"/>
    <col width="26.88671875" bestFit="1" customWidth="1" style="54" min="7" max="7"/>
    <col width="14.6640625" bestFit="1" customWidth="1" style="54" min="8" max="8"/>
    <col width="17.44140625" bestFit="1" customWidth="1" style="54" min="9" max="9"/>
    <col width="16.6640625" bestFit="1" customWidth="1" style="54" min="10" max="10"/>
    <col width="15" bestFit="1" customWidth="1" style="54" min="11" max="11"/>
    <col width="22.33203125" bestFit="1" customWidth="1" style="54" min="12" max="12"/>
    <col width="15.77734375" bestFit="1" customWidth="1" style="54" min="13" max="13"/>
    <col width="16.6640625" bestFit="1" customWidth="1" style="54" min="14" max="14"/>
    <col width="18" bestFit="1" customWidth="1" style="54" min="15" max="15"/>
    <col width="17.77734375" bestFit="1" customWidth="1" style="54" min="16" max="16"/>
    <col width="14.109375" bestFit="1" customWidth="1" style="54" min="17" max="17"/>
    <col width="12.109375" bestFit="1" customWidth="1" style="54" min="18" max="18"/>
    <col width="15.77734375" bestFit="1" customWidth="1" style="54" min="19" max="19"/>
    <col width="22.6640625" customWidth="1" style="54" min="20" max="20"/>
    <col width="16" bestFit="1" customWidth="1" style="54" min="21" max="21"/>
    <col width="17" customWidth="1" style="54" min="22" max="25"/>
    <col width="12" customWidth="1" style="54" min="26" max="27"/>
    <col width="10" customWidth="1" style="54" min="28" max="28"/>
    <col width="9.109375" customWidth="1" style="54" min="29" max="34"/>
    <col width="9.109375" customWidth="1" style="54" min="35" max="16384"/>
  </cols>
  <sheetData>
    <row r="1">
      <c r="A1" s="63" t="inlineStr">
        <is>
          <t>🏈 WEEK 3 — ACQL</t>
        </is>
      </c>
    </row>
    <row r="2"/>
    <row r="4">
      <c r="A4" s="5" t="inlineStr">
        <is>
          <t>Home Team</t>
        </is>
      </c>
      <c r="B4" s="5" t="n"/>
      <c r="C4" s="5" t="n"/>
      <c r="D4" s="5" t="n"/>
      <c r="E4" s="5" t="n"/>
      <c r="F4" s="5" t="inlineStr">
        <is>
          <t>Green Bay</t>
        </is>
      </c>
      <c r="G4" s="5" t="inlineStr">
        <is>
          <t>Buffalo</t>
        </is>
      </c>
      <c r="H4" s="5" t="inlineStr">
        <is>
          <t>Cleveland</t>
        </is>
      </c>
      <c r="I4" s="5" t="inlineStr">
        <is>
          <t>Detroit</t>
        </is>
      </c>
      <c r="J4" s="5" t="inlineStr">
        <is>
          <t>Indianapolis</t>
        </is>
      </c>
      <c r="K4" s="5" t="inlineStr">
        <is>
          <t>Miami</t>
        </is>
      </c>
      <c r="L4" s="5" t="inlineStr">
        <is>
          <t>New York Giants</t>
        </is>
      </c>
      <c r="M4" s="5" t="inlineStr">
        <is>
          <t>Pittsburgh</t>
        </is>
      </c>
      <c r="N4" s="5" t="inlineStr">
        <is>
          <t>Washington</t>
        </is>
      </c>
      <c r="O4" s="5" t="inlineStr">
        <is>
          <t>Jacksonville</t>
        </is>
      </c>
      <c r="P4" s="5" t="inlineStr">
        <is>
          <t>San Francisco</t>
        </is>
      </c>
      <c r="Q4" s="5" t="inlineStr">
        <is>
          <t>Tampa Bay</t>
        </is>
      </c>
      <c r="R4" s="5" t="inlineStr">
        <is>
          <t>Dallas</t>
        </is>
      </c>
      <c r="S4" s="5" t="inlineStr">
        <is>
          <t>New Orleans</t>
        </is>
      </c>
      <c r="T4" s="5" t="inlineStr">
        <is>
          <t>Denver</t>
        </is>
      </c>
      <c r="U4" s="5" t="inlineStr">
        <is>
          <t>Chicago</t>
        </is>
      </c>
      <c r="V4" s="5" t="n"/>
      <c r="W4" s="5" t="n"/>
      <c r="X4" s="5" t="n"/>
      <c r="Y4" s="5" t="n"/>
    </row>
    <row r="5">
      <c r="A5" s="5" t="inlineStr">
        <is>
          <t>Away Team</t>
        </is>
      </c>
      <c r="B5" s="5" t="n"/>
      <c r="C5" s="5" t="n"/>
      <c r="D5" s="5" t="n"/>
      <c r="E5" s="5" t="n"/>
      <c r="F5" s="5" t="inlineStr">
        <is>
          <t>Atlanta</t>
        </is>
      </c>
      <c r="G5" s="5" t="inlineStr">
        <is>
          <t>Los Angeles Chargers</t>
        </is>
      </c>
      <c r="H5" s="5" t="inlineStr">
        <is>
          <t>Carolina</t>
        </is>
      </c>
      <c r="I5" s="5" t="inlineStr">
        <is>
          <t>New York Jets</t>
        </is>
      </c>
      <c r="J5" s="5" t="inlineStr">
        <is>
          <t>Houston</t>
        </is>
      </c>
      <c r="K5" s="5" t="inlineStr">
        <is>
          <t>Kansas City</t>
        </is>
      </c>
      <c r="L5" s="5" t="inlineStr">
        <is>
          <t>Tennessee</t>
        </is>
      </c>
      <c r="M5" s="5" t="inlineStr">
        <is>
          <t>Cincinnati</t>
        </is>
      </c>
      <c r="N5" s="5" t="inlineStr">
        <is>
          <t>Seattle</t>
        </is>
      </c>
      <c r="O5" s="5" t="inlineStr">
        <is>
          <t>New England</t>
        </is>
      </c>
      <c r="P5" s="5" t="inlineStr">
        <is>
          <t>Arizona</t>
        </is>
      </c>
      <c r="Q5" s="5" t="inlineStr">
        <is>
          <t>Minnesota</t>
        </is>
      </c>
      <c r="R5" s="5" t="inlineStr">
        <is>
          <t>Baltimore</t>
        </is>
      </c>
      <c r="S5" s="5" t="inlineStr">
        <is>
          <t>Las Vegas</t>
        </is>
      </c>
      <c r="T5" s="5" t="inlineStr">
        <is>
          <t>Los Angeles Rams</t>
        </is>
      </c>
      <c r="U5" s="5" t="inlineStr">
        <is>
          <t>Philadelphia</t>
        </is>
      </c>
      <c r="V5" s="5" t="n"/>
      <c r="W5" s="5" t="n"/>
      <c r="X5" s="5" t="n"/>
      <c r="Y5" s="5" t="n"/>
    </row>
    <row r="6">
      <c r="A6" s="6" t="inlineStr">
        <is>
          <t>Result / Winner →</t>
        </is>
      </c>
      <c r="B6" s="6" t="n"/>
      <c r="C6" s="6" t="n"/>
      <c r="D6" s="6" t="n"/>
      <c r="E6" s="6" t="n"/>
      <c r="F6" s="6" t="inlineStr">
        <is>
          <t>Atlanta</t>
        </is>
      </c>
      <c r="G6" s="6" t="inlineStr">
        <is>
          <t>Buffalo</t>
        </is>
      </c>
      <c r="H6" s="6" t="inlineStr">
        <is>
          <t>Cleveland</t>
        </is>
      </c>
      <c r="I6" s="6" t="inlineStr">
        <is>
          <t>Detroit</t>
        </is>
      </c>
      <c r="J6" s="6" t="inlineStr">
        <is>
          <t>Indianapolis</t>
        </is>
      </c>
      <c r="K6" s="6" t="inlineStr">
        <is>
          <t>Kansas City</t>
        </is>
      </c>
      <c r="L6" s="6" t="inlineStr">
        <is>
          <t>New York Giants</t>
        </is>
      </c>
      <c r="M6" s="6" t="inlineStr">
        <is>
          <t>Pittsburgh</t>
        </is>
      </c>
      <c r="N6" s="6" t="inlineStr">
        <is>
          <t>Washington</t>
        </is>
      </c>
      <c r="O6" s="6" t="inlineStr">
        <is>
          <t>Jacksonville</t>
        </is>
      </c>
      <c r="P6" s="6" t="inlineStr">
        <is>
          <t>Arizona</t>
        </is>
      </c>
      <c r="Q6" s="6" t="inlineStr">
        <is>
          <t>Minnesota</t>
        </is>
      </c>
      <c r="R6" s="6" t="inlineStr">
        <is>
          <t>Baltimore</t>
        </is>
      </c>
      <c r="S6" s="6" t="inlineStr">
        <is>
          <t>Las Vegas</t>
        </is>
      </c>
      <c r="T6" s="6" t="inlineStr">
        <is>
          <t>Denver</t>
        </is>
      </c>
      <c r="U6" s="6" t="inlineStr">
        <is>
          <t>Chicago</t>
        </is>
      </c>
      <c r="V6" s="6" t="n"/>
      <c r="W6" s="6" t="n"/>
      <c r="X6" s="6" t="n"/>
      <c r="Y6" s="6" t="n"/>
    </row>
    <row r="7">
      <c r="A7" s="8" t="inlineStr">
        <is>
          <t>Picked Home %</t>
        </is>
      </c>
      <c r="B7" s="8" t="n"/>
      <c r="C7" s="8" t="n"/>
      <c r="D7" s="8" t="n"/>
      <c r="E7" s="8" t="n"/>
      <c r="F7" s="8">
        <f>COUNTIF(F10:F44, F$4)/COUNTA(F10:F44)</f>
        <v/>
      </c>
      <c r="G7" s="8">
        <f>COUNTIF(G10:G44, G$4)/COUNTA(G10:G44)</f>
        <v/>
      </c>
      <c r="H7" s="8">
        <f>COUNTIF(H10:H44, H$4)/COUNTA(H10:H44)</f>
        <v/>
      </c>
      <c r="I7" s="8">
        <f>COUNTIF(I10:I44, I$4)/COUNTA(I10:I44)</f>
        <v/>
      </c>
      <c r="J7" s="8">
        <f>COUNTIF(J10:J44, J$4)/COUNTA(J10:J44)</f>
        <v/>
      </c>
      <c r="K7" s="8">
        <f>COUNTIF(K10:K44, K$4)/COUNTA(K10:K44)</f>
        <v/>
      </c>
      <c r="L7" s="8">
        <f>COUNTIF(L10:L44, L$4)/COUNTA(L10:L44)</f>
        <v/>
      </c>
      <c r="M7" s="8">
        <f>COUNTIF(M10:M44, M$4)/COUNTA(M10:M44)</f>
        <v/>
      </c>
      <c r="N7" s="8">
        <f>COUNTIF(N10:N44, N$4)/COUNTA(N10:N44)</f>
        <v/>
      </c>
      <c r="O7" s="8">
        <f>COUNTIF(O10:O44, O$4)/COUNTA(O10:O44)</f>
        <v/>
      </c>
      <c r="P7" s="8">
        <f>COUNTIF(P10:P44, P$4)/COUNTA(P10:P44)</f>
        <v/>
      </c>
      <c r="Q7" s="8">
        <f>COUNTIF(Q10:Q44, Q$4)/COUNTA(Q10:Q44)</f>
        <v/>
      </c>
      <c r="R7" s="8">
        <f>COUNTIF(R10:R44, R$4)/COUNTA(R10:R44)</f>
        <v/>
      </c>
      <c r="S7" s="8">
        <f>COUNTIF(S10:S44, S$4)/COUNTA(S10:S44)</f>
        <v/>
      </c>
      <c r="T7" s="8">
        <f>COUNTIF(T10:T44, T$4)/COUNTA(T10:T44)</f>
        <v/>
      </c>
      <c r="U7" s="8">
        <f>COUNTIF(U10:U44, U$4)/COUNTA(U10:U44)</f>
        <v/>
      </c>
      <c r="V7" s="7" t="n"/>
      <c r="W7" s="7" t="n"/>
      <c r="X7" s="7" t="n"/>
      <c r="Y7" s="7" t="n"/>
    </row>
    <row r="8">
      <c r="F8" t="inlineStr">
        <is>
          <t>(GB by 7)</t>
        </is>
      </c>
      <c r="G8" t="inlineStr">
        <is>
          <t>(Buf by 8)</t>
        </is>
      </c>
      <c r="I8" t="inlineStr">
        <is>
          <t>(Det by 7)</t>
        </is>
      </c>
      <c r="K8" t="inlineStr">
        <is>
          <t>(KC by 12)</t>
        </is>
      </c>
      <c r="N8" t="inlineStr">
        <is>
          <t>(Sea by 8)</t>
        </is>
      </c>
      <c r="P8" t="inlineStr">
        <is>
          <t>(SF by 9)</t>
        </is>
      </c>
    </row>
    <row r="9" ht="28.8" customHeight="1" s="54">
      <c r="A9" s="9" t="inlineStr">
        <is>
          <t>Entry Fee</t>
        </is>
      </c>
      <c r="B9" s="9" t="inlineStr">
        <is>
          <t>Wins</t>
        </is>
      </c>
      <c r="C9" s="9" t="inlineStr">
        <is>
          <t>Wins</t>
        </is>
      </c>
      <c r="D9" s="9" t="inlineStr">
        <is>
          <t>Rank</t>
        </is>
      </c>
      <c r="E9" s="9" t="inlineStr">
        <is>
          <t>Player</t>
        </is>
      </c>
      <c r="F9" s="9" t="inlineStr">
        <is>
          <t>G1</t>
        </is>
      </c>
      <c r="G9" s="9" t="inlineStr">
        <is>
          <t>G2</t>
        </is>
      </c>
      <c r="H9" s="9" t="inlineStr">
        <is>
          <t>G3</t>
        </is>
      </c>
      <c r="I9" s="9" t="inlineStr">
        <is>
          <t>G4</t>
        </is>
      </c>
      <c r="J9" s="9" t="inlineStr">
        <is>
          <t>G5</t>
        </is>
      </c>
      <c r="K9" s="9" t="inlineStr">
        <is>
          <t>G6</t>
        </is>
      </c>
      <c r="L9" s="9" t="inlineStr">
        <is>
          <t>G7</t>
        </is>
      </c>
      <c r="M9" s="9" t="inlineStr">
        <is>
          <t>G8</t>
        </is>
      </c>
      <c r="N9" s="9" t="inlineStr">
        <is>
          <t>G9</t>
        </is>
      </c>
      <c r="O9" s="9" t="inlineStr">
        <is>
          <t>G10</t>
        </is>
      </c>
      <c r="P9" s="9" t="inlineStr">
        <is>
          <t>G11</t>
        </is>
      </c>
      <c r="Q9" s="9" t="inlineStr">
        <is>
          <t>G12</t>
        </is>
      </c>
      <c r="R9" s="9" t="inlineStr">
        <is>
          <t>G13</t>
        </is>
      </c>
      <c r="S9" s="9" t="inlineStr">
        <is>
          <t>G14</t>
        </is>
      </c>
      <c r="T9" s="9" t="inlineStr">
        <is>
          <t>G15</t>
        </is>
      </c>
      <c r="U9" s="9" t="inlineStr">
        <is>
          <t>G16</t>
        </is>
      </c>
      <c r="V9" s="9" t="inlineStr">
        <is>
          <t>Loser 1</t>
        </is>
      </c>
      <c r="W9" s="9" t="inlineStr">
        <is>
          <t>Loser 2</t>
        </is>
      </c>
      <c r="X9" s="9" t="inlineStr">
        <is>
          <t>Loser 3</t>
        </is>
      </c>
      <c r="Y9" s="9" t="inlineStr">
        <is>
          <t>Suicide</t>
        </is>
      </c>
      <c r="Z9" s="9" t="inlineStr">
        <is>
          <t>Home Team %</t>
        </is>
      </c>
      <c r="AA9" s="9" t="inlineStr">
        <is>
          <t>$ Owed</t>
        </is>
      </c>
      <c r="AB9" s="9" t="inlineStr">
        <is>
          <t>Games Behind</t>
        </is>
      </c>
      <c r="AC9" s="9" t="inlineStr">
        <is>
          <t>Win %</t>
        </is>
      </c>
    </row>
    <row r="10">
      <c r="A10" s="2">
        <f>_xlfn.IFNA(IF(AD10=0,$AD$46,""),"")</f>
        <v/>
      </c>
      <c r="B10">
        <f>SUM(V10:X10)+C10</f>
        <v/>
      </c>
      <c r="C10">
        <f>COUNTA(F10:U10)</f>
        <v/>
      </c>
      <c r="D10">
        <f>_xlfn.RANK.EQ(B10,$B$10:$B$44,0)</f>
        <v/>
      </c>
      <c r="E10" s="40" t="inlineStr">
        <is>
          <t>Line-Pony</t>
        </is>
      </c>
      <c r="F10" s="35" t="inlineStr">
        <is>
          <t>atlanta</t>
        </is>
      </c>
      <c r="G10" s="35" t="n"/>
      <c r="H10" s="35" t="n"/>
      <c r="I10" s="35" t="n"/>
      <c r="J10" s="35" t="n"/>
      <c r="K10" s="35" t="n"/>
      <c r="L10" s="35" t="inlineStr">
        <is>
          <t xml:space="preserve"> NEW YORK GIANTS</t>
        </is>
      </c>
      <c r="M10" s="35" t="n"/>
      <c r="N10" s="35" t="inlineStr">
        <is>
          <t xml:space="preserve"> WASHINGTON</t>
        </is>
      </c>
      <c r="O10" s="35" t="inlineStr">
        <is>
          <t xml:space="preserve"> JACKSONVILLE</t>
        </is>
      </c>
      <c r="P10" s="35" t="inlineStr">
        <is>
          <t>Arizona</t>
        </is>
      </c>
      <c r="Q10" s="35" t="inlineStr">
        <is>
          <t xml:space="preserve"> minnesota</t>
        </is>
      </c>
      <c r="R10" s="35" t="inlineStr">
        <is>
          <t xml:space="preserve"> baltimore</t>
        </is>
      </c>
      <c r="S10" s="36" t="n"/>
      <c r="T10" s="37" t="n"/>
      <c r="U10" s="35" t="n"/>
      <c r="V10" s="37" t="inlineStr">
        <is>
          <t xml:space="preserve"> Atlanta</t>
        </is>
      </c>
      <c r="W10" s="35" t="inlineStr">
        <is>
          <t xml:space="preserve"> Chicago</t>
        </is>
      </c>
      <c r="X10" s="37" t="inlineStr">
        <is>
          <t xml:space="preserve"> Miami</t>
        </is>
      </c>
      <c r="Y10" s="35" t="inlineStr">
        <is>
          <t xml:space="preserve"> Cincinnati</t>
        </is>
      </c>
      <c r="Z10" s="37" t="n">
        <v>0.3125</v>
      </c>
      <c r="AA10" s="40" t="inlineStr">
        <is>
          <t>Line-Pony</t>
        </is>
      </c>
      <c r="AB10" s="1">
        <f>IFERROR(B10/16,0)</f>
        <v/>
      </c>
      <c r="AD10" s="76">
        <f>MAX($B$7:$B$141)-B10</f>
        <v/>
      </c>
    </row>
    <row r="11">
      <c r="A11" s="2">
        <f>_xlfn.IFNA(IF(AD11=0,$AD$46,""),"")</f>
        <v/>
      </c>
      <c r="B11">
        <f>SUM(V11:X11)+C11</f>
        <v/>
      </c>
      <c r="C11">
        <f>COUNTA(F11:U11)</f>
        <v/>
      </c>
      <c r="D11">
        <f>_xlfn.RANK.EQ(B11,$B$10:$B$44,0)</f>
        <v/>
      </c>
      <c r="E11" s="40" t="inlineStr">
        <is>
          <t xml:space="preserve">SaleeNmd </t>
        </is>
      </c>
      <c r="F11" s="61" t="inlineStr">
        <is>
          <t>atlanta</t>
        </is>
      </c>
      <c r="G11" s="61" t="n"/>
      <c r="H11" s="61" t="n"/>
      <c r="I11" s="61" t="n"/>
      <c r="J11" s="61" t="n"/>
      <c r="K11" s="61" t="inlineStr">
        <is>
          <t xml:space="preserve"> kansas city </t>
        </is>
      </c>
      <c r="L11" s="61" t="inlineStr">
        <is>
          <t xml:space="preserve"> NEW YORK GIANTS</t>
        </is>
      </c>
      <c r="M11" s="61" t="n"/>
      <c r="N11" s="61" t="n"/>
      <c r="O11" s="61" t="inlineStr">
        <is>
          <t xml:space="preserve"> JACKSONVILLE</t>
        </is>
      </c>
      <c r="P11" s="61" t="n"/>
      <c r="Q11" s="61" t="inlineStr">
        <is>
          <t xml:space="preserve"> minnesota</t>
        </is>
      </c>
      <c r="R11" s="61" t="inlineStr">
        <is>
          <t xml:space="preserve"> baltimore</t>
        </is>
      </c>
      <c r="S11" s="36" t="n"/>
      <c r="T11" s="37" t="n"/>
      <c r="U11" s="35" t="n"/>
      <c r="V11" s="37" t="inlineStr">
        <is>
          <t xml:space="preserve"> Miami</t>
        </is>
      </c>
      <c r="W11" s="35" t="inlineStr">
        <is>
          <t xml:space="preserve"> Washington</t>
        </is>
      </c>
      <c r="X11" s="37" t="inlineStr">
        <is>
          <t xml:space="preserve"> Arizona</t>
        </is>
      </c>
      <c r="Y11" s="35" t="inlineStr">
        <is>
          <t xml:space="preserve"> Kansas City</t>
        </is>
      </c>
      <c r="Z11" s="37" t="n">
        <v>0.25</v>
      </c>
      <c r="AA11" s="40" t="inlineStr">
        <is>
          <t xml:space="preserve">SaleeNmd </t>
        </is>
      </c>
      <c r="AB11" s="1">
        <f>IFERROR(B11/16,0)</f>
        <v/>
      </c>
      <c r="AD11" s="76">
        <f>MAX($B$7:$B$141)-B11</f>
        <v/>
      </c>
    </row>
    <row r="12">
      <c r="A12" s="2">
        <f>_xlfn.IFNA(IF(AD12=0,$AD$46,""),"")</f>
        <v/>
      </c>
      <c r="B12">
        <f>SUM(V12:X12)+C12</f>
        <v/>
      </c>
      <c r="C12">
        <f>COUNTA(F12:U12)</f>
        <v/>
      </c>
      <c r="D12">
        <f>_xlfn.RANK.EQ(B12,$B$10:$B$44,0)</f>
        <v/>
      </c>
      <c r="E12" s="40" t="inlineStr">
        <is>
          <t>Phelpy</t>
        </is>
      </c>
      <c r="F12" s="61" t="n"/>
      <c r="G12" s="61" t="n"/>
      <c r="H12" s="61" t="n"/>
      <c r="I12" s="61" t="inlineStr">
        <is>
          <t xml:space="preserve"> DETROIT </t>
        </is>
      </c>
      <c r="J12" s="61" t="n"/>
      <c r="K12" s="61" t="inlineStr">
        <is>
          <t xml:space="preserve"> kansas city </t>
        </is>
      </c>
      <c r="L12" s="61" t="n"/>
      <c r="M12" s="61" t="n"/>
      <c r="N12" s="61" t="n"/>
      <c r="O12" s="61" t="inlineStr">
        <is>
          <t xml:space="preserve"> JACKSONVILLE</t>
        </is>
      </c>
      <c r="P12" s="61" t="n"/>
      <c r="Q12" s="61" t="inlineStr">
        <is>
          <t xml:space="preserve"> minnesota</t>
        </is>
      </c>
      <c r="R12" s="61" t="inlineStr">
        <is>
          <t xml:space="preserve"> baltimore</t>
        </is>
      </c>
      <c r="S12" s="36" t="n"/>
      <c r="T12" s="37" t="n"/>
      <c r="U12" s="35" t="inlineStr">
        <is>
          <t xml:space="preserve"> philadelphia</t>
        </is>
      </c>
      <c r="V12" s="37" t="inlineStr">
        <is>
          <t xml:space="preserve"> Arizona</t>
        </is>
      </c>
      <c r="W12" s="35" t="inlineStr">
        <is>
          <t xml:space="preserve"> Washington</t>
        </is>
      </c>
      <c r="X12" s="37" t="inlineStr">
        <is>
          <t xml:space="preserve"> Miami</t>
        </is>
      </c>
      <c r="Y12" s="35" t="inlineStr">
        <is>
          <t xml:space="preserve"> DEAD</t>
        </is>
      </c>
      <c r="Z12" s="37" t="n">
        <v>0.375</v>
      </c>
      <c r="AA12" s="40" t="inlineStr">
        <is>
          <t>Phelpy</t>
        </is>
      </c>
      <c r="AB12" s="1">
        <f>IFERROR(B12/16,0)</f>
        <v/>
      </c>
      <c r="AD12" s="76">
        <f>MAX($B$7:$B$141)-B12</f>
        <v/>
      </c>
    </row>
    <row r="13">
      <c r="A13" s="2">
        <f>_xlfn.IFNA(IF(AD13=0,$AD$46,""),"")</f>
        <v/>
      </c>
      <c r="B13">
        <f>SUM(V13:X13)+C13</f>
        <v/>
      </c>
      <c r="C13">
        <f>COUNTA(F13:U13)</f>
        <v/>
      </c>
      <c r="D13">
        <f>_xlfn.RANK.EQ(B13,$B$10:$B$44,0)</f>
        <v/>
      </c>
      <c r="E13" s="40" t="inlineStr">
        <is>
          <t>DPSOG</t>
        </is>
      </c>
      <c r="F13" s="28" t="inlineStr">
        <is>
          <t>atlanta</t>
        </is>
      </c>
      <c r="G13" s="28" t="n"/>
      <c r="H13" s="28" t="n"/>
      <c r="I13" s="28" t="inlineStr">
        <is>
          <t xml:space="preserve"> DETROIT </t>
        </is>
      </c>
      <c r="J13" s="28" t="n"/>
      <c r="K13" s="28" t="n"/>
      <c r="L13" s="28" t="n"/>
      <c r="M13" s="28" t="n"/>
      <c r="N13" s="28" t="n"/>
      <c r="O13" s="28" t="inlineStr">
        <is>
          <t xml:space="preserve"> JACKSONVILLE</t>
        </is>
      </c>
      <c r="P13" s="28" t="inlineStr">
        <is>
          <t>Arizona</t>
        </is>
      </c>
      <c r="Q13" s="28" t="n"/>
      <c r="R13" s="28" t="inlineStr">
        <is>
          <t xml:space="preserve"> baltimore</t>
        </is>
      </c>
      <c r="S13" s="36" t="n"/>
      <c r="T13" s="37" t="n"/>
      <c r="U13" s="35" t="n"/>
      <c r="V13" s="37" t="inlineStr">
        <is>
          <t xml:space="preserve"> Washington</t>
        </is>
      </c>
      <c r="W13" s="35" t="inlineStr">
        <is>
          <t xml:space="preserve"> New York Jets</t>
        </is>
      </c>
      <c r="X13" s="37" t="inlineStr">
        <is>
          <t xml:space="preserve"> Miami</t>
        </is>
      </c>
      <c r="Y13" s="35" t="inlineStr">
        <is>
          <t xml:space="preserve"> DEAD</t>
        </is>
      </c>
      <c r="Z13" s="37" t="n">
        <v>0.3125</v>
      </c>
      <c r="AA13" s="40" t="inlineStr">
        <is>
          <t>DPSOG</t>
        </is>
      </c>
      <c r="AB13" s="1">
        <f>IFERROR(B13/16,0)</f>
        <v/>
      </c>
      <c r="AD13" s="76">
        <f>MAX($B$7:$B$141)-B13</f>
        <v/>
      </c>
    </row>
    <row r="14">
      <c r="A14" s="2">
        <f>_xlfn.IFNA(IF(AD14=0,$AD$46,""),"")</f>
        <v/>
      </c>
      <c r="B14">
        <f>SUM(V14:X14)+C14</f>
        <v/>
      </c>
      <c r="C14">
        <f>COUNTA(F14:U14)</f>
        <v/>
      </c>
      <c r="D14">
        <f>_xlfn.RANK.EQ(B14,$B$10:$B$44,0)</f>
        <v/>
      </c>
      <c r="E14" s="40" t="inlineStr">
        <is>
          <t>FMF Doc</t>
        </is>
      </c>
      <c r="F14" s="28" t="n"/>
      <c r="G14" s="28" t="n"/>
      <c r="H14" s="28" t="n"/>
      <c r="I14" s="28" t="inlineStr">
        <is>
          <t xml:space="preserve"> DETROIT </t>
        </is>
      </c>
      <c r="J14" s="28" t="inlineStr">
        <is>
          <t xml:space="preserve"> INDIANAPOLIS</t>
        </is>
      </c>
      <c r="K14" s="28" t="inlineStr">
        <is>
          <t xml:space="preserve"> kansas city </t>
        </is>
      </c>
      <c r="L14" s="28" t="n"/>
      <c r="M14" s="28" t="n"/>
      <c r="N14" s="28" t="n"/>
      <c r="O14" s="28" t="inlineStr">
        <is>
          <t xml:space="preserve"> JACKSONVILLE</t>
        </is>
      </c>
      <c r="P14" s="28" t="n"/>
      <c r="Q14" s="28" t="inlineStr">
        <is>
          <t xml:space="preserve"> minnesota</t>
        </is>
      </c>
      <c r="R14" s="28" t="inlineStr">
        <is>
          <t xml:space="preserve"> baltimore</t>
        </is>
      </c>
      <c r="S14" s="36" t="inlineStr">
        <is>
          <t xml:space="preserve"> las vegas</t>
        </is>
      </c>
      <c r="T14" s="37" t="n"/>
      <c r="U14" s="35" t="inlineStr">
        <is>
          <t xml:space="preserve"> philadelphia</t>
        </is>
      </c>
      <c r="V14" s="37" t="inlineStr">
        <is>
          <t xml:space="preserve"> Arizona</t>
        </is>
      </c>
      <c r="W14" s="35" t="inlineStr">
        <is>
          <t xml:space="preserve"> Los Angeles Chargers</t>
        </is>
      </c>
      <c r="X14" s="37" t="inlineStr">
        <is>
          <t xml:space="preserve"> Miami</t>
        </is>
      </c>
      <c r="Y14" s="35" t="inlineStr">
        <is>
          <t xml:space="preserve"> Philadelphia</t>
        </is>
      </c>
      <c r="Z14" s="37" t="n">
        <v>0.375</v>
      </c>
      <c r="AA14" s="40" t="inlineStr">
        <is>
          <t>FMF Doc</t>
        </is>
      </c>
      <c r="AB14" s="1">
        <f>IFERROR(B14/16,0)</f>
        <v/>
      </c>
      <c r="AD14" s="76">
        <f>MAX($B$7:$B$141)-B14</f>
        <v/>
      </c>
    </row>
    <row r="15">
      <c r="A15" s="2">
        <f>_xlfn.IFNA(IF(AD15=0,$AD$46,""),"")</f>
        <v/>
      </c>
      <c r="B15" t="n">
        <v>3</v>
      </c>
      <c r="C15">
        <f>COUNTA(F15:U15)</f>
        <v/>
      </c>
      <c r="D15">
        <f>_xlfn.RANK.EQ(B15,$B$10:$B$44,0)</f>
        <v/>
      </c>
      <c r="E15" s="40" t="inlineStr">
        <is>
          <t>Regltr5</t>
        </is>
      </c>
      <c r="F15" s="61" t="n"/>
      <c r="G15" s="61" t="n"/>
      <c r="H15" s="61" t="n"/>
      <c r="I15" s="61" t="n"/>
      <c r="J15" s="61" t="n"/>
      <c r="K15" s="61" t="n"/>
      <c r="L15" s="61" t="n"/>
      <c r="M15" s="61" t="n"/>
      <c r="N15" s="61" t="n"/>
      <c r="O15" s="61" t="n"/>
      <c r="P15" s="61" t="n"/>
      <c r="Q15" s="61" t="n"/>
      <c r="R15" s="61" t="n"/>
      <c r="S15" s="36" t="n"/>
      <c r="T15" s="37" t="n"/>
      <c r="U15" s="35" t="n"/>
      <c r="V15" s="37" t="n"/>
      <c r="W15" s="35" t="n"/>
      <c r="X15" s="37" t="n"/>
      <c r="Y15" s="35" t="n"/>
      <c r="Z15" s="37" t="n">
        <v>0</v>
      </c>
      <c r="AA15" s="40" t="inlineStr">
        <is>
          <t>Regltr5</t>
        </is>
      </c>
      <c r="AB15" s="1">
        <f>IFERROR(B15/16,0)</f>
        <v/>
      </c>
      <c r="AD15" s="76">
        <f>MAX($B$7:$B$141)-B15</f>
        <v/>
      </c>
    </row>
    <row r="16">
      <c r="A16" s="2">
        <f>_xlfn.IFNA(IF(AD16=0,$AD$46,""),"")</f>
        <v/>
      </c>
      <c r="B16">
        <f>SUM(V16:X16)+C16</f>
        <v/>
      </c>
      <c r="C16">
        <f>COUNTA(F16:U16)</f>
        <v/>
      </c>
      <c r="D16">
        <f>_xlfn.RANK.EQ(B16,$B$10:$B$44,0)</f>
        <v/>
      </c>
      <c r="E16" s="40" t="inlineStr">
        <is>
          <t>Phelps Phamily</t>
        </is>
      </c>
      <c r="F16" s="61" t="n"/>
      <c r="G16" s="61" t="n"/>
      <c r="H16" s="61" t="n"/>
      <c r="I16" s="61" t="inlineStr">
        <is>
          <t xml:space="preserve"> DETROIT </t>
        </is>
      </c>
      <c r="J16" s="61" t="n"/>
      <c r="K16" s="61" t="inlineStr">
        <is>
          <t xml:space="preserve"> kansas city </t>
        </is>
      </c>
      <c r="L16" s="61" t="n"/>
      <c r="M16" s="61" t="n"/>
      <c r="N16" s="61" t="n"/>
      <c r="O16" s="61" t="inlineStr">
        <is>
          <t xml:space="preserve"> JACKSONVILLE</t>
        </is>
      </c>
      <c r="P16" s="35" t="inlineStr">
        <is>
          <t>Arizona</t>
        </is>
      </c>
      <c r="Q16" s="61" t="inlineStr">
        <is>
          <t xml:space="preserve"> minnesota</t>
        </is>
      </c>
      <c r="R16" s="61" t="inlineStr">
        <is>
          <t xml:space="preserve"> baltimore</t>
        </is>
      </c>
      <c r="S16" s="36" t="n"/>
      <c r="T16" s="37" t="inlineStr">
        <is>
          <t xml:space="preserve"> DENVER</t>
        </is>
      </c>
      <c r="U16" s="35" t="inlineStr">
        <is>
          <t xml:space="preserve"> philadelphia</t>
        </is>
      </c>
      <c r="V16" s="37" t="inlineStr">
        <is>
          <t xml:space="preserve"> Atlanta</t>
        </is>
      </c>
      <c r="W16" s="35" t="inlineStr">
        <is>
          <t xml:space="preserve"> Miami</t>
        </is>
      </c>
      <c r="X16" s="37" t="inlineStr">
        <is>
          <t xml:space="preserve"> Arizona</t>
        </is>
      </c>
      <c r="Y16" s="35" t="inlineStr">
        <is>
          <t xml:space="preserve"> Philadelphia</t>
        </is>
      </c>
      <c r="Z16" s="37" t="n">
        <v>0.375</v>
      </c>
      <c r="AA16" s="40" t="inlineStr">
        <is>
          <t>Phelps Phamily</t>
        </is>
      </c>
      <c r="AB16" s="1">
        <f>IFERROR(B16/16,0)</f>
        <v/>
      </c>
      <c r="AD16" s="76">
        <f>MAX($B$7:$B$141)-B16</f>
        <v/>
      </c>
    </row>
    <row r="17">
      <c r="A17" s="2">
        <f>_xlfn.IFNA(IF(AD17=0,$AD$46,""),"")</f>
        <v/>
      </c>
      <c r="B17">
        <f>SUM(V17:X17)+C17</f>
        <v/>
      </c>
      <c r="C17">
        <f>COUNTA(F17:U17)</f>
        <v/>
      </c>
      <c r="D17">
        <f>_xlfn.RANK.EQ(B17,$B$10:$B$44,0)</f>
        <v/>
      </c>
      <c r="E17" s="40" t="inlineStr">
        <is>
          <t>MiMi</t>
        </is>
      </c>
      <c r="F17" s="61" t="inlineStr">
        <is>
          <t>atlanta</t>
        </is>
      </c>
      <c r="G17" s="61" t="n"/>
      <c r="H17" s="61" t="n"/>
      <c r="I17" s="61" t="inlineStr">
        <is>
          <t xml:space="preserve"> DETROIT </t>
        </is>
      </c>
      <c r="J17" s="61" t="n"/>
      <c r="K17" s="61" t="n"/>
      <c r="L17" s="61" t="inlineStr">
        <is>
          <t xml:space="preserve"> NEW YORK GIANTS</t>
        </is>
      </c>
      <c r="M17" s="61" t="inlineStr">
        <is>
          <t xml:space="preserve"> PITTSBURGH</t>
        </is>
      </c>
      <c r="N17" s="61" t="inlineStr">
        <is>
          <t xml:space="preserve"> WASHINGTON</t>
        </is>
      </c>
      <c r="O17" s="61" t="n"/>
      <c r="P17" s="35" t="inlineStr">
        <is>
          <t>Arizona</t>
        </is>
      </c>
      <c r="Q17" s="61" t="n"/>
      <c r="R17" s="61" t="inlineStr">
        <is>
          <t xml:space="preserve"> baltimore</t>
        </is>
      </c>
      <c r="S17" s="36" t="n"/>
      <c r="T17" s="37" t="inlineStr">
        <is>
          <t xml:space="preserve"> DENVER</t>
        </is>
      </c>
      <c r="U17" s="35" t="inlineStr">
        <is>
          <t xml:space="preserve"> philadelphia</t>
        </is>
      </c>
      <c r="V17" s="37" t="inlineStr">
        <is>
          <t xml:space="preserve"> Minnesota</t>
        </is>
      </c>
      <c r="W17" s="35" t="inlineStr">
        <is>
          <t xml:space="preserve"> New York Jets</t>
        </is>
      </c>
      <c r="X17" s="37" t="inlineStr">
        <is>
          <t xml:space="preserve"> Los Angeles Chargers</t>
        </is>
      </c>
      <c r="Y17" s="35" t="inlineStr">
        <is>
          <t xml:space="preserve"> Detroit</t>
        </is>
      </c>
      <c r="Z17" s="37" t="n">
        <v>0.5625</v>
      </c>
      <c r="AA17" s="40" t="inlineStr">
        <is>
          <t>MiMi</t>
        </is>
      </c>
      <c r="AB17" s="1">
        <f>IFERROR(B17/16,0)</f>
        <v/>
      </c>
      <c r="AD17" s="76">
        <f>MAX($B$7:$B$141)-B17</f>
        <v/>
      </c>
    </row>
    <row r="18">
      <c r="A18" s="2">
        <f>_xlfn.IFNA(IF(AD18=0,$AD$46,""),"")</f>
        <v/>
      </c>
      <c r="B18" t="n">
        <v>6</v>
      </c>
      <c r="C18">
        <f>COUNTA(F18:U18)</f>
        <v/>
      </c>
      <c r="D18">
        <f>_xlfn.RANK.EQ(B18,$B$10:$B$44,0)</f>
        <v/>
      </c>
      <c r="E18" s="40" t="inlineStr">
        <is>
          <t>Waffle Hauss</t>
        </is>
      </c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36" t="n"/>
      <c r="T18" s="37" t="n"/>
      <c r="U18" s="35" t="n"/>
      <c r="V18" s="37" t="n"/>
      <c r="W18" s="35" t="n"/>
      <c r="X18" s="37" t="n"/>
      <c r="Y18" s="35" t="n"/>
      <c r="Z18" s="37" t="n">
        <v>0.375</v>
      </c>
      <c r="AA18" s="40" t="inlineStr">
        <is>
          <t>Waffle Hauss</t>
        </is>
      </c>
      <c r="AB18" s="1">
        <f>IFERROR(B18/16,0)</f>
        <v/>
      </c>
      <c r="AD18" s="76">
        <f>MAX($B$7:$B$141)-B18</f>
        <v/>
      </c>
    </row>
    <row r="19">
      <c r="A19" s="2">
        <f>_xlfn.IFNA(IF(AD19=0,$AD$46,""),"")</f>
        <v/>
      </c>
      <c r="B19">
        <f>SUM(V19:X19)+C19</f>
        <v/>
      </c>
      <c r="C19">
        <f>COUNTA(F19:U19)</f>
        <v/>
      </c>
      <c r="D19">
        <f>_xlfn.RANK.EQ(B19,$B$10:$B$44,0)</f>
        <v/>
      </c>
      <c r="E19" s="40" t="inlineStr">
        <is>
          <t>Jim T</t>
        </is>
      </c>
      <c r="F19" s="61" t="n"/>
      <c r="G19" s="61" t="n"/>
      <c r="H19" s="61" t="n"/>
      <c r="I19" s="61" t="inlineStr">
        <is>
          <t xml:space="preserve"> DETROIT </t>
        </is>
      </c>
      <c r="J19" s="61" t="n"/>
      <c r="K19" s="61" t="n"/>
      <c r="L19" s="61" t="n"/>
      <c r="M19" s="61" t="inlineStr">
        <is>
          <t xml:space="preserve"> PITTSBURGH</t>
        </is>
      </c>
      <c r="N19" s="61" t="n"/>
      <c r="O19" s="61" t="inlineStr">
        <is>
          <t xml:space="preserve"> JACKSONVILLE</t>
        </is>
      </c>
      <c r="P19" s="61" t="n"/>
      <c r="Q19" s="61" t="n"/>
      <c r="R19" s="61" t="n"/>
      <c r="S19" s="36" t="n"/>
      <c r="T19" s="37" t="inlineStr">
        <is>
          <t xml:space="preserve"> DENVER</t>
        </is>
      </c>
      <c r="U19" s="35" t="inlineStr">
        <is>
          <t xml:space="preserve"> philadelphia</t>
        </is>
      </c>
      <c r="V19" s="37" t="inlineStr">
        <is>
          <t xml:space="preserve"> Arizona</t>
        </is>
      </c>
      <c r="W19" s="35" t="inlineStr">
        <is>
          <t xml:space="preserve"> Washington</t>
        </is>
      </c>
      <c r="X19" s="37" t="inlineStr">
        <is>
          <t xml:space="preserve"> New York Jets</t>
        </is>
      </c>
      <c r="Y19" s="35" t="inlineStr">
        <is>
          <t xml:space="preserve"> DEAD</t>
        </is>
      </c>
      <c r="Z19" s="37" t="n">
        <v>0.6875</v>
      </c>
      <c r="AA19" s="40" t="inlineStr">
        <is>
          <t>Jim T</t>
        </is>
      </c>
      <c r="AB19" s="1">
        <f>IFERROR(B19/16,0)</f>
        <v/>
      </c>
      <c r="AD19" s="76">
        <f>MAX($B$7:$B$141)-B19</f>
        <v/>
      </c>
    </row>
    <row r="20">
      <c r="A20" s="2">
        <f>_xlfn.IFNA(IF(AD20=0,$AD$46,""),"")</f>
        <v/>
      </c>
      <c r="B20">
        <f>SUM(V20:X20)+C20</f>
        <v/>
      </c>
      <c r="C20">
        <f>COUNTA(F20:U20)</f>
        <v/>
      </c>
      <c r="D20">
        <f>_xlfn.RANK.EQ(B20,$B$10:$B$44,0)</f>
        <v/>
      </c>
      <c r="E20" s="40" t="inlineStr">
        <is>
          <t>tb</t>
        </is>
      </c>
      <c r="F20" s="61" t="n"/>
      <c r="G20" s="61" t="n"/>
      <c r="H20" s="61" t="n"/>
      <c r="I20" s="61" t="n"/>
      <c r="J20" s="61" t="inlineStr">
        <is>
          <t xml:space="preserve"> INDIANAPOLIS</t>
        </is>
      </c>
      <c r="K20" s="61" t="inlineStr">
        <is>
          <t xml:space="preserve"> kansas city </t>
        </is>
      </c>
      <c r="L20" s="61" t="n"/>
      <c r="M20" s="61" t="n"/>
      <c r="N20" s="61" t="n"/>
      <c r="O20" s="61" t="inlineStr">
        <is>
          <t xml:space="preserve"> JACKSONVILLE</t>
        </is>
      </c>
      <c r="P20" s="61" t="n"/>
      <c r="Q20" s="61" t="inlineStr">
        <is>
          <t xml:space="preserve"> minnesota</t>
        </is>
      </c>
      <c r="R20" s="61" t="inlineStr">
        <is>
          <t xml:space="preserve"> baltimore</t>
        </is>
      </c>
      <c r="S20" s="36" t="n"/>
      <c r="T20" s="37" t="inlineStr">
        <is>
          <t xml:space="preserve"> DENVER</t>
        </is>
      </c>
      <c r="U20" s="35" t="inlineStr">
        <is>
          <t xml:space="preserve"> philadelphia</t>
        </is>
      </c>
      <c r="V20" s="37" t="inlineStr">
        <is>
          <t xml:space="preserve"> Atlanta</t>
        </is>
      </c>
      <c r="W20" s="35" t="inlineStr">
        <is>
          <t xml:space="preserve"> Miami</t>
        </is>
      </c>
      <c r="X20" s="37" t="inlineStr">
        <is>
          <t xml:space="preserve"> Arizona</t>
        </is>
      </c>
      <c r="Y20" s="35" t="inlineStr">
        <is>
          <t xml:space="preserve"> Green Bay</t>
        </is>
      </c>
      <c r="Z20" s="37" t="n">
        <v>0.4375</v>
      </c>
      <c r="AA20" s="40" t="inlineStr">
        <is>
          <t>tb</t>
        </is>
      </c>
      <c r="AB20" s="1">
        <f>IFERROR(B20/16,0)</f>
        <v/>
      </c>
      <c r="AD20" s="76">
        <f>MAX($B$7:$B$141)-B20</f>
        <v/>
      </c>
    </row>
    <row r="21">
      <c r="A21" s="2">
        <f>_xlfn.IFNA(IF(AD21=0,$AD$46,""),"")</f>
        <v/>
      </c>
      <c r="B21">
        <f>SUM(V21:X21)+C21</f>
        <v/>
      </c>
      <c r="C21">
        <f>COUNTA(F21:U21)</f>
        <v/>
      </c>
      <c r="D21">
        <f>_xlfn.RANK.EQ(B21,$B$10:$B$44,0)</f>
        <v/>
      </c>
      <c r="E21" s="40" t="inlineStr">
        <is>
          <t>Katie A</t>
        </is>
      </c>
      <c r="F21" s="61" t="n"/>
      <c r="G21" s="61" t="n"/>
      <c r="H21" s="61" t="n"/>
      <c r="I21" s="61" t="inlineStr">
        <is>
          <t xml:space="preserve"> DETROIT </t>
        </is>
      </c>
      <c r="J21" s="61" t="inlineStr">
        <is>
          <t xml:space="preserve"> INDIANAPOLIS</t>
        </is>
      </c>
      <c r="K21" s="61" t="inlineStr">
        <is>
          <t xml:space="preserve"> kansas city </t>
        </is>
      </c>
      <c r="L21" s="61" t="n"/>
      <c r="M21" s="61" t="n"/>
      <c r="N21" s="61" t="n"/>
      <c r="O21" s="61" t="inlineStr">
        <is>
          <t xml:space="preserve"> JACKSONVILLE</t>
        </is>
      </c>
      <c r="P21" s="61" t="n"/>
      <c r="Q21" s="61" t="inlineStr">
        <is>
          <t xml:space="preserve"> minnesota</t>
        </is>
      </c>
      <c r="R21" s="61" t="inlineStr">
        <is>
          <t xml:space="preserve"> baltimore</t>
        </is>
      </c>
      <c r="S21" s="36" t="n"/>
      <c r="T21" s="37" t="n"/>
      <c r="U21" s="35" t="inlineStr">
        <is>
          <t xml:space="preserve"> philadelphia</t>
        </is>
      </c>
      <c r="V21" s="37" t="inlineStr">
        <is>
          <t xml:space="preserve"> Miami</t>
        </is>
      </c>
      <c r="W21" s="35" t="inlineStr">
        <is>
          <t xml:space="preserve"> Arizona</t>
        </is>
      </c>
      <c r="X21" s="37" t="inlineStr">
        <is>
          <t xml:space="preserve"> Washington</t>
        </is>
      </c>
      <c r="Y21" s="35" t="inlineStr">
        <is>
          <t xml:space="preserve"> DEAD</t>
        </is>
      </c>
      <c r="Z21" s="37" t="n">
        <v>0.4375</v>
      </c>
      <c r="AA21" s="40" t="inlineStr">
        <is>
          <t>Katie A</t>
        </is>
      </c>
      <c r="AB21" s="1">
        <f>IFERROR(B21/16,0)</f>
        <v/>
      </c>
      <c r="AD21" s="76">
        <f>MAX($B$7:$B$141)-B21</f>
        <v/>
      </c>
    </row>
    <row r="22">
      <c r="A22" s="2">
        <f>_xlfn.IFNA(IF(AD22=0,$AD$46,""),"")</f>
        <v/>
      </c>
      <c r="B22">
        <f>SUM(V22:X22)+C22</f>
        <v/>
      </c>
      <c r="C22">
        <f>COUNTA(F22:U22)</f>
        <v/>
      </c>
      <c r="D22">
        <f>_xlfn.RANK.EQ(B22,$B$10:$B$44,0)</f>
        <v/>
      </c>
      <c r="E22" s="40" t="inlineStr">
        <is>
          <t>Stan</t>
        </is>
      </c>
      <c r="F22" s="61" t="inlineStr">
        <is>
          <t>atlanta</t>
        </is>
      </c>
      <c r="G22" s="61" t="n"/>
      <c r="H22" s="61" t="n"/>
      <c r="I22" s="61" t="n"/>
      <c r="J22" s="61" t="inlineStr">
        <is>
          <t xml:space="preserve"> INDIANAPOLIS</t>
        </is>
      </c>
      <c r="K22" s="61" t="inlineStr">
        <is>
          <t xml:space="preserve"> kansas city </t>
        </is>
      </c>
      <c r="L22" s="61" t="inlineStr">
        <is>
          <t xml:space="preserve"> NEW YORK GIANTS</t>
        </is>
      </c>
      <c r="M22" s="61" t="inlineStr">
        <is>
          <t xml:space="preserve"> PITTSBURGH</t>
        </is>
      </c>
      <c r="N22" s="61" t="inlineStr">
        <is>
          <t xml:space="preserve"> WASHINGTON</t>
        </is>
      </c>
      <c r="O22" s="61" t="n"/>
      <c r="P22" s="61" t="n"/>
      <c r="Q22" s="61" t="n"/>
      <c r="R22" s="61" t="n"/>
      <c r="S22" s="36" t="inlineStr">
        <is>
          <t xml:space="preserve"> las vegas</t>
        </is>
      </c>
      <c r="T22" s="37" t="n"/>
      <c r="U22" s="35" t="inlineStr">
        <is>
          <t xml:space="preserve"> philadelphia</t>
        </is>
      </c>
      <c r="V22" s="37" t="inlineStr">
        <is>
          <t xml:space="preserve"> Arizona</t>
        </is>
      </c>
      <c r="W22" s="35" t="inlineStr">
        <is>
          <t xml:space="preserve"> Miami</t>
        </is>
      </c>
      <c r="X22" s="37" t="inlineStr">
        <is>
          <t xml:space="preserve"> Los Angeles Chargers</t>
        </is>
      </c>
      <c r="Y22" s="35" t="inlineStr">
        <is>
          <t xml:space="preserve"> Philadelphia</t>
        </is>
      </c>
      <c r="Z22" s="37" t="n">
        <v>0.5</v>
      </c>
      <c r="AA22" s="40" t="inlineStr">
        <is>
          <t>Stan</t>
        </is>
      </c>
      <c r="AB22" s="1">
        <f>IFERROR(B22/16,0)</f>
        <v/>
      </c>
      <c r="AD22" s="76">
        <f>MAX($B$7:$B$141)-B22</f>
        <v/>
      </c>
    </row>
    <row r="23">
      <c r="A23" s="2">
        <f>_xlfn.IFNA(IF(AD23=0,$AD$46,""),"")</f>
        <v/>
      </c>
      <c r="B23">
        <f>SUM(V23:X23)+C23</f>
        <v/>
      </c>
      <c r="C23">
        <f>COUNTA(F23:U23)</f>
        <v/>
      </c>
      <c r="D23">
        <f>_xlfn.RANK.EQ(B23,$B$10:$B$44,0)</f>
        <v/>
      </c>
      <c r="E23" s="40" t="inlineStr">
        <is>
          <t>Frankethetank</t>
        </is>
      </c>
      <c r="F23" s="61" t="inlineStr">
        <is>
          <t>atlanta</t>
        </is>
      </c>
      <c r="G23" s="61" t="n"/>
      <c r="H23" s="61" t="n"/>
      <c r="I23" s="61" t="inlineStr">
        <is>
          <t xml:space="preserve"> DETROIT </t>
        </is>
      </c>
      <c r="J23" s="61" t="n"/>
      <c r="K23" s="61" t="inlineStr">
        <is>
          <t xml:space="preserve"> kansas city </t>
        </is>
      </c>
      <c r="L23" s="61" t="inlineStr">
        <is>
          <t xml:space="preserve"> NEW YORK GIANTS</t>
        </is>
      </c>
      <c r="M23" s="61" t="n"/>
      <c r="N23" s="61" t="n"/>
      <c r="O23" s="61" t="inlineStr">
        <is>
          <t xml:space="preserve"> JACKSONVILLE</t>
        </is>
      </c>
      <c r="P23" s="35" t="inlineStr">
        <is>
          <t>Arizona</t>
        </is>
      </c>
      <c r="Q23" s="61" t="inlineStr">
        <is>
          <t xml:space="preserve"> minnesota</t>
        </is>
      </c>
      <c r="R23" s="61" t="inlineStr">
        <is>
          <t xml:space="preserve"> baltimore</t>
        </is>
      </c>
      <c r="S23" s="36" t="n"/>
      <c r="T23" s="37" t="inlineStr">
        <is>
          <t xml:space="preserve"> DENVER</t>
        </is>
      </c>
      <c r="U23" s="35" t="n"/>
      <c r="V23" s="37" t="inlineStr">
        <is>
          <t xml:space="preserve"> Pittsburgh</t>
        </is>
      </c>
      <c r="W23" s="35" t="inlineStr">
        <is>
          <t xml:space="preserve"> Miami</t>
        </is>
      </c>
      <c r="X23" s="37" t="inlineStr">
        <is>
          <t xml:space="preserve"> Arizona</t>
        </is>
      </c>
      <c r="Y23" s="35" t="inlineStr">
        <is>
          <t xml:space="preserve"> Baltimore</t>
        </is>
      </c>
      <c r="Z23" s="37" t="n">
        <v>0.3125</v>
      </c>
      <c r="AA23" s="40" t="inlineStr">
        <is>
          <t>Frankethetank</t>
        </is>
      </c>
      <c r="AB23" s="1">
        <f>IFERROR(B23/16,0)</f>
        <v/>
      </c>
      <c r="AD23" s="76">
        <f>MAX($B$7:$B$141)-B23</f>
        <v/>
      </c>
    </row>
    <row r="24">
      <c r="A24" s="2">
        <f>_xlfn.IFNA(IF(AD24=0,$AD$46,""),"")</f>
        <v/>
      </c>
      <c r="B24">
        <f>SUM(V24:X24)+C24</f>
        <v/>
      </c>
      <c r="C24">
        <f>COUNTA(F24:U24)</f>
        <v/>
      </c>
      <c r="D24">
        <f>_xlfn.RANK.EQ(B24,$B$10:$B$44,0)</f>
        <v/>
      </c>
      <c r="E24" s="40" t="inlineStr">
        <is>
          <t>Navygolfer</t>
        </is>
      </c>
      <c r="F24" s="61" t="n"/>
      <c r="G24" s="61" t="n"/>
      <c r="H24" s="61" t="n"/>
      <c r="I24" s="61" t="inlineStr">
        <is>
          <t xml:space="preserve"> DETROIT </t>
        </is>
      </c>
      <c r="J24" s="61" t="n"/>
      <c r="K24" s="61" t="inlineStr">
        <is>
          <t xml:space="preserve"> kansas city </t>
        </is>
      </c>
      <c r="L24" s="61" t="inlineStr">
        <is>
          <t xml:space="preserve"> NEW YORK GIANTS</t>
        </is>
      </c>
      <c r="M24" s="61" t="n"/>
      <c r="N24" s="61" t="n"/>
      <c r="O24" s="61" t="inlineStr">
        <is>
          <t xml:space="preserve"> JACKSONVILLE</t>
        </is>
      </c>
      <c r="P24" s="61" t="n"/>
      <c r="Q24" s="61" t="inlineStr">
        <is>
          <t xml:space="preserve"> minnesota</t>
        </is>
      </c>
      <c r="R24" s="61" t="inlineStr">
        <is>
          <t xml:space="preserve"> baltimore</t>
        </is>
      </c>
      <c r="S24" s="36" t="n"/>
      <c r="T24" s="37" t="n"/>
      <c r="U24" s="35" t="inlineStr">
        <is>
          <t xml:space="preserve"> philadelphia</t>
        </is>
      </c>
      <c r="V24" s="37" t="inlineStr">
        <is>
          <t xml:space="preserve"> Miami</t>
        </is>
      </c>
      <c r="W24" s="35" t="inlineStr">
        <is>
          <t xml:space="preserve"> Los Angeles Chargers</t>
        </is>
      </c>
      <c r="X24" s="37" t="inlineStr">
        <is>
          <t xml:space="preserve"> Washington</t>
        </is>
      </c>
      <c r="Y24" s="35" t="inlineStr">
        <is>
          <t xml:space="preserve"> Philadelphia</t>
        </is>
      </c>
      <c r="Z24" s="37" t="n">
        <v>0.4375</v>
      </c>
      <c r="AA24" s="40" t="inlineStr">
        <is>
          <t>Navygolfer</t>
        </is>
      </c>
      <c r="AB24" s="1">
        <f>IFERROR(B24/16,0)</f>
        <v/>
      </c>
      <c r="AD24" s="76">
        <f>MAX($B$7:$B$141)-B24</f>
        <v/>
      </c>
    </row>
    <row r="25">
      <c r="A25" s="2">
        <f>_xlfn.IFNA(IF(AD25=0,$AD$46,""),"")</f>
        <v/>
      </c>
      <c r="B25">
        <f>SUM(V25:X25)+C25</f>
        <v/>
      </c>
      <c r="C25">
        <f>COUNTA(F25:U25)</f>
        <v/>
      </c>
      <c r="D25">
        <f>_xlfn.RANK.EQ(B25,$B$10:$B$44,0)</f>
        <v/>
      </c>
      <c r="E25" s="40" t="inlineStr">
        <is>
          <t>Bob h</t>
        </is>
      </c>
      <c r="F25" s="61" t="n"/>
      <c r="G25" s="61" t="n"/>
      <c r="H25" s="61" t="n"/>
      <c r="I25" s="61" t="inlineStr">
        <is>
          <t xml:space="preserve"> DETROIT </t>
        </is>
      </c>
      <c r="J25" s="61" t="n"/>
      <c r="K25" s="61" t="inlineStr">
        <is>
          <t xml:space="preserve"> kansas city </t>
        </is>
      </c>
      <c r="L25" s="61" t="n"/>
      <c r="M25" s="61" t="n"/>
      <c r="N25" s="61" t="n"/>
      <c r="O25" s="61" t="n"/>
      <c r="P25" s="61" t="n"/>
      <c r="Q25" s="61" t="inlineStr">
        <is>
          <t xml:space="preserve"> minnesota</t>
        </is>
      </c>
      <c r="R25" s="61" t="inlineStr">
        <is>
          <t xml:space="preserve"> baltimore</t>
        </is>
      </c>
      <c r="S25" s="36" t="n"/>
      <c r="T25" s="37" t="n"/>
      <c r="U25" s="35" t="inlineStr">
        <is>
          <t xml:space="preserve"> philadelphia</t>
        </is>
      </c>
      <c r="V25" s="37" t="inlineStr">
        <is>
          <t xml:space="preserve"> Arizona</t>
        </is>
      </c>
      <c r="W25" s="35" t="inlineStr">
        <is>
          <t xml:space="preserve"> Cleveland</t>
        </is>
      </c>
      <c r="X25" s="37" t="inlineStr">
        <is>
          <t xml:space="preserve"> Las Vegas</t>
        </is>
      </c>
      <c r="Y25" s="35" t="inlineStr">
        <is>
          <t xml:space="preserve"> Chicago</t>
        </is>
      </c>
      <c r="Z25" s="37" t="n">
        <v>0.3125</v>
      </c>
      <c r="AA25" s="40" t="inlineStr">
        <is>
          <t>Bob h</t>
        </is>
      </c>
      <c r="AB25" s="1">
        <f>IFERROR(B25/16,0)</f>
        <v/>
      </c>
      <c r="AD25" s="76">
        <f>MAX($B$7:$B$141)-B25</f>
        <v/>
      </c>
    </row>
    <row r="26">
      <c r="A26" s="2">
        <f>_xlfn.IFNA(IF(AD26=0,$AD$46,""),"")</f>
        <v/>
      </c>
      <c r="B26">
        <f>SUM(V26:X26)+C26</f>
        <v/>
      </c>
      <c r="C26">
        <f>COUNTA(F26:U26)</f>
        <v/>
      </c>
      <c r="D26">
        <f>_xlfn.RANK.EQ(B26,$B$10:$B$44,0)</f>
        <v/>
      </c>
      <c r="E26" s="40" t="inlineStr">
        <is>
          <t>Sista Sledge</t>
        </is>
      </c>
      <c r="F26" s="28" t="n"/>
      <c r="G26" s="28" t="n"/>
      <c r="H26" s="28" t="inlineStr">
        <is>
          <t xml:space="preserve"> CLEVELAND</t>
        </is>
      </c>
      <c r="I26" s="28" t="inlineStr">
        <is>
          <t xml:space="preserve"> DETROIT </t>
        </is>
      </c>
      <c r="J26" s="28" t="inlineStr">
        <is>
          <t xml:space="preserve"> INDIANAPOLIS</t>
        </is>
      </c>
      <c r="K26" s="28" t="inlineStr">
        <is>
          <t xml:space="preserve"> kansas city </t>
        </is>
      </c>
      <c r="L26" s="28" t="inlineStr">
        <is>
          <t xml:space="preserve"> NEW YORK GIANTS</t>
        </is>
      </c>
      <c r="M26" s="28" t="n"/>
      <c r="N26" s="28" t="n"/>
      <c r="O26" s="28" t="n"/>
      <c r="P26" s="35" t="inlineStr">
        <is>
          <t>Arizona</t>
        </is>
      </c>
      <c r="Q26" s="28" t="n"/>
      <c r="R26" s="28" t="inlineStr">
        <is>
          <t xml:space="preserve"> baltimore</t>
        </is>
      </c>
      <c r="S26" s="36" t="n"/>
      <c r="T26" s="37" t="n"/>
      <c r="U26" s="35" t="inlineStr">
        <is>
          <t xml:space="preserve"> philadelphia</t>
        </is>
      </c>
      <c r="V26" s="37" t="inlineStr">
        <is>
          <t xml:space="preserve"> Atlanta</t>
        </is>
      </c>
      <c r="W26" s="35" t="inlineStr">
        <is>
          <t xml:space="preserve"> Miami</t>
        </is>
      </c>
      <c r="X26" s="37" t="inlineStr">
        <is>
          <t xml:space="preserve"> Washington</t>
        </is>
      </c>
      <c r="Y26" s="35" t="inlineStr">
        <is>
          <t xml:space="preserve"> DEAD</t>
        </is>
      </c>
      <c r="Z26" s="37" t="n">
        <v>0.5</v>
      </c>
      <c r="AA26" s="40" t="inlineStr">
        <is>
          <t>Sista Sledge</t>
        </is>
      </c>
      <c r="AB26" s="1">
        <f>IFERROR(B26/16,0)</f>
        <v/>
      </c>
      <c r="AD26" s="76">
        <f>MAX($B$7:$B$141)-B26</f>
        <v/>
      </c>
    </row>
    <row r="27">
      <c r="A27" s="2">
        <f>_xlfn.IFNA(IF(AD27=0,$AD$46,""),"")</f>
        <v/>
      </c>
      <c r="B27">
        <f>SUM(V27:X27)+C27</f>
        <v/>
      </c>
      <c r="C27">
        <f>COUNTA(F27:U27)</f>
        <v/>
      </c>
      <c r="D27">
        <f>_xlfn.RANK.EQ(B27,$B$10:$B$44,0)</f>
        <v/>
      </c>
      <c r="E27" s="40" t="inlineStr">
        <is>
          <t>Zach N</t>
        </is>
      </c>
      <c r="F27" s="61" t="inlineStr">
        <is>
          <t>atlanta</t>
        </is>
      </c>
      <c r="G27" s="61" t="n"/>
      <c r="H27" s="61" t="n"/>
      <c r="I27" s="61" t="inlineStr">
        <is>
          <t xml:space="preserve"> DETROIT </t>
        </is>
      </c>
      <c r="J27" s="61" t="inlineStr">
        <is>
          <t xml:space="preserve"> INDIANAPOLIS</t>
        </is>
      </c>
      <c r="K27" s="61" t="inlineStr">
        <is>
          <t xml:space="preserve"> kansas city </t>
        </is>
      </c>
      <c r="L27" s="61" t="inlineStr">
        <is>
          <t xml:space="preserve"> NEW YORK GIANTS</t>
        </is>
      </c>
      <c r="M27" s="61" t="inlineStr">
        <is>
          <t xml:space="preserve"> PITTSBURGH</t>
        </is>
      </c>
      <c r="N27" s="61" t="n"/>
      <c r="O27" s="61" t="inlineStr">
        <is>
          <t xml:space="preserve"> JACKSONVILLE</t>
        </is>
      </c>
      <c r="P27" s="35" t="inlineStr">
        <is>
          <t>Arizona</t>
        </is>
      </c>
      <c r="Q27" s="61" t="inlineStr">
        <is>
          <t xml:space="preserve"> minnesota</t>
        </is>
      </c>
      <c r="R27" s="61" t="inlineStr">
        <is>
          <t xml:space="preserve"> baltimore</t>
        </is>
      </c>
      <c r="S27" s="36" t="inlineStr">
        <is>
          <t xml:space="preserve"> las vegas</t>
        </is>
      </c>
      <c r="T27" s="37" t="n"/>
      <c r="U27" s="35" t="inlineStr">
        <is>
          <t xml:space="preserve"> philadelphia</t>
        </is>
      </c>
      <c r="V27" s="37" t="inlineStr">
        <is>
          <t xml:space="preserve"> New York Jets</t>
        </is>
      </c>
      <c r="W27" s="35" t="inlineStr">
        <is>
          <t xml:space="preserve"> Miami</t>
        </is>
      </c>
      <c r="X27" s="37" t="inlineStr">
        <is>
          <t xml:space="preserve"> Washington</t>
        </is>
      </c>
      <c r="Y27" s="35" t="inlineStr">
        <is>
          <t xml:space="preserve"> Los Angeles Rams</t>
        </is>
      </c>
      <c r="Z27" s="37" t="n">
        <v>0.375</v>
      </c>
      <c r="AA27" s="40" t="inlineStr">
        <is>
          <t>Zach N</t>
        </is>
      </c>
      <c r="AB27" s="1">
        <f>IFERROR(B27/16,0)</f>
        <v/>
      </c>
      <c r="AD27" s="76">
        <f>MAX($B$7:$B$141)-B27</f>
        <v/>
      </c>
    </row>
    <row r="28">
      <c r="A28" s="2">
        <f>_xlfn.IFNA(IF(AD28=0,$AD$46,""),"")</f>
        <v/>
      </c>
      <c r="B28">
        <f>SUM(V28:X28)+C28</f>
        <v/>
      </c>
      <c r="C28">
        <f>COUNTA(F28:U28)</f>
        <v/>
      </c>
      <c r="D28">
        <f>_xlfn.RANK.EQ(B28,$B$10:$B$44,0)</f>
        <v/>
      </c>
      <c r="E28" s="40" t="inlineStr">
        <is>
          <t>meatloaf</t>
        </is>
      </c>
      <c r="F28" s="61" t="n"/>
      <c r="G28" s="61" t="n"/>
      <c r="H28" s="61" t="n"/>
      <c r="I28" s="61" t="inlineStr">
        <is>
          <t xml:space="preserve"> DETROIT </t>
        </is>
      </c>
      <c r="J28" s="61" t="n"/>
      <c r="K28" s="61" t="inlineStr">
        <is>
          <t xml:space="preserve"> kansas city </t>
        </is>
      </c>
      <c r="L28" s="61" t="inlineStr">
        <is>
          <t xml:space="preserve"> NEW YORK GIANTS</t>
        </is>
      </c>
      <c r="M28" s="61" t="n"/>
      <c r="N28" s="61" t="n"/>
      <c r="O28" s="61" t="inlineStr">
        <is>
          <t xml:space="preserve"> JACKSONVILLE</t>
        </is>
      </c>
      <c r="P28" s="61" t="n"/>
      <c r="Q28" s="61" t="n"/>
      <c r="R28" s="61" t="inlineStr">
        <is>
          <t xml:space="preserve"> baltimore</t>
        </is>
      </c>
      <c r="S28" s="36" t="n"/>
      <c r="T28" s="37" t="n"/>
      <c r="U28" s="35" t="n"/>
      <c r="V28" s="37" t="inlineStr">
        <is>
          <t xml:space="preserve"> Atlanta</t>
        </is>
      </c>
      <c r="W28" s="35" t="inlineStr">
        <is>
          <t xml:space="preserve"> New York Jets</t>
        </is>
      </c>
      <c r="X28" s="37" t="inlineStr">
        <is>
          <t xml:space="preserve"> Miami</t>
        </is>
      </c>
      <c r="Y28" s="35" t="inlineStr">
        <is>
          <t xml:space="preserve"> DEAD</t>
        </is>
      </c>
      <c r="Z28" s="37" t="n">
        <v>0.4375</v>
      </c>
      <c r="AA28" s="40" t="inlineStr">
        <is>
          <t>meatloaf</t>
        </is>
      </c>
      <c r="AB28" s="1">
        <f>IFERROR(B28/16,0)</f>
        <v/>
      </c>
      <c r="AD28" s="76">
        <f>MAX($B$7:$B$141)-B28</f>
        <v/>
      </c>
    </row>
    <row r="29">
      <c r="A29" s="2">
        <f>_xlfn.IFNA(IF(AD29=0,$AD$46,""),"")</f>
        <v/>
      </c>
      <c r="B29">
        <f>SUM(V29:X29)+C29</f>
        <v/>
      </c>
      <c r="C29">
        <f>COUNTA(F29:U29)</f>
        <v/>
      </c>
      <c r="D29">
        <f>_xlfn.RANK.EQ(B29,$B$10:$B$44,0)</f>
        <v/>
      </c>
      <c r="E29" s="40" t="inlineStr">
        <is>
          <t>Vonasek Family</t>
        </is>
      </c>
      <c r="F29" s="28" t="n"/>
      <c r="G29" s="28" t="n"/>
      <c r="H29" s="28" t="n"/>
      <c r="I29" s="28" t="inlineStr">
        <is>
          <t xml:space="preserve"> DETROIT </t>
        </is>
      </c>
      <c r="J29" s="28" t="n"/>
      <c r="K29" s="28" t="inlineStr">
        <is>
          <t xml:space="preserve"> kansas city </t>
        </is>
      </c>
      <c r="L29" s="28" t="inlineStr">
        <is>
          <t xml:space="preserve"> NEW YORK GIANTS</t>
        </is>
      </c>
      <c r="M29" s="28" t="n"/>
      <c r="N29" s="28" t="n"/>
      <c r="O29" s="28" t="inlineStr">
        <is>
          <t xml:space="preserve"> JACKSONVILLE</t>
        </is>
      </c>
      <c r="P29" s="28" t="n"/>
      <c r="Q29" s="28" t="inlineStr">
        <is>
          <t xml:space="preserve"> minnesota</t>
        </is>
      </c>
      <c r="R29" s="28" t="inlineStr">
        <is>
          <t xml:space="preserve"> baltimore</t>
        </is>
      </c>
      <c r="S29" s="36" t="n"/>
      <c r="T29" s="37" t="n"/>
      <c r="U29" s="35" t="inlineStr">
        <is>
          <t xml:space="preserve"> philadelphia</t>
        </is>
      </c>
      <c r="V29" s="37" t="inlineStr">
        <is>
          <t xml:space="preserve"> Arizona</t>
        </is>
      </c>
      <c r="W29" s="35" t="inlineStr">
        <is>
          <t xml:space="preserve"> Miami</t>
        </is>
      </c>
      <c r="X29" s="37" t="inlineStr">
        <is>
          <t xml:space="preserve"> Dallas</t>
        </is>
      </c>
      <c r="Y29" s="35" t="inlineStr">
        <is>
          <t xml:space="preserve"> DEAD</t>
        </is>
      </c>
      <c r="Z29" s="37" t="n">
        <v>0.4375</v>
      </c>
      <c r="AA29" s="40" t="inlineStr">
        <is>
          <t>Vonasek Family</t>
        </is>
      </c>
      <c r="AB29" s="1">
        <f>IFERROR(B29/16,0)</f>
        <v/>
      </c>
      <c r="AD29" s="76">
        <f>MAX($B$7:$B$141)-B29</f>
        <v/>
      </c>
    </row>
    <row r="30">
      <c r="A30" s="2">
        <f>_xlfn.IFNA(IF(AD30=0,$AD$46,""),"")</f>
        <v/>
      </c>
      <c r="B30">
        <f>SUM(V30:X30)+C30</f>
        <v/>
      </c>
      <c r="C30">
        <f>COUNTA(F30:U30)</f>
        <v/>
      </c>
      <c r="D30">
        <f>_xlfn.RANK.EQ(B30,$B$10:$B$44,0)</f>
        <v/>
      </c>
      <c r="E30" s="40" t="inlineStr">
        <is>
          <t>cuetop</t>
        </is>
      </c>
      <c r="F30" s="28" t="n"/>
      <c r="G30" s="28" t="n"/>
      <c r="H30" s="28" t="n"/>
      <c r="I30" s="28" t="inlineStr">
        <is>
          <t xml:space="preserve"> DETROIT </t>
        </is>
      </c>
      <c r="J30" s="28" t="n"/>
      <c r="K30" s="28" t="inlineStr">
        <is>
          <t xml:space="preserve"> kansas city </t>
        </is>
      </c>
      <c r="L30" s="28" t="inlineStr">
        <is>
          <t xml:space="preserve"> NEW YORK GIANTS</t>
        </is>
      </c>
      <c r="M30" s="28" t="n"/>
      <c r="N30" s="28" t="n"/>
      <c r="O30" s="28" t="n"/>
      <c r="P30" s="28" t="n"/>
      <c r="Q30" s="28" t="inlineStr">
        <is>
          <t xml:space="preserve"> minnesota</t>
        </is>
      </c>
      <c r="R30" s="28" t="inlineStr">
        <is>
          <t xml:space="preserve"> baltimore</t>
        </is>
      </c>
      <c r="S30" s="36" t="n"/>
      <c r="T30" s="37" t="n"/>
      <c r="U30" s="35" t="inlineStr">
        <is>
          <t xml:space="preserve"> philadelphia</t>
        </is>
      </c>
      <c r="V30" s="37" t="inlineStr">
        <is>
          <t xml:space="preserve"> Arizona</t>
        </is>
      </c>
      <c r="W30" s="35" t="inlineStr">
        <is>
          <t xml:space="preserve"> Atlanta</t>
        </is>
      </c>
      <c r="X30" s="37" t="inlineStr">
        <is>
          <t xml:space="preserve"> Miami</t>
        </is>
      </c>
      <c r="Y30" s="35" t="inlineStr">
        <is>
          <t xml:space="preserve"> Philadelphia</t>
        </is>
      </c>
      <c r="Z30" s="37" t="n">
        <v>0.375</v>
      </c>
      <c r="AA30" s="40" t="inlineStr">
        <is>
          <t>cuetop</t>
        </is>
      </c>
      <c r="AB30" s="1">
        <f>IFERROR(B30/16,0)</f>
        <v/>
      </c>
      <c r="AD30" s="76">
        <f>MAX($B$7:$B$141)-B30</f>
        <v/>
      </c>
    </row>
    <row r="31">
      <c r="A31" s="2">
        <f>_xlfn.IFNA(IF(AD31=0,$AD$46,""),"")</f>
        <v/>
      </c>
      <c r="B31">
        <f>SUM(V31:X31)+C31</f>
        <v/>
      </c>
      <c r="C31">
        <f>COUNTA(F31:U31)</f>
        <v/>
      </c>
      <c r="D31">
        <f>_xlfn.RANK.EQ(B31,$B$10:$B$44,0)</f>
        <v/>
      </c>
      <c r="E31" s="40" t="inlineStr">
        <is>
          <t>Samsaunt</t>
        </is>
      </c>
      <c r="F31" s="28" t="n"/>
      <c r="G31" s="28" t="n"/>
      <c r="H31" s="28" t="n"/>
      <c r="I31" s="28" t="inlineStr">
        <is>
          <t xml:space="preserve"> DETROIT </t>
        </is>
      </c>
      <c r="J31" s="28" t="n"/>
      <c r="K31" s="28" t="inlineStr">
        <is>
          <t xml:space="preserve"> kansas city </t>
        </is>
      </c>
      <c r="L31" s="28" t="inlineStr">
        <is>
          <t xml:space="preserve"> NEW YORK GIANTS</t>
        </is>
      </c>
      <c r="M31" s="28" t="n"/>
      <c r="N31" s="28" t="n"/>
      <c r="O31" s="28" t="inlineStr">
        <is>
          <t xml:space="preserve"> JACKSONVILLE</t>
        </is>
      </c>
      <c r="P31" s="28" t="n"/>
      <c r="Q31" s="28" t="inlineStr">
        <is>
          <t xml:space="preserve"> minnesota</t>
        </is>
      </c>
      <c r="R31" s="28" t="n"/>
      <c r="S31" s="36" t="n"/>
      <c r="T31" s="37" t="n"/>
      <c r="U31" s="35" t="inlineStr">
        <is>
          <t xml:space="preserve"> philadelphia</t>
        </is>
      </c>
      <c r="V31" s="37" t="inlineStr">
        <is>
          <t xml:space="preserve"> none</t>
        </is>
      </c>
      <c r="W31" s="35" t="inlineStr">
        <is>
          <t xml:space="preserve"> Miami</t>
        </is>
      </c>
      <c r="X31" s="37" t="inlineStr">
        <is>
          <t xml:space="preserve"> Cleveland</t>
        </is>
      </c>
      <c r="Y31" s="35" t="inlineStr">
        <is>
          <t xml:space="preserve"> Los Angeles Rams</t>
        </is>
      </c>
      <c r="Z31" s="37" t="n">
        <v>0.5</v>
      </c>
      <c r="AA31" s="40" t="inlineStr">
        <is>
          <t>Samsaunt</t>
        </is>
      </c>
      <c r="AB31" s="1">
        <f>IFERROR(B31/16,0)</f>
        <v/>
      </c>
      <c r="AD31" s="76">
        <f>MAX($B$7:$B$141)-B31</f>
        <v/>
      </c>
    </row>
    <row r="32">
      <c r="A32" s="2">
        <f>_xlfn.IFNA(IF(AD32=0,$AD$46,""),"")</f>
        <v/>
      </c>
      <c r="B32">
        <f>SUM(V32:X32)+C32</f>
        <v/>
      </c>
      <c r="C32">
        <f>COUNTA(F32:U32)</f>
        <v/>
      </c>
      <c r="D32">
        <f>_xlfn.RANK.EQ(B32,$B$10:$B$44,0)</f>
        <v/>
      </c>
      <c r="E32" s="40" t="inlineStr">
        <is>
          <t>Gr8granpa</t>
        </is>
      </c>
      <c r="F32" s="28" t="n"/>
      <c r="G32" s="28" t="n"/>
      <c r="H32" s="28" t="inlineStr">
        <is>
          <t xml:space="preserve"> CLEVELAND</t>
        </is>
      </c>
      <c r="I32" s="28" t="inlineStr">
        <is>
          <t xml:space="preserve"> DETROIT </t>
        </is>
      </c>
      <c r="J32" s="28" t="inlineStr">
        <is>
          <t xml:space="preserve"> INDIANAPOLIS</t>
        </is>
      </c>
      <c r="K32" s="28" t="inlineStr">
        <is>
          <t xml:space="preserve"> kansas city </t>
        </is>
      </c>
      <c r="L32" s="28" t="n"/>
      <c r="M32" s="28" t="inlineStr">
        <is>
          <t xml:space="preserve"> PITTSBURGH</t>
        </is>
      </c>
      <c r="N32" s="28" t="inlineStr">
        <is>
          <t xml:space="preserve"> WASHINGTON</t>
        </is>
      </c>
      <c r="O32" s="28" t="n"/>
      <c r="P32" s="28" t="n"/>
      <c r="Q32" s="28" t="inlineStr">
        <is>
          <t xml:space="preserve"> minnesota</t>
        </is>
      </c>
      <c r="R32" s="28" t="n"/>
      <c r="S32" s="36" t="inlineStr">
        <is>
          <t xml:space="preserve"> las vegas</t>
        </is>
      </c>
      <c r="T32" s="37" t="n"/>
      <c r="U32" s="35" t="inlineStr">
        <is>
          <t xml:space="preserve"> philadelphia</t>
        </is>
      </c>
      <c r="V32" s="37" t="inlineStr">
        <is>
          <t xml:space="preserve"> Miami</t>
        </is>
      </c>
      <c r="W32" s="35" t="inlineStr">
        <is>
          <t xml:space="preserve"> New York Jets</t>
        </is>
      </c>
      <c r="X32" s="37" t="inlineStr">
        <is>
          <t xml:space="preserve"> Los Angeles Chargers</t>
        </is>
      </c>
      <c r="Y32" s="35" t="inlineStr">
        <is>
          <t xml:space="preserve"> Cleveland</t>
        </is>
      </c>
      <c r="Z32" s="37" t="n">
        <v>0.5625</v>
      </c>
      <c r="AA32" s="40" t="inlineStr">
        <is>
          <t>Gr8granpa</t>
        </is>
      </c>
      <c r="AB32" s="1">
        <f>IFERROR(B32/16,0)</f>
        <v/>
      </c>
      <c r="AD32" s="76">
        <f>MAX($B$7:$B$141)-B32</f>
        <v/>
      </c>
    </row>
    <row r="33">
      <c r="A33" s="2">
        <f>_xlfn.IFNA(IF(AD33=0,$AD$46,""),"")</f>
        <v/>
      </c>
      <c r="B33">
        <f>SUM(V33:X33)+C33</f>
        <v/>
      </c>
      <c r="C33">
        <f>COUNTA(F33:U33)</f>
        <v/>
      </c>
      <c r="D33">
        <f>_xlfn.RANK.EQ(B33,$B$10:$B$44,0)</f>
        <v/>
      </c>
      <c r="E33" s="40" t="inlineStr">
        <is>
          <t>CraneGuy936</t>
        </is>
      </c>
      <c r="F33" s="28" t="n"/>
      <c r="G33" s="28" t="n"/>
      <c r="H33" s="28" t="n"/>
      <c r="I33" s="28" t="inlineStr">
        <is>
          <t xml:space="preserve"> DETROIT </t>
        </is>
      </c>
      <c r="J33" s="28" t="n"/>
      <c r="K33" s="28" t="inlineStr">
        <is>
          <t xml:space="preserve"> kansas city </t>
        </is>
      </c>
      <c r="L33" s="28" t="n"/>
      <c r="M33" s="28" t="n"/>
      <c r="N33" s="28" t="n"/>
      <c r="O33" s="28" t="inlineStr">
        <is>
          <t xml:space="preserve"> JACKSONVILLE</t>
        </is>
      </c>
      <c r="P33" s="28" t="n"/>
      <c r="Q33" s="28" t="inlineStr">
        <is>
          <t xml:space="preserve"> minnesota</t>
        </is>
      </c>
      <c r="R33" s="28" t="n"/>
      <c r="S33" s="36" t="inlineStr">
        <is>
          <t xml:space="preserve"> las vegas</t>
        </is>
      </c>
      <c r="T33" s="37" t="n"/>
      <c r="U33" s="35" t="inlineStr">
        <is>
          <t xml:space="preserve"> philadelphia</t>
        </is>
      </c>
      <c r="V33" s="37" t="inlineStr">
        <is>
          <t xml:space="preserve"> Arizona</t>
        </is>
      </c>
      <c r="W33" s="35" t="inlineStr">
        <is>
          <t xml:space="preserve"> Miami</t>
        </is>
      </c>
      <c r="X33" s="37" t="inlineStr">
        <is>
          <t xml:space="preserve"> Washington</t>
        </is>
      </c>
      <c r="Y33" s="35" t="inlineStr">
        <is>
          <t xml:space="preserve"> -Dead-</t>
        </is>
      </c>
      <c r="Z33" s="37" t="n">
        <v>0.375</v>
      </c>
      <c r="AA33" s="40" t="inlineStr">
        <is>
          <t>CraneGuy936</t>
        </is>
      </c>
      <c r="AB33" s="1">
        <f>IFERROR(B33/16,0)</f>
        <v/>
      </c>
      <c r="AD33" s="76">
        <f>MAX($B$7:$B$141)-B33</f>
        <v/>
      </c>
    </row>
    <row r="34">
      <c r="A34" s="2">
        <f>_xlfn.IFNA(IF(AD34=0,$AD$46,""),"")</f>
        <v/>
      </c>
      <c r="B34">
        <f>SUM(V34:X34)+C34</f>
        <v/>
      </c>
      <c r="C34">
        <f>COUNTA(F34:U34)</f>
        <v/>
      </c>
      <c r="D34">
        <f>_xlfn.RANK.EQ(B34,$B$10:$B$44,0)</f>
        <v/>
      </c>
      <c r="E34" s="40" t="inlineStr">
        <is>
          <t>MayeDay! MayeDay!</t>
        </is>
      </c>
      <c r="F34" s="28" t="n"/>
      <c r="G34" s="61" t="n"/>
      <c r="H34" s="61" t="n"/>
      <c r="I34" s="61" t="n"/>
      <c r="J34" s="61" t="n"/>
      <c r="K34" s="61" t="inlineStr">
        <is>
          <t xml:space="preserve"> kansas city </t>
        </is>
      </c>
      <c r="L34" s="61" t="inlineStr">
        <is>
          <t xml:space="preserve"> NEW YORK GIANTS</t>
        </is>
      </c>
      <c r="M34" s="61" t="n"/>
      <c r="N34" s="61" t="n"/>
      <c r="O34" s="61" t="n"/>
      <c r="P34" s="61" t="n"/>
      <c r="Q34" s="61" t="n"/>
      <c r="R34" s="61" t="inlineStr">
        <is>
          <t xml:space="preserve"> baltimore</t>
        </is>
      </c>
      <c r="S34" s="36" t="n"/>
      <c r="T34" s="37" t="inlineStr">
        <is>
          <t xml:space="preserve"> DENVER</t>
        </is>
      </c>
      <c r="U34" s="35" t="n"/>
      <c r="V34" s="37" t="inlineStr">
        <is>
          <t xml:space="preserve"> Miami</t>
        </is>
      </c>
      <c r="W34" s="35" t="inlineStr">
        <is>
          <t xml:space="preserve"> Washington</t>
        </is>
      </c>
      <c r="X34" s="37" t="inlineStr">
        <is>
          <t xml:space="preserve"> Arizona</t>
        </is>
      </c>
      <c r="Y34" s="35" t="inlineStr">
        <is>
          <t xml:space="preserve"> Carolina</t>
        </is>
      </c>
      <c r="Z34" s="37" t="n">
        <v>0.375</v>
      </c>
      <c r="AA34" s="40" t="inlineStr">
        <is>
          <t>MayeDay! MayeDay!</t>
        </is>
      </c>
      <c r="AB34" s="1">
        <f>IFERROR(B34/16,0)</f>
        <v/>
      </c>
      <c r="AD34" s="76">
        <f>MAX($B$7:$B$141)-B34</f>
        <v/>
      </c>
    </row>
    <row r="35">
      <c r="A35" s="2">
        <f>_xlfn.IFNA(IF(AD35=0,$AD$46,""),"")</f>
        <v/>
      </c>
      <c r="B35">
        <f>SUM(V35:X35)+C35</f>
        <v/>
      </c>
      <c r="C35">
        <f>COUNTA(F35:U35)</f>
        <v/>
      </c>
      <c r="D35">
        <f>_xlfn.RANK.EQ(B35,$B$10:$B$44,0)</f>
        <v/>
      </c>
      <c r="E35" s="40" t="inlineStr">
        <is>
          <t>Debe</t>
        </is>
      </c>
      <c r="F35" s="61" t="n"/>
      <c r="G35" s="61" t="n"/>
      <c r="H35" s="61" t="n"/>
      <c r="I35" s="61" t="inlineStr">
        <is>
          <t xml:space="preserve"> DETROIT </t>
        </is>
      </c>
      <c r="J35" s="61" t="inlineStr">
        <is>
          <t xml:space="preserve"> INDIANAPOLIS</t>
        </is>
      </c>
      <c r="K35" s="61" t="inlineStr">
        <is>
          <t xml:space="preserve"> kansas city </t>
        </is>
      </c>
      <c r="L35" s="61" t="inlineStr">
        <is>
          <t xml:space="preserve"> NEW YORK GIANTS</t>
        </is>
      </c>
      <c r="M35" s="61" t="inlineStr">
        <is>
          <t xml:space="preserve"> PITTSBURGH</t>
        </is>
      </c>
      <c r="N35" s="61" t="inlineStr">
        <is>
          <t xml:space="preserve"> WASHINGTON</t>
        </is>
      </c>
      <c r="O35" s="61" t="n"/>
      <c r="P35" s="61" t="n"/>
      <c r="Q35" s="61" t="inlineStr">
        <is>
          <t xml:space="preserve"> minnesota</t>
        </is>
      </c>
      <c r="R35" s="61" t="inlineStr">
        <is>
          <t xml:space="preserve"> baltimore</t>
        </is>
      </c>
      <c r="S35" s="36" t="inlineStr">
        <is>
          <t xml:space="preserve"> las vegas</t>
        </is>
      </c>
      <c r="T35" s="37" t="inlineStr">
        <is>
          <t xml:space="preserve"> DENVER</t>
        </is>
      </c>
      <c r="U35" s="35" t="inlineStr">
        <is>
          <t xml:space="preserve"> philadelphia</t>
        </is>
      </c>
      <c r="V35" s="37" t="inlineStr">
        <is>
          <t xml:space="preserve"> Jacksonville</t>
        </is>
      </c>
      <c r="W35" s="35" t="inlineStr">
        <is>
          <t xml:space="preserve"> Cleveland</t>
        </is>
      </c>
      <c r="X35" s="37" t="inlineStr">
        <is>
          <t xml:space="preserve"> Los Angeles Rams</t>
        </is>
      </c>
      <c r="Y35" s="35" t="inlineStr">
        <is>
          <t xml:space="preserve"> Las Vegas</t>
        </is>
      </c>
      <c r="Z35" s="37" t="n">
        <v>0.5625</v>
      </c>
      <c r="AA35" s="40" t="inlineStr">
        <is>
          <t>Debe</t>
        </is>
      </c>
      <c r="AB35" s="1">
        <f>IFERROR(B35/16,0)</f>
        <v/>
      </c>
      <c r="AD35" s="76">
        <f>MAX($B$7:$B$141)-B35</f>
        <v/>
      </c>
    </row>
    <row r="36">
      <c r="A36" s="2">
        <f>_xlfn.IFNA(IF(AD36=0,$AD$46,""),"")</f>
        <v/>
      </c>
      <c r="B36">
        <f>SUM(V36:X36)+C36</f>
        <v/>
      </c>
      <c r="C36">
        <f>COUNTA(F36:U36)</f>
        <v/>
      </c>
      <c r="D36">
        <f>_xlfn.RANK.EQ(B36,$B$10:$B$44,0)</f>
        <v/>
      </c>
      <c r="E36" s="40" t="inlineStr">
        <is>
          <t>Ian</t>
        </is>
      </c>
      <c r="F36" s="61" t="n"/>
      <c r="G36" s="61" t="n"/>
      <c r="H36" s="61" t="n"/>
      <c r="I36" s="61" t="inlineStr">
        <is>
          <t xml:space="preserve"> DETROIT </t>
        </is>
      </c>
      <c r="J36" s="61" t="inlineStr">
        <is>
          <t xml:space="preserve"> INDIANAPOLIS</t>
        </is>
      </c>
      <c r="K36" s="28" t="inlineStr">
        <is>
          <t xml:space="preserve"> kansas city </t>
        </is>
      </c>
      <c r="L36" s="61" t="n"/>
      <c r="M36" s="61" t="inlineStr">
        <is>
          <t xml:space="preserve"> PITTSBURGH</t>
        </is>
      </c>
      <c r="N36" s="61" t="n"/>
      <c r="O36" s="61" t="n"/>
      <c r="P36" s="35" t="inlineStr">
        <is>
          <t>Arizona</t>
        </is>
      </c>
      <c r="Q36" s="61" t="inlineStr">
        <is>
          <t xml:space="preserve"> minnesota</t>
        </is>
      </c>
      <c r="R36" s="61" t="inlineStr">
        <is>
          <t xml:space="preserve"> baltimore</t>
        </is>
      </c>
      <c r="S36" s="36" t="n"/>
      <c r="T36" s="37" t="n"/>
      <c r="U36" s="35" t="inlineStr">
        <is>
          <t xml:space="preserve"> philadelphia</t>
        </is>
      </c>
      <c r="V36" s="37" t="inlineStr">
        <is>
          <t xml:space="preserve"> Miami</t>
        </is>
      </c>
      <c r="W36" s="35" t="inlineStr">
        <is>
          <t xml:space="preserve"> Los Angeles Chargers</t>
        </is>
      </c>
      <c r="X36" s="37" t="inlineStr">
        <is>
          <t xml:space="preserve"> Chicago</t>
        </is>
      </c>
      <c r="Y36" s="35" t="inlineStr">
        <is>
          <t xml:space="preserve"> DEAD</t>
        </is>
      </c>
      <c r="Z36" s="37" t="n">
        <v>0.375</v>
      </c>
      <c r="AA36" s="40" t="inlineStr">
        <is>
          <t>Ian</t>
        </is>
      </c>
      <c r="AB36" s="1">
        <f>IFERROR(B36/16,0)</f>
        <v/>
      </c>
      <c r="AD36" s="76">
        <f>MAX($B$7:$B$141)-B36</f>
        <v/>
      </c>
    </row>
    <row r="37">
      <c r="A37" s="2">
        <f>_xlfn.IFNA(IF(AD37=0,$AD$46,""),"")</f>
        <v/>
      </c>
      <c r="B37">
        <f>SUM(V37:X37)+C37</f>
        <v/>
      </c>
      <c r="C37">
        <f>COUNTA(F37:U37)</f>
        <v/>
      </c>
      <c r="D37">
        <f>_xlfn.RANK.EQ(B37,$B$10:$B$44,0)</f>
        <v/>
      </c>
      <c r="E37" s="40" t="inlineStr">
        <is>
          <t>The Dark Side</t>
        </is>
      </c>
      <c r="F37" s="28" t="inlineStr">
        <is>
          <t>atlanta</t>
        </is>
      </c>
      <c r="G37" s="28" t="n"/>
      <c r="H37" s="28" t="inlineStr">
        <is>
          <t xml:space="preserve"> CLEVELAND</t>
        </is>
      </c>
      <c r="I37" s="28" t="inlineStr">
        <is>
          <t xml:space="preserve"> DETROIT </t>
        </is>
      </c>
      <c r="J37" s="28" t="n"/>
      <c r="K37" s="28" t="inlineStr">
        <is>
          <t xml:space="preserve"> kansas city </t>
        </is>
      </c>
      <c r="L37" s="28" t="n"/>
      <c r="M37" s="28" t="n"/>
      <c r="N37" s="28" t="n"/>
      <c r="O37" s="28" t="inlineStr">
        <is>
          <t xml:space="preserve"> JACKSONVILLE</t>
        </is>
      </c>
      <c r="P37" s="28" t="n"/>
      <c r="Q37" s="28" t="inlineStr">
        <is>
          <t xml:space="preserve"> minnesota</t>
        </is>
      </c>
      <c r="R37" s="28" t="inlineStr">
        <is>
          <t xml:space="preserve"> baltimore</t>
        </is>
      </c>
      <c r="S37" s="36" t="inlineStr">
        <is>
          <t xml:space="preserve"> las vegas</t>
        </is>
      </c>
      <c r="T37" s="37" t="n"/>
      <c r="U37" s="35" t="inlineStr">
        <is>
          <t xml:space="preserve"> philadelphia</t>
        </is>
      </c>
      <c r="V37" s="37" t="inlineStr">
        <is>
          <t xml:space="preserve"> Los Angeles Chargers</t>
        </is>
      </c>
      <c r="W37" s="35" t="inlineStr">
        <is>
          <t xml:space="preserve"> Miami</t>
        </is>
      </c>
      <c r="X37" s="37" t="inlineStr">
        <is>
          <t xml:space="preserve"> Washington</t>
        </is>
      </c>
      <c r="Y37" s="35" t="inlineStr">
        <is>
          <t xml:space="preserve"> DEAD</t>
        </is>
      </c>
      <c r="Z37" s="37" t="n">
        <v>0.3125</v>
      </c>
      <c r="AA37" s="40" t="inlineStr">
        <is>
          <t>The Dark Side</t>
        </is>
      </c>
      <c r="AB37" s="1">
        <f>IFERROR(B37/16,0)</f>
        <v/>
      </c>
      <c r="AD37" s="76">
        <f>MAX($B$7:$B$141)-B37</f>
        <v/>
      </c>
    </row>
    <row r="38">
      <c r="A38" s="2">
        <f>_xlfn.IFNA(IF(AD38=0,$AD$46,""),"")</f>
        <v/>
      </c>
      <c r="B38">
        <f>SUM(V38:X38)+C38</f>
        <v/>
      </c>
      <c r="C38">
        <f>COUNTA(F38:U38)</f>
        <v/>
      </c>
      <c r="D38">
        <f>_xlfn.RANK.EQ(B38,$B$10:$B$44,0)</f>
        <v/>
      </c>
      <c r="E38" s="41" t="inlineStr">
        <is>
          <t>Mrp4real</t>
        </is>
      </c>
      <c r="F38" s="28" t="inlineStr">
        <is>
          <t>atlanta</t>
        </is>
      </c>
      <c r="G38" s="28" t="n"/>
      <c r="H38" s="28" t="n"/>
      <c r="I38" s="28" t="inlineStr">
        <is>
          <t xml:space="preserve"> DETROIT </t>
        </is>
      </c>
      <c r="J38" s="28" t="n"/>
      <c r="K38" s="28" t="inlineStr">
        <is>
          <t xml:space="preserve"> kansas city </t>
        </is>
      </c>
      <c r="L38" s="28" t="inlineStr">
        <is>
          <t xml:space="preserve"> NEW YORK GIANTS</t>
        </is>
      </c>
      <c r="M38" s="28" t="n"/>
      <c r="N38" s="28" t="n"/>
      <c r="O38" s="28" t="n"/>
      <c r="P38" s="28" t="n"/>
      <c r="Q38" s="28" t="inlineStr">
        <is>
          <t xml:space="preserve"> minnesota</t>
        </is>
      </c>
      <c r="R38" s="28" t="inlineStr">
        <is>
          <t xml:space="preserve"> baltimore</t>
        </is>
      </c>
      <c r="S38" s="36" t="n"/>
      <c r="T38" s="37" t="n"/>
      <c r="U38" s="35" t="inlineStr">
        <is>
          <t xml:space="preserve"> philadelphia</t>
        </is>
      </c>
      <c r="V38" s="37" t="inlineStr">
        <is>
          <t xml:space="preserve"> Arizona</t>
        </is>
      </c>
      <c r="W38" s="35" t="inlineStr">
        <is>
          <t xml:space="preserve"> Miami</t>
        </is>
      </c>
      <c r="X38" s="37" t="inlineStr">
        <is>
          <t xml:space="preserve"> Los Angeles Chargers</t>
        </is>
      </c>
      <c r="Y38" s="35" t="inlineStr">
        <is>
          <t xml:space="preserve"> DEAD</t>
        </is>
      </c>
      <c r="Z38" s="37" t="n">
        <v>0.3125</v>
      </c>
      <c r="AA38" s="40" t="inlineStr">
        <is>
          <t>Mrp4real</t>
        </is>
      </c>
      <c r="AB38" s="1">
        <f>IFERROR(B38/16,0)</f>
        <v/>
      </c>
      <c r="AD38" s="76">
        <f>MAX($B$7:$B$141)-B38</f>
        <v/>
      </c>
    </row>
    <row r="39">
      <c r="A39" s="2">
        <f>_xlfn.IFNA(IF(AD39=0,$AD$46,""),"")</f>
        <v/>
      </c>
      <c r="B39">
        <f>SUM(V39:X39)+C39</f>
        <v/>
      </c>
      <c r="C39">
        <f>COUNTA(F39:U39)</f>
        <v/>
      </c>
      <c r="D39">
        <f>_xlfn.RANK.EQ(B39,$B$10:$B$44,0)</f>
        <v/>
      </c>
      <c r="E39" s="41" t="inlineStr">
        <is>
          <t>Rusted Ox</t>
        </is>
      </c>
      <c r="F39" s="38" t="n"/>
      <c r="G39" s="38" t="n"/>
      <c r="H39" s="38" t="n"/>
      <c r="I39" s="38" t="inlineStr">
        <is>
          <t xml:space="preserve"> DETROIT </t>
        </is>
      </c>
      <c r="J39" s="38" t="inlineStr">
        <is>
          <t xml:space="preserve"> INDIANAPOLIS</t>
        </is>
      </c>
      <c r="K39" s="38" t="inlineStr">
        <is>
          <t xml:space="preserve"> kansas city </t>
        </is>
      </c>
      <c r="L39" s="38" t="inlineStr">
        <is>
          <t xml:space="preserve"> NEW YORK GIANTS</t>
        </is>
      </c>
      <c r="M39" s="38" t="n"/>
      <c r="N39" s="38" t="n"/>
      <c r="O39" s="38" t="n"/>
      <c r="P39" s="38" t="n"/>
      <c r="Q39" s="38" t="n"/>
      <c r="R39" s="38" t="n"/>
      <c r="S39" s="36" t="n"/>
      <c r="T39" s="37" t="inlineStr">
        <is>
          <t xml:space="preserve"> DENVER</t>
        </is>
      </c>
      <c r="U39" s="36" t="inlineStr">
        <is>
          <t xml:space="preserve"> philadelphia</t>
        </is>
      </c>
      <c r="V39" s="37" t="inlineStr">
        <is>
          <t xml:space="preserve"> Miami</t>
        </is>
      </c>
      <c r="W39" s="36" t="inlineStr">
        <is>
          <t xml:space="preserve"> Arizona</t>
        </is>
      </c>
      <c r="X39" s="37" t="inlineStr">
        <is>
          <t xml:space="preserve"> Washington</t>
        </is>
      </c>
      <c r="Y39" s="36" t="inlineStr">
        <is>
          <t xml:space="preserve"> DEAD</t>
        </is>
      </c>
      <c r="Z39" s="37" t="n">
        <v>0.625</v>
      </c>
      <c r="AA39" s="41" t="inlineStr">
        <is>
          <t>Rusted Ox</t>
        </is>
      </c>
      <c r="AB39" s="1">
        <f>IFERROR(B39/16,0)</f>
        <v/>
      </c>
      <c r="AD39" s="76">
        <f>MAX($B$7:$B$141)-B39</f>
        <v/>
      </c>
    </row>
    <row r="40">
      <c r="A40" s="2">
        <f>_xlfn.IFNA(IF(AD40=0,$AD$46,""),"")</f>
        <v/>
      </c>
      <c r="B40">
        <f>SUM(V40:X40)+C40</f>
        <v/>
      </c>
      <c r="C40">
        <f>COUNTA(F40:U40)</f>
        <v/>
      </c>
      <c r="D40">
        <f>_xlfn.RANK.EQ(B40,$B$10:$B$44,0)</f>
        <v/>
      </c>
      <c r="E40" s="41" t="inlineStr">
        <is>
          <t>TheDogfather</t>
        </is>
      </c>
      <c r="F40" s="37" t="n"/>
      <c r="G40" s="37" t="n"/>
      <c r="H40" s="37" t="n"/>
      <c r="I40" s="37" t="inlineStr">
        <is>
          <t xml:space="preserve"> DETROIT </t>
        </is>
      </c>
      <c r="J40" s="37" t="n"/>
      <c r="K40" s="37" t="inlineStr">
        <is>
          <t xml:space="preserve"> kansas city </t>
        </is>
      </c>
      <c r="L40" s="37" t="n"/>
      <c r="M40" s="37" t="n"/>
      <c r="N40" s="37" t="n"/>
      <c r="O40" s="37" t="inlineStr">
        <is>
          <t xml:space="preserve"> JACKSONVILLE</t>
        </is>
      </c>
      <c r="P40" s="37" t="n"/>
      <c r="Q40" s="37" t="n"/>
      <c r="R40" s="37" t="inlineStr">
        <is>
          <t xml:space="preserve"> baltimore</t>
        </is>
      </c>
      <c r="S40" s="36" t="n"/>
      <c r="T40" s="37" t="n"/>
      <c r="U40" s="35" t="inlineStr">
        <is>
          <t xml:space="preserve"> philadelphia</t>
        </is>
      </c>
      <c r="V40" s="37" t="inlineStr">
        <is>
          <t xml:space="preserve"> New York Giants</t>
        </is>
      </c>
      <c r="W40" s="35" t="inlineStr">
        <is>
          <t xml:space="preserve"> Chicago</t>
        </is>
      </c>
      <c r="X40" s="37" t="inlineStr">
        <is>
          <t xml:space="preserve"> Miami</t>
        </is>
      </c>
      <c r="Y40" s="35" t="inlineStr">
        <is>
          <t xml:space="preserve"> DEAD</t>
        </is>
      </c>
      <c r="Z40" s="37" t="n">
        <v>0.4375</v>
      </c>
      <c r="AA40" s="40" t="inlineStr">
        <is>
          <t>TheDogfather</t>
        </is>
      </c>
      <c r="AB40" s="1">
        <f>IFERROR(B40/16,0)</f>
        <v/>
      </c>
      <c r="AD40" s="76">
        <f>MAX($B$7:$B$141)-B40</f>
        <v/>
      </c>
    </row>
    <row r="41">
      <c r="A41" s="2">
        <f>_xlfn.IFNA(IF(AD41=0,$AD$46,""),"")</f>
        <v/>
      </c>
      <c r="B41">
        <f>SUM(V41:X41)+C41</f>
        <v/>
      </c>
      <c r="C41">
        <f>COUNTA(F41:U41)</f>
        <v/>
      </c>
      <c r="D41">
        <f>_xlfn.RANK.EQ(B41,$B$10:$B$44,0)</f>
        <v/>
      </c>
      <c r="E41" s="41" t="inlineStr">
        <is>
          <t>Ddupuy</t>
        </is>
      </c>
      <c r="F41" s="37" t="n"/>
      <c r="G41" s="37" t="n"/>
      <c r="H41" s="37" t="n"/>
      <c r="I41" s="37" t="inlineStr">
        <is>
          <t xml:space="preserve"> DETROIT </t>
        </is>
      </c>
      <c r="J41" s="37" t="inlineStr">
        <is>
          <t xml:space="preserve"> INDIANAPOLIS</t>
        </is>
      </c>
      <c r="K41" s="37" t="inlineStr">
        <is>
          <t xml:space="preserve"> kansas city </t>
        </is>
      </c>
      <c r="L41" s="37" t="inlineStr">
        <is>
          <t xml:space="preserve"> NEW YORK GIANTS</t>
        </is>
      </c>
      <c r="M41" s="37" t="n"/>
      <c r="N41" s="37" t="n"/>
      <c r="O41" s="37" t="inlineStr">
        <is>
          <t xml:space="preserve"> JACKSONVILLE</t>
        </is>
      </c>
      <c r="P41" s="37" t="n"/>
      <c r="Q41" s="37" t="inlineStr">
        <is>
          <t xml:space="preserve"> minnesota</t>
        </is>
      </c>
      <c r="R41" s="37" t="inlineStr">
        <is>
          <t xml:space="preserve"> baltimore</t>
        </is>
      </c>
      <c r="S41" s="36" t="n"/>
      <c r="T41" s="37" t="n"/>
      <c r="U41" s="36" t="inlineStr">
        <is>
          <t xml:space="preserve"> philadelphia</t>
        </is>
      </c>
      <c r="V41" s="37" t="inlineStr">
        <is>
          <t xml:space="preserve"> Washington</t>
        </is>
      </c>
      <c r="W41" s="36" t="inlineStr">
        <is>
          <t xml:space="preserve"> Arizona</t>
        </is>
      </c>
      <c r="X41" s="37" t="inlineStr">
        <is>
          <t xml:space="preserve"> Miami</t>
        </is>
      </c>
      <c r="Y41" s="36" t="inlineStr">
        <is>
          <t xml:space="preserve"> DEAD</t>
        </is>
      </c>
      <c r="Z41" s="37" t="n">
        <v>0.5</v>
      </c>
      <c r="AA41" s="41" t="inlineStr">
        <is>
          <t>Ddupuy</t>
        </is>
      </c>
      <c r="AB41" s="1">
        <f>IFERROR(B41/16,0)</f>
        <v/>
      </c>
      <c r="AD41" s="76">
        <f>MAX($B$7:$B$141)-B41</f>
        <v/>
      </c>
    </row>
    <row r="42">
      <c r="A42" s="2">
        <f>_xlfn.IFNA(IF(AD42=0,$AD$46,""),"")</f>
        <v/>
      </c>
      <c r="B42">
        <f>SUM(V42:X42)+C42</f>
        <v/>
      </c>
      <c r="C42">
        <f>COUNTA(F42:U42)</f>
        <v/>
      </c>
      <c r="D42">
        <f>_xlfn.RANK.EQ(B42,$B$10:$B$44,0)</f>
        <v/>
      </c>
      <c r="E42" s="41" t="inlineStr">
        <is>
          <t>Ryan S</t>
        </is>
      </c>
      <c r="F42" s="37" t="inlineStr">
        <is>
          <t>atlanta</t>
        </is>
      </c>
      <c r="G42" s="37" t="n"/>
      <c r="H42" s="37" t="n"/>
      <c r="I42" s="37" t="n"/>
      <c r="J42" s="37" t="inlineStr">
        <is>
          <t xml:space="preserve"> INDIANAPOLIS</t>
        </is>
      </c>
      <c r="K42" s="37" t="inlineStr">
        <is>
          <t xml:space="preserve"> kansas city </t>
        </is>
      </c>
      <c r="L42" s="37" t="n"/>
      <c r="M42" s="37" t="n"/>
      <c r="N42" s="37" t="n"/>
      <c r="O42" s="37" t="inlineStr">
        <is>
          <t xml:space="preserve"> JACKSONVILLE</t>
        </is>
      </c>
      <c r="P42" s="37" t="n"/>
      <c r="Q42" s="37" t="n"/>
      <c r="R42" s="37" t="inlineStr">
        <is>
          <t xml:space="preserve"> baltimore</t>
        </is>
      </c>
      <c r="S42" s="36" t="n"/>
      <c r="T42" s="37" t="n"/>
      <c r="U42" s="36" t="n"/>
      <c r="V42" s="37" t="inlineStr">
        <is>
          <t xml:space="preserve"> Miami</t>
        </is>
      </c>
      <c r="W42" s="36" t="inlineStr">
        <is>
          <t xml:space="preserve"> Arizona</t>
        </is>
      </c>
      <c r="X42" s="37" t="inlineStr">
        <is>
          <t xml:space="preserve"> Washington</t>
        </is>
      </c>
      <c r="Y42" s="36" t="inlineStr">
        <is>
          <t xml:space="preserve"> DEAD</t>
        </is>
      </c>
      <c r="Z42" s="37" t="n">
        <v>0.3125</v>
      </c>
      <c r="AA42" s="41" t="inlineStr">
        <is>
          <t>Ryan S</t>
        </is>
      </c>
      <c r="AB42" s="1">
        <f>IFERROR(B42/16,0)</f>
        <v/>
      </c>
      <c r="AD42" s="76">
        <f>MAX($B$7:$B$141)-B42</f>
        <v/>
      </c>
    </row>
    <row r="43">
      <c r="A43" s="2">
        <f>_xlfn.IFNA(IF(AD43=0,$AD$46,""),"")</f>
        <v/>
      </c>
      <c r="B43">
        <f>SUM(V43:X43)+C43</f>
        <v/>
      </c>
      <c r="C43">
        <f>COUNTA(F43:U43)</f>
        <v/>
      </c>
      <c r="D43">
        <f>_xlfn.RANK.EQ(B43,$B$10:$B$44,0)</f>
        <v/>
      </c>
      <c r="E43" s="41" t="inlineStr">
        <is>
          <t>Brick_Hauss</t>
        </is>
      </c>
      <c r="F43" s="37" t="inlineStr">
        <is>
          <t>atlanta</t>
        </is>
      </c>
      <c r="G43" s="37" t="n"/>
      <c r="H43" s="37" t="n"/>
      <c r="I43" s="37" t="inlineStr">
        <is>
          <t xml:space="preserve"> DETROIT </t>
        </is>
      </c>
      <c r="J43" s="37" t="n"/>
      <c r="K43" s="37" t="n"/>
      <c r="L43" s="37" t="n"/>
      <c r="M43" s="37" t="n"/>
      <c r="N43" s="37" t="n"/>
      <c r="O43" s="37" t="inlineStr">
        <is>
          <t xml:space="preserve"> JACKSONVILLE</t>
        </is>
      </c>
      <c r="P43" s="37" t="n"/>
      <c r="Q43" s="37" t="inlineStr">
        <is>
          <t xml:space="preserve"> minnesota</t>
        </is>
      </c>
      <c r="R43" s="37" t="inlineStr">
        <is>
          <t xml:space="preserve"> baltimore</t>
        </is>
      </c>
      <c r="S43" s="36" t="n"/>
      <c r="T43" s="37" t="n"/>
      <c r="U43" s="36" t="n"/>
      <c r="V43" s="37" t="inlineStr">
        <is>
          <t xml:space="preserve"> Washington</t>
        </is>
      </c>
      <c r="W43" s="36" t="inlineStr">
        <is>
          <t xml:space="preserve"> New York Jets</t>
        </is>
      </c>
      <c r="X43" s="37" t="inlineStr">
        <is>
          <t xml:space="preserve"> Pittsburgh</t>
        </is>
      </c>
      <c r="Y43" s="36" t="inlineStr">
        <is>
          <t xml:space="preserve"> DEAD</t>
        </is>
      </c>
      <c r="Z43" s="37" t="n">
        <v>0.3125</v>
      </c>
      <c r="AA43" s="41" t="inlineStr">
        <is>
          <t>Brick_Hauss</t>
        </is>
      </c>
      <c r="AB43" s="1">
        <f>IFERROR(B43/16,0)</f>
        <v/>
      </c>
      <c r="AD43" s="76">
        <f>MAX($B$7:$B$141)-B43</f>
        <v/>
      </c>
    </row>
    <row r="44">
      <c r="A44" s="2">
        <f>_xlfn.IFNA(IF(AD44=0,$AD$46,""),"")</f>
        <v/>
      </c>
      <c r="B44">
        <f>SUM(V44:X44)+C44</f>
        <v/>
      </c>
      <c r="C44">
        <f>COUNTA(F44:U44)</f>
        <v/>
      </c>
      <c r="D44">
        <f>_xlfn.RANK.EQ(B44,$B$10:$B$44,0)</f>
        <v/>
      </c>
      <c r="E44" s="41" t="inlineStr">
        <is>
          <t>Kit</t>
        </is>
      </c>
      <c r="F44" s="37" t="inlineStr">
        <is>
          <t>atlanta</t>
        </is>
      </c>
      <c r="G44" s="37" t="inlineStr">
        <is>
          <t>BUFFALO</t>
        </is>
      </c>
      <c r="H44" s="37" t="inlineStr">
        <is>
          <t xml:space="preserve"> CLEVELAND</t>
        </is>
      </c>
      <c r="I44" s="37" t="inlineStr">
        <is>
          <t xml:space="preserve"> DETROIT </t>
        </is>
      </c>
      <c r="J44" s="37" t="n"/>
      <c r="K44" s="37" t="inlineStr">
        <is>
          <t xml:space="preserve"> kansas city </t>
        </is>
      </c>
      <c r="L44" s="37" t="n"/>
      <c r="M44" s="37" t="n"/>
      <c r="N44" s="37" t="n"/>
      <c r="O44" s="37" t="inlineStr">
        <is>
          <t xml:space="preserve"> JACKSONVILLE</t>
        </is>
      </c>
      <c r="P44" s="35" t="inlineStr">
        <is>
          <t>Arizona</t>
        </is>
      </c>
      <c r="Q44" s="37" t="n"/>
      <c r="R44" s="37" t="inlineStr">
        <is>
          <t xml:space="preserve"> baltimore</t>
        </is>
      </c>
      <c r="S44" s="36" t="inlineStr">
        <is>
          <t xml:space="preserve"> las vegas</t>
        </is>
      </c>
      <c r="T44" s="37" t="inlineStr">
        <is>
          <t xml:space="preserve"> DENVER</t>
        </is>
      </c>
      <c r="U44" s="36" t="inlineStr">
        <is>
          <t>CHICAGO</t>
        </is>
      </c>
      <c r="V44" s="37" t="inlineStr">
        <is>
          <t xml:space="preserve"> Miami</t>
        </is>
      </c>
      <c r="W44" s="36" t="inlineStr">
        <is>
          <t xml:space="preserve"> Arizona</t>
        </is>
      </c>
      <c r="X44" s="37" t="inlineStr">
        <is>
          <t xml:space="preserve"> Arizona</t>
        </is>
      </c>
      <c r="Y44" s="36" t="inlineStr">
        <is>
          <t xml:space="preserve"> DEAD</t>
        </is>
      </c>
      <c r="Z44" s="37" t="n">
        <v>0.4375</v>
      </c>
      <c r="AA44" s="41" t="inlineStr">
        <is>
          <t>Kit</t>
        </is>
      </c>
      <c r="AB44" s="1">
        <f>IFERROR(B44/16,0)</f>
        <v/>
      </c>
      <c r="AD44" s="76">
        <f>MAX($B$7:$B$141)-B44</f>
        <v/>
      </c>
    </row>
    <row r="45">
      <c r="AD45" s="10">
        <f>COUNTIF(AD10:AD44,0)</f>
        <v/>
      </c>
    </row>
    <row r="46">
      <c r="AD46" s="76">
        <f>SUM(AD10:AD44)/AD45</f>
        <v/>
      </c>
    </row>
  </sheetData>
  <mergeCells count="1">
    <mergeCell ref="A1:Y2"/>
  </mergeCells>
  <conditionalFormatting sqref="B10:B4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:D4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0:U44">
    <cfRule type="cellIs" priority="4" operator="equal" dxfId="2">
      <formula>"W"</formula>
    </cfRule>
    <cfRule type="cellIs" priority="5" operator="equal" dxfId="1">
      <formula>"L"</formula>
    </cfRule>
  </conditionalFormatting>
  <conditionalFormatting sqref="AD10:AD46">
    <cfRule type="cellIs" priority="1" operator="equal" dxfId="0" stopIfTrue="1">
      <formula>0</formula>
    </cfRule>
  </conditionalFormatting>
  <dataValidations count="2">
    <dataValidation sqref="F10:U44" showDropDown="0" showInputMessage="0" showErrorMessage="0" allowBlank="1" type="list">
      <formula1>"W,L"</formula1>
    </dataValidation>
    <dataValidation sqref="F6:U6" showDropDown="0" showInputMessage="0" showErrorMessage="0" allowBlank="1" type="list">
      <formula1>"Seattle,Los Angeles Rams,Cincinnati,Detroit,Tennessee,Indianapolis,Pittsburgh,Carolina,Jacksonville,Houston,Las Vegas,Minnesota,Philadelphia,Los Angeles Chargers,New York Giants,Kansas City"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1">
    <outlinePr summaryBelow="1" summaryRight="1"/>
    <pageSetUpPr/>
  </sheetPr>
  <dimension ref="A1:AD46"/>
  <sheetViews>
    <sheetView zoomScale="76" workbookViewId="0">
      <selection activeCell="U15" sqref="U15"/>
    </sheetView>
  </sheetViews>
  <sheetFormatPr baseColWidth="8" defaultColWidth="9.109375" defaultRowHeight="14.4"/>
  <cols>
    <col width="11" customWidth="1" style="54" min="1" max="1"/>
    <col width="8" customWidth="1" style="54" min="2" max="4"/>
    <col width="22" customWidth="1" style="54" min="5" max="5"/>
    <col width="17.6640625" customWidth="1" style="54" min="6" max="18"/>
    <col width="23.5546875" bestFit="1" customWidth="1" style="54" min="19" max="19"/>
    <col width="17.6640625" customWidth="1" style="54" min="20" max="21"/>
    <col width="17" customWidth="1" style="54" min="22" max="25"/>
    <col width="12" customWidth="1" style="54" min="26" max="27"/>
    <col width="10" customWidth="1" style="54" min="28" max="28"/>
    <col width="9.109375" customWidth="1" style="54" min="29" max="34"/>
    <col width="9.109375" customWidth="1" style="54" min="35" max="16384"/>
  </cols>
  <sheetData>
    <row r="1">
      <c r="A1" s="63" t="inlineStr">
        <is>
          <t>🏈 WEEK 3 — ACQL</t>
        </is>
      </c>
    </row>
    <row r="2"/>
    <row r="4">
      <c r="A4" s="5" t="inlineStr">
        <is>
          <t>Home Team</t>
        </is>
      </c>
      <c r="B4" s="5" t="n"/>
      <c r="C4" s="5" t="n"/>
      <c r="D4" s="5" t="n"/>
      <c r="E4" s="5" t="n"/>
      <c r="F4" s="5" t="inlineStr">
        <is>
          <t>Cleveland</t>
        </is>
      </c>
      <c r="G4" s="5" t="inlineStr">
        <is>
          <t>Washington</t>
        </is>
      </c>
      <c r="H4" s="5" t="inlineStr">
        <is>
          <t>Buffalo</t>
        </is>
      </c>
      <c r="I4" s="5" t="inlineStr">
        <is>
          <t>Chicago</t>
        </is>
      </c>
      <c r="J4" s="5" t="inlineStr">
        <is>
          <t>Cincinnati</t>
        </is>
      </c>
      <c r="K4" s="5" t="inlineStr">
        <is>
          <t>New York Giants</t>
        </is>
      </c>
      <c r="L4" s="5" t="inlineStr">
        <is>
          <t>Philadelphia</t>
        </is>
      </c>
      <c r="M4" s="5" t="inlineStr">
        <is>
          <t>Tampa Bay</t>
        </is>
      </c>
      <c r="N4" s="5" t="inlineStr">
        <is>
          <t>Baltimore</t>
        </is>
      </c>
      <c r="O4" s="5" t="inlineStr">
        <is>
          <t>Houston</t>
        </is>
      </c>
      <c r="P4" s="5" t="inlineStr">
        <is>
          <t>Minnesota</t>
        </is>
      </c>
      <c r="Q4" s="5" t="inlineStr">
        <is>
          <t>Las Vegas</t>
        </is>
      </c>
      <c r="R4" s="5" t="inlineStr">
        <is>
          <t>San Francisco</t>
        </is>
      </c>
      <c r="S4" s="5" t="inlineStr">
        <is>
          <t>Seattle</t>
        </is>
      </c>
      <c r="T4" s="5" t="inlineStr">
        <is>
          <t>Carolina</t>
        </is>
      </c>
      <c r="U4" s="5" t="inlineStr">
        <is>
          <t>New Orleans</t>
        </is>
      </c>
      <c r="V4" s="5" t="n"/>
      <c r="W4" s="5" t="n"/>
      <c r="X4" s="5" t="n"/>
      <c r="Y4" s="5" t="n"/>
    </row>
    <row r="5">
      <c r="A5" s="5" t="inlineStr">
        <is>
          <t>Away Team</t>
        </is>
      </c>
      <c r="B5" s="5" t="n"/>
      <c r="C5" s="5" t="n"/>
      <c r="D5" s="5" t="n"/>
      <c r="E5" s="5" t="n"/>
      <c r="F5" s="5" t="inlineStr">
        <is>
          <t>Pittsburgh</t>
        </is>
      </c>
      <c r="G5" s="5" t="inlineStr">
        <is>
          <t>Indianapolis</t>
        </is>
      </c>
      <c r="H5" s="5" t="inlineStr">
        <is>
          <t>New England</t>
        </is>
      </c>
      <c r="I5" s="5" t="inlineStr">
        <is>
          <t>New York Jets</t>
        </is>
      </c>
      <c r="J5" s="5" t="inlineStr">
        <is>
          <t>Jacksonville</t>
        </is>
      </c>
      <c r="K5" s="5" t="inlineStr">
        <is>
          <t>Arizona</t>
        </is>
      </c>
      <c r="L5" s="5" t="inlineStr">
        <is>
          <t>Los Angeles Rams</t>
        </is>
      </c>
      <c r="M5" s="5" t="inlineStr">
        <is>
          <t>Green Bay</t>
        </is>
      </c>
      <c r="N5" s="5" t="inlineStr">
        <is>
          <t>Tennessee</t>
        </is>
      </c>
      <c r="O5" s="5" t="inlineStr">
        <is>
          <t>Dallas</t>
        </is>
      </c>
      <c r="P5" s="5" t="inlineStr">
        <is>
          <t>Miami</t>
        </is>
      </c>
      <c r="Q5" s="5" t="inlineStr">
        <is>
          <t>Kansas City</t>
        </is>
      </c>
      <c r="R5" s="5" t="inlineStr">
        <is>
          <t>Denver</t>
        </is>
      </c>
      <c r="S5" s="5" t="inlineStr">
        <is>
          <t>Los Angeles Chargers</t>
        </is>
      </c>
      <c r="T5" s="5" t="inlineStr">
        <is>
          <t>Detroit</t>
        </is>
      </c>
      <c r="U5" s="5" t="inlineStr">
        <is>
          <t>Atlanta</t>
        </is>
      </c>
      <c r="V5" s="5" t="n"/>
      <c r="W5" s="5" t="n"/>
      <c r="X5" s="5" t="n"/>
      <c r="Y5" s="5" t="n"/>
    </row>
    <row r="6">
      <c r="A6" s="6" t="inlineStr">
        <is>
          <t>Result / Winner →</t>
        </is>
      </c>
      <c r="B6" s="6" t="n"/>
      <c r="C6" s="6" t="n"/>
      <c r="D6" s="6" t="n"/>
      <c r="E6" s="6" t="n"/>
      <c r="F6" s="6" t="inlineStr">
        <is>
          <t>Cleveland</t>
        </is>
      </c>
      <c r="G6" s="6" t="inlineStr">
        <is>
          <t>Indianapolis</t>
        </is>
      </c>
      <c r="H6" s="6" t="inlineStr">
        <is>
          <t>New England</t>
        </is>
      </c>
      <c r="I6" s="6" t="inlineStr">
        <is>
          <t>Chicago</t>
        </is>
      </c>
      <c r="J6" s="6" t="inlineStr">
        <is>
          <t>Jacksonville</t>
        </is>
      </c>
      <c r="K6" s="6" t="inlineStr">
        <is>
          <t>New York Giants</t>
        </is>
      </c>
      <c r="L6" s="6" t="inlineStr">
        <is>
          <t>Los Angeles Rams</t>
        </is>
      </c>
      <c r="M6" s="6" t="inlineStr">
        <is>
          <t>Green Bay</t>
        </is>
      </c>
      <c r="N6" s="6" t="inlineStr">
        <is>
          <t>Tennessee</t>
        </is>
      </c>
      <c r="O6" s="6" t="inlineStr">
        <is>
          <t>Dallas</t>
        </is>
      </c>
      <c r="P6" s="6" t="inlineStr">
        <is>
          <t>Miami</t>
        </is>
      </c>
      <c r="Q6" s="6" t="inlineStr">
        <is>
          <t>Kansas City</t>
        </is>
      </c>
      <c r="R6" s="6" t="inlineStr">
        <is>
          <t>San Francisco</t>
        </is>
      </c>
      <c r="S6" s="6" t="inlineStr">
        <is>
          <t>Los Angeles Chargers</t>
        </is>
      </c>
      <c r="T6" s="6" t="inlineStr">
        <is>
          <t>Carolina</t>
        </is>
      </c>
      <c r="U6" s="6" t="inlineStr">
        <is>
          <t>Atlanta</t>
        </is>
      </c>
      <c r="V6" s="6" t="n"/>
      <c r="W6" s="6" t="n"/>
      <c r="X6" s="6" t="n"/>
      <c r="Y6" s="6" t="n"/>
    </row>
    <row r="7">
      <c r="A7" s="8" t="inlineStr">
        <is>
          <t>Picked Home %</t>
        </is>
      </c>
      <c r="B7" s="8" t="n"/>
      <c r="C7" s="8" t="n"/>
      <c r="D7" s="8" t="n"/>
      <c r="E7" s="8" t="n"/>
      <c r="F7" s="8">
        <f>IFERROR(COUNTIF(F10:F44, F$4)/COUNTA(B10:B44),0)</f>
        <v/>
      </c>
      <c r="G7" s="8">
        <f>IFERROR(COUNTIF(G10:G44, G$4)/COUNTA(C10:C44),0)</f>
        <v/>
      </c>
      <c r="H7" s="8">
        <f>IFERROR(COUNTIF(H10:H44, H$4)/COUNTA(D10:D44),0)</f>
        <v/>
      </c>
      <c r="I7" s="8">
        <f>IFERROR(COUNTIF(I10:I44, I$4)/COUNTA(E10:E44),0)</f>
        <v/>
      </c>
      <c r="J7" s="8">
        <f>IFERROR(COUNTIF(J10:J44, J$4)/COUNTA(F10:F44),0)</f>
        <v/>
      </c>
      <c r="K7" s="8">
        <f>IFERROR(COUNTIF(K10:K44, K$4)/COUNTA(G10:G44),0)</f>
        <v/>
      </c>
      <c r="L7" s="8">
        <f>IFERROR(COUNTIF(L10:L44, L$4)/COUNTA(H10:H44),0)</f>
        <v/>
      </c>
      <c r="M7" s="8">
        <f>IFERROR(COUNTIF(M10:M44, M$4)/COUNTA(I10:I44),0)</f>
        <v/>
      </c>
      <c r="N7" s="8">
        <f>IFERROR(COUNTIF(N10:N44, N$4)/COUNTA(J10:J44),0)</f>
        <v/>
      </c>
      <c r="O7" s="8">
        <f>IFERROR(COUNTIF(O10:O44, O$4)/COUNTA(K10:K44),0)</f>
        <v/>
      </c>
      <c r="P7" s="8">
        <f>IFERROR(COUNTIF(P10:P44, P$4)/COUNTA(L10:L44),0)</f>
        <v/>
      </c>
      <c r="Q7" s="8">
        <f>IFERROR(COUNTIF(Q10:Q44, Q$4)/COUNTA(M10:M44),0)</f>
        <v/>
      </c>
      <c r="R7" s="8">
        <f>IFERROR(COUNTIF(R10:R44, R$4)/COUNTA(N10:N44),0)</f>
        <v/>
      </c>
      <c r="S7" s="8">
        <f>IFERROR(COUNTIF(S10:S44, S$4)/COUNTA(O10:O44),0)</f>
        <v/>
      </c>
      <c r="T7" s="8">
        <f>IFERROR(COUNTIF(T10:T44, T$4)/COUNTA(P10:P44),0)</f>
        <v/>
      </c>
      <c r="U7" s="8">
        <f>IFERROR(COUNTIF(U10:U44, U$4)/COUNTA(Q10:Q44),0)</f>
        <v/>
      </c>
      <c r="V7" s="7" t="n"/>
      <c r="W7" s="7" t="n"/>
      <c r="X7" s="7" t="n"/>
      <c r="Y7" s="7" t="n"/>
    </row>
    <row r="8">
      <c r="H8" t="inlineStr">
        <is>
          <t>(Buf by 7)</t>
        </is>
      </c>
      <c r="N8" t="inlineStr">
        <is>
          <t>(Bal by 12)</t>
        </is>
      </c>
      <c r="P8" t="inlineStr">
        <is>
          <t>(Min by 12)</t>
        </is>
      </c>
      <c r="S8" t="inlineStr">
        <is>
          <t>(Sea by 8)</t>
        </is>
      </c>
    </row>
    <row r="9" ht="28.8" customHeight="1" s="54">
      <c r="A9" s="9" t="inlineStr">
        <is>
          <t>Entry Fee</t>
        </is>
      </c>
      <c r="B9" s="9" t="inlineStr">
        <is>
          <t>Wins</t>
        </is>
      </c>
      <c r="C9" s="9" t="inlineStr">
        <is>
          <t>Wins</t>
        </is>
      </c>
      <c r="D9" s="9" t="inlineStr">
        <is>
          <t>Rank</t>
        </is>
      </c>
      <c r="E9" s="9" t="inlineStr">
        <is>
          <t>Player</t>
        </is>
      </c>
      <c r="F9" s="9" t="inlineStr">
        <is>
          <t>G1</t>
        </is>
      </c>
      <c r="G9" s="9" t="inlineStr">
        <is>
          <t>G2</t>
        </is>
      </c>
      <c r="H9" s="9" t="inlineStr">
        <is>
          <t>G3</t>
        </is>
      </c>
      <c r="I9" s="9" t="inlineStr">
        <is>
          <t>G4</t>
        </is>
      </c>
      <c r="J9" s="9" t="inlineStr">
        <is>
          <t>G5</t>
        </is>
      </c>
      <c r="K9" s="9" t="inlineStr">
        <is>
          <t>G6</t>
        </is>
      </c>
      <c r="L9" s="9" t="inlineStr">
        <is>
          <t>G7</t>
        </is>
      </c>
      <c r="M9" s="9" t="inlineStr">
        <is>
          <t>G8</t>
        </is>
      </c>
      <c r="N9" s="9" t="inlineStr">
        <is>
          <t>G9</t>
        </is>
      </c>
      <c r="O9" s="9" t="inlineStr">
        <is>
          <t>G10</t>
        </is>
      </c>
      <c r="P9" s="9" t="inlineStr">
        <is>
          <t>G11</t>
        </is>
      </c>
      <c r="Q9" s="9" t="inlineStr">
        <is>
          <t>G12</t>
        </is>
      </c>
      <c r="R9" s="9" t="inlineStr">
        <is>
          <t>G13</t>
        </is>
      </c>
      <c r="S9" s="9" t="inlineStr">
        <is>
          <t>G14</t>
        </is>
      </c>
      <c r="T9" s="9" t="inlineStr">
        <is>
          <t>G15</t>
        </is>
      </c>
      <c r="U9" s="9" t="inlineStr">
        <is>
          <t>G16</t>
        </is>
      </c>
      <c r="V9" s="9" t="inlineStr">
        <is>
          <t>Loser 1</t>
        </is>
      </c>
      <c r="W9" s="9" t="inlineStr">
        <is>
          <t>Loser 2</t>
        </is>
      </c>
      <c r="X9" s="9" t="inlineStr">
        <is>
          <t>Loser 3</t>
        </is>
      </c>
      <c r="Y9" s="9" t="inlineStr">
        <is>
          <t>Suicide</t>
        </is>
      </c>
      <c r="Z9" s="9" t="inlineStr">
        <is>
          <t>Home Team %</t>
        </is>
      </c>
      <c r="AA9" s="9" t="inlineStr">
        <is>
          <t>$ Owed</t>
        </is>
      </c>
      <c r="AB9" s="9" t="inlineStr">
        <is>
          <t>Games Behind</t>
        </is>
      </c>
      <c r="AC9" s="9" t="inlineStr">
        <is>
          <t>Win %</t>
        </is>
      </c>
    </row>
    <row r="10">
      <c r="A10" s="2">
        <f>IF(AD10=0,$AD$46, " ")</f>
        <v/>
      </c>
      <c r="B10">
        <f>SUM(V10:X10)+C10</f>
        <v/>
      </c>
      <c r="C10">
        <f>COUNTA(F10:U10)</f>
        <v/>
      </c>
      <c r="D10">
        <f>_xlfn.RANK.EQ(B10,$B$10:$B$44,0)</f>
        <v/>
      </c>
      <c r="E10" s="48" t="inlineStr">
        <is>
          <t>Line-Pony</t>
        </is>
      </c>
      <c r="F10" s="46" t="n"/>
      <c r="G10" s="46" t="inlineStr">
        <is>
          <t xml:space="preserve"> indianapolis</t>
        </is>
      </c>
      <c r="H10" s="46" t="inlineStr">
        <is>
          <t xml:space="preserve"> new england</t>
        </is>
      </c>
      <c r="I10" s="46" t="inlineStr">
        <is>
          <t xml:space="preserve"> CHICAGO</t>
        </is>
      </c>
      <c r="J10" s="46" t="n"/>
      <c r="K10" s="46" t="n"/>
      <c r="L10" s="46" t="inlineStr">
        <is>
          <t xml:space="preserve"> los angeles rams</t>
        </is>
      </c>
      <c r="M10" s="46" t="inlineStr">
        <is>
          <t xml:space="preserve"> green bay</t>
        </is>
      </c>
      <c r="N10" s="46" t="inlineStr">
        <is>
          <t xml:space="preserve"> tennessee</t>
        </is>
      </c>
      <c r="O10" s="46" t="n"/>
      <c r="P10" s="46" t="inlineStr">
        <is>
          <t xml:space="preserve"> miami</t>
        </is>
      </c>
      <c r="Q10" s="46" t="inlineStr">
        <is>
          <t xml:space="preserve"> kansas city</t>
        </is>
      </c>
      <c r="R10" s="46" t="inlineStr">
        <is>
          <t xml:space="preserve"> SAN FRANCISCO</t>
        </is>
      </c>
      <c r="S10" s="50" t="inlineStr">
        <is>
          <t xml:space="preserve"> los angeles chargers</t>
        </is>
      </c>
      <c r="T10" s="50" t="n"/>
      <c r="U10" s="46" t="n"/>
      <c r="V10" s="50" t="inlineStr">
        <is>
          <t xml:space="preserve"> New England</t>
        </is>
      </c>
      <c r="W10" s="46" t="inlineStr">
        <is>
          <t xml:space="preserve"> Las Vegas</t>
        </is>
      </c>
      <c r="X10" s="50" t="inlineStr">
        <is>
          <t xml:space="preserve"> Tennessee</t>
        </is>
      </c>
      <c r="Y10" s="46" t="inlineStr">
        <is>
          <t xml:space="preserve"> DEAD</t>
        </is>
      </c>
      <c r="Z10" s="1">
        <f>IFERROR(COUNTIF(F10:U10,"W")/COUNTA(F10:U10),0)</f>
        <v/>
      </c>
      <c r="AA10">
        <f>MAX($B$10:$B$44)-B10</f>
        <v/>
      </c>
      <c r="AB10" s="1">
        <f>IFERROR(B10/16,0)</f>
        <v/>
      </c>
      <c r="AD10" s="76">
        <f>MAX($B$7:$B$141)-B10</f>
        <v/>
      </c>
    </row>
    <row r="11">
      <c r="A11" s="2">
        <f>IF(AD11=0,$AD$46, " ")</f>
        <v/>
      </c>
      <c r="B11">
        <f>SUM(V11:X11)+C11</f>
        <v/>
      </c>
      <c r="C11">
        <f>COUNTA(F11:U11)</f>
        <v/>
      </c>
      <c r="D11">
        <f>_xlfn.RANK.EQ(B11,$B$10:$B$44,0)</f>
        <v/>
      </c>
      <c r="E11" s="48" t="inlineStr">
        <is>
          <t>MiMi</t>
        </is>
      </c>
      <c r="F11" s="46" t="inlineStr">
        <is>
          <t>CLEVELAND</t>
        </is>
      </c>
      <c r="G11" s="46" t="n"/>
      <c r="H11" s="46" t="n"/>
      <c r="I11" s="46" t="inlineStr">
        <is>
          <t xml:space="preserve"> CHICAGO</t>
        </is>
      </c>
      <c r="J11" s="46" t="inlineStr">
        <is>
          <t xml:space="preserve"> jacksonville</t>
        </is>
      </c>
      <c r="K11" s="46" t="inlineStr">
        <is>
          <t xml:space="preserve"> NEW YORK GIANTS</t>
        </is>
      </c>
      <c r="L11" s="46" t="n"/>
      <c r="M11" s="46" t="inlineStr">
        <is>
          <t xml:space="preserve"> green bay</t>
        </is>
      </c>
      <c r="N11" s="46" t="n"/>
      <c r="O11" s="46" t="n"/>
      <c r="P11" s="46" t="n"/>
      <c r="Q11" s="46" t="inlineStr">
        <is>
          <t xml:space="preserve"> kansas city</t>
        </is>
      </c>
      <c r="R11" s="46" t="inlineStr">
        <is>
          <t xml:space="preserve"> SAN FRANCISCO</t>
        </is>
      </c>
      <c r="S11" s="50" t="n"/>
      <c r="T11" s="50" t="n"/>
      <c r="U11" s="46" t="n"/>
      <c r="V11" s="50" t="inlineStr">
        <is>
          <t xml:space="preserve"> Miami</t>
        </is>
      </c>
      <c r="W11" s="46" t="inlineStr">
        <is>
          <t xml:space="preserve"> Tennessee</t>
        </is>
      </c>
      <c r="X11" s="50" t="inlineStr">
        <is>
          <t xml:space="preserve"> Las Vegas</t>
        </is>
      </c>
      <c r="Y11" s="46" t="inlineStr">
        <is>
          <t xml:space="preserve"> Philadelphia</t>
        </is>
      </c>
      <c r="Z11" s="1">
        <f>IFERROR(COUNTIF(F11:U11,"W")/COUNTA(F11:U11),0)</f>
        <v/>
      </c>
      <c r="AA11">
        <f>MAX($B$10:$B$44)-B11</f>
        <v/>
      </c>
      <c r="AB11" s="1">
        <f>IFERROR(B11/16,0)</f>
        <v/>
      </c>
      <c r="AD11" s="76">
        <f>MAX($B$7:$B$141)-B11</f>
        <v/>
      </c>
    </row>
    <row r="12">
      <c r="A12" s="2">
        <f>IF(AD12=0,$AD$46, " ")</f>
        <v/>
      </c>
      <c r="B12">
        <f>SUM(V12:X12)+C12</f>
        <v/>
      </c>
      <c r="C12">
        <f>COUNTA(F12:U12)</f>
        <v/>
      </c>
      <c r="D12">
        <f>_xlfn.RANK.EQ(B12,$B$10:$B$44,0)</f>
        <v/>
      </c>
      <c r="E12" s="48" t="inlineStr">
        <is>
          <t>Zach N</t>
        </is>
      </c>
      <c r="F12" s="46" t="inlineStr">
        <is>
          <t>CLEVELAND</t>
        </is>
      </c>
      <c r="G12" s="46" t="n"/>
      <c r="H12" s="46" t="inlineStr">
        <is>
          <t xml:space="preserve"> new england</t>
        </is>
      </c>
      <c r="I12" s="46" t="inlineStr">
        <is>
          <t xml:space="preserve"> CHICAGO</t>
        </is>
      </c>
      <c r="J12" s="46" t="n"/>
      <c r="K12" s="46" t="inlineStr">
        <is>
          <t xml:space="preserve"> NEW YORK GIANTS</t>
        </is>
      </c>
      <c r="L12" s="46" t="inlineStr">
        <is>
          <t xml:space="preserve"> los angeles rams</t>
        </is>
      </c>
      <c r="M12" s="46" t="inlineStr">
        <is>
          <t xml:space="preserve"> green bay</t>
        </is>
      </c>
      <c r="N12" s="46" t="n"/>
      <c r="O12" s="46" t="n"/>
      <c r="P12" s="46" t="n"/>
      <c r="Q12" s="46" t="n"/>
      <c r="R12" s="46" t="inlineStr">
        <is>
          <t xml:space="preserve"> SAN FRANCISCO</t>
        </is>
      </c>
      <c r="S12" s="50" t="n"/>
      <c r="T12" s="50" t="n"/>
      <c r="U12" s="46" t="n"/>
      <c r="V12" s="50" t="inlineStr">
        <is>
          <t xml:space="preserve"> Tennessee</t>
        </is>
      </c>
      <c r="W12" s="46" t="inlineStr">
        <is>
          <t xml:space="preserve"> Miami</t>
        </is>
      </c>
      <c r="X12" s="50" t="inlineStr">
        <is>
          <t xml:space="preserve"> Tampa Bay</t>
        </is>
      </c>
      <c r="Y12" s="46" t="inlineStr">
        <is>
          <t xml:space="preserve"> DEAD</t>
        </is>
      </c>
      <c r="Z12" s="1">
        <f>IFERROR(COUNTIF(F12:U12,"W")/COUNTA(F12:U12),0)</f>
        <v/>
      </c>
      <c r="AA12">
        <f>MAX($B$10:$B$44)-B12</f>
        <v/>
      </c>
      <c r="AB12" s="1">
        <f>IFERROR(B12/16,0)</f>
        <v/>
      </c>
      <c r="AD12" s="76">
        <f>MAX($B$7:$B$141)-B12</f>
        <v/>
      </c>
    </row>
    <row r="13">
      <c r="A13" s="2">
        <f>IF(AD13=0,$AD$46, " ")</f>
        <v/>
      </c>
      <c r="B13">
        <f>SUM(V13:X13)+C13</f>
        <v/>
      </c>
      <c r="C13">
        <f>COUNTA(F13:U13)</f>
        <v/>
      </c>
      <c r="D13">
        <f>_xlfn.RANK.EQ(B13,$B$10:$B$44,0)</f>
        <v/>
      </c>
      <c r="E13" s="48" t="inlineStr">
        <is>
          <t xml:space="preserve">SaleeNmd </t>
        </is>
      </c>
      <c r="F13" s="47" t="n"/>
      <c r="G13" s="47" t="n"/>
      <c r="H13" s="47" t="n"/>
      <c r="I13" s="47" t="n"/>
      <c r="J13" s="47" t="n"/>
      <c r="K13" s="47" t="n"/>
      <c r="L13" s="47" t="n"/>
      <c r="M13" s="47" t="n"/>
      <c r="N13" s="47" t="n"/>
      <c r="O13" s="47" t="n"/>
      <c r="P13" s="47" t="n"/>
      <c r="Q13" s="47" t="n"/>
      <c r="R13" s="47" t="n"/>
      <c r="S13" s="45" t="n"/>
      <c r="T13" s="45" t="n"/>
      <c r="U13" s="45" t="n"/>
      <c r="V13" s="45" t="n"/>
      <c r="W13" s="45" t="n"/>
      <c r="X13" s="45" t="n"/>
      <c r="Y13" s="45" t="n"/>
      <c r="Z13" s="1">
        <f>IFERROR(COUNTIF(F13:U13,"W")/COUNTA(F13:U13),0)</f>
        <v/>
      </c>
      <c r="AA13">
        <f>MAX($B$10:$B$44)-B13</f>
        <v/>
      </c>
      <c r="AB13" s="1">
        <f>IFERROR(B13/16,0)</f>
        <v/>
      </c>
      <c r="AD13" s="76">
        <f>MAX($B$7:$B$141)-B13</f>
        <v/>
      </c>
    </row>
    <row r="14">
      <c r="A14" s="2">
        <f>IF(AD14=0,$AD$46, " ")</f>
        <v/>
      </c>
      <c r="B14">
        <f>SUM(V14:X14)+C14</f>
        <v/>
      </c>
      <c r="C14">
        <f>COUNTA(F14:U14)</f>
        <v/>
      </c>
      <c r="D14">
        <f>_xlfn.RANK.EQ(B14,$B$10:$B$44,0)</f>
        <v/>
      </c>
      <c r="E14" s="48" t="inlineStr">
        <is>
          <t>FMF Doc</t>
        </is>
      </c>
      <c r="F14" s="47" t="n"/>
      <c r="G14" s="47" t="inlineStr">
        <is>
          <t xml:space="preserve"> indianapolis</t>
        </is>
      </c>
      <c r="H14" s="47" t="n"/>
      <c r="I14" s="47" t="inlineStr">
        <is>
          <t xml:space="preserve"> CHICAGO</t>
        </is>
      </c>
      <c r="J14" s="47" t="inlineStr">
        <is>
          <t xml:space="preserve"> jacksonville</t>
        </is>
      </c>
      <c r="K14" s="47" t="n"/>
      <c r="L14" s="47" t="inlineStr">
        <is>
          <t xml:space="preserve"> los angeles rams</t>
        </is>
      </c>
      <c r="M14" s="47" t="inlineStr">
        <is>
          <t xml:space="preserve"> green bay</t>
        </is>
      </c>
      <c r="N14" s="47" t="n"/>
      <c r="O14" s="47" t="n"/>
      <c r="P14" s="47" t="n"/>
      <c r="Q14" s="47" t="n"/>
      <c r="R14" s="47" t="n"/>
      <c r="S14" s="50" t="inlineStr">
        <is>
          <t xml:space="preserve"> los angeles chargers</t>
        </is>
      </c>
      <c r="T14" s="50" t="n"/>
      <c r="U14" s="46" t="n"/>
      <c r="V14" s="50" t="inlineStr">
        <is>
          <t xml:space="preserve"> Atlanta</t>
        </is>
      </c>
      <c r="W14" s="46" t="inlineStr">
        <is>
          <t xml:space="preserve"> Miami</t>
        </is>
      </c>
      <c r="X14" s="50" t="inlineStr">
        <is>
          <t xml:space="preserve"> Tennessee</t>
        </is>
      </c>
      <c r="Y14" s="46" t="inlineStr">
        <is>
          <t xml:space="preserve"> DEAD</t>
        </is>
      </c>
      <c r="Z14" s="1">
        <f>IFERROR(COUNTIF(F14:U14,"W")/COUNTA(F14:U14),0)</f>
        <v/>
      </c>
      <c r="AA14">
        <f>MAX($B$10:$B$44)-B14</f>
        <v/>
      </c>
      <c r="AB14" s="1">
        <f>IFERROR(B14/16,0)</f>
        <v/>
      </c>
      <c r="AD14" s="76">
        <f>MAX($B$7:$B$141)-B14</f>
        <v/>
      </c>
    </row>
    <row r="15">
      <c r="A15" s="2">
        <f>IF(AD15=0,$AD$46, " ")</f>
        <v/>
      </c>
      <c r="B15">
        <f>SUM(V15:X15)+C15</f>
        <v/>
      </c>
      <c r="C15">
        <f>COUNTA(F15:U15)</f>
        <v/>
      </c>
      <c r="D15">
        <f>_xlfn.RANK.EQ(B15,$B$10:$B$44,0)</f>
        <v/>
      </c>
      <c r="E15" s="48" t="inlineStr">
        <is>
          <t>Phelps Phamily</t>
        </is>
      </c>
      <c r="F15" s="46" t="n"/>
      <c r="G15" s="46" t="n"/>
      <c r="H15" s="46" t="n"/>
      <c r="I15" s="46" t="inlineStr">
        <is>
          <t xml:space="preserve"> CHICAGO</t>
        </is>
      </c>
      <c r="J15" s="46" t="inlineStr">
        <is>
          <t xml:space="preserve"> jacksonville</t>
        </is>
      </c>
      <c r="K15" s="46" t="n"/>
      <c r="L15" s="46" t="inlineStr">
        <is>
          <t xml:space="preserve"> los angeles rams</t>
        </is>
      </c>
      <c r="M15" s="46" t="inlineStr">
        <is>
          <t xml:space="preserve"> green bay</t>
        </is>
      </c>
      <c r="N15" s="46" t="n"/>
      <c r="O15" s="46" t="n"/>
      <c r="P15" s="46" t="n"/>
      <c r="Q15" s="46" t="inlineStr">
        <is>
          <t xml:space="preserve"> kansas city</t>
        </is>
      </c>
      <c r="R15" s="46" t="inlineStr">
        <is>
          <t xml:space="preserve"> SAN FRANCISCO</t>
        </is>
      </c>
      <c r="S15" s="50" t="n"/>
      <c r="T15" s="50" t="n"/>
      <c r="U15" s="46" t="inlineStr">
        <is>
          <t xml:space="preserve"> atlanta</t>
        </is>
      </c>
      <c r="V15" s="50" t="inlineStr">
        <is>
          <t xml:space="preserve"> Tennessee</t>
        </is>
      </c>
      <c r="W15" s="46" t="inlineStr">
        <is>
          <t xml:space="preserve"> Miami</t>
        </is>
      </c>
      <c r="X15" s="50" t="inlineStr">
        <is>
          <t xml:space="preserve"> New England</t>
        </is>
      </c>
      <c r="Y15" s="46" t="inlineStr">
        <is>
          <t xml:space="preserve"> DEAD</t>
        </is>
      </c>
      <c r="Z15" s="1">
        <f>IFERROR(COUNTIF(F15:U15,"W")/COUNTA(F15:U15),0)</f>
        <v/>
      </c>
      <c r="AA15">
        <f>MAX($B$10:$B$44)-B15</f>
        <v/>
      </c>
      <c r="AB15" s="1">
        <f>IFERROR(B15/16,0)</f>
        <v/>
      </c>
      <c r="AD15" s="76">
        <f>MAX($B$7:$B$141)-B15</f>
        <v/>
      </c>
    </row>
    <row r="16">
      <c r="A16" s="2">
        <f>IF(AD16=0,$AD$46, " ")</f>
        <v/>
      </c>
      <c r="B16">
        <f>SUM(V16:X16)+C16</f>
        <v/>
      </c>
      <c r="C16">
        <f>COUNTA(F16:U16)</f>
        <v/>
      </c>
      <c r="D16">
        <f>_xlfn.RANK.EQ(B16,$B$10:$B$44,0)</f>
        <v/>
      </c>
      <c r="E16" s="48" t="inlineStr">
        <is>
          <t>Phelpy</t>
        </is>
      </c>
      <c r="F16" s="46" t="n"/>
      <c r="G16" s="46" t="inlineStr">
        <is>
          <t xml:space="preserve"> indianapolis</t>
        </is>
      </c>
      <c r="H16" s="46" t="n"/>
      <c r="I16" s="46" t="inlineStr">
        <is>
          <t xml:space="preserve"> CHICAGO</t>
        </is>
      </c>
      <c r="J16" s="46" t="n"/>
      <c r="K16" s="46" t="n"/>
      <c r="L16" s="46" t="inlineStr">
        <is>
          <t xml:space="preserve"> los angeles rams</t>
        </is>
      </c>
      <c r="M16" s="46" t="inlineStr">
        <is>
          <t xml:space="preserve"> green bay</t>
        </is>
      </c>
      <c r="N16" s="46" t="inlineStr">
        <is>
          <t xml:space="preserve"> tennessee</t>
        </is>
      </c>
      <c r="O16" s="46" t="n"/>
      <c r="P16" s="46" t="n"/>
      <c r="Q16" s="46" t="inlineStr">
        <is>
          <t xml:space="preserve"> kansas city</t>
        </is>
      </c>
      <c r="R16" s="46" t="inlineStr">
        <is>
          <t xml:space="preserve"> SAN FRANCISCO</t>
        </is>
      </c>
      <c r="S16" s="50" t="inlineStr">
        <is>
          <t xml:space="preserve"> los angeles chargers</t>
        </is>
      </c>
      <c r="T16" s="50" t="n"/>
      <c r="U16" s="46" t="n"/>
      <c r="V16" s="50" t="inlineStr">
        <is>
          <t xml:space="preserve"> Tennessee</t>
        </is>
      </c>
      <c r="W16" s="46" t="inlineStr">
        <is>
          <t xml:space="preserve"> Miami</t>
        </is>
      </c>
      <c r="X16" s="50" t="inlineStr">
        <is>
          <t xml:space="preserve"> New England</t>
        </is>
      </c>
      <c r="Y16" s="46" t="inlineStr">
        <is>
          <t xml:space="preserve"> DEAD</t>
        </is>
      </c>
      <c r="Z16" s="1">
        <f>IFERROR(COUNTIF(F16:U16,"W")/COUNTA(F16:U16),0)</f>
        <v/>
      </c>
      <c r="AA16">
        <f>MAX($B$10:$B$44)-B16</f>
        <v/>
      </c>
      <c r="AB16" s="1">
        <f>IFERROR(B16/16,0)</f>
        <v/>
      </c>
      <c r="AD16" s="76">
        <f>MAX($B$7:$B$141)-B16</f>
        <v/>
      </c>
    </row>
    <row r="17">
      <c r="A17" s="2">
        <f>IF(AD17=0,$AD$46, " ")</f>
        <v/>
      </c>
      <c r="B17">
        <f>SUM(V17:X17)+C17</f>
        <v/>
      </c>
      <c r="C17">
        <f>COUNTA(F17:U17)</f>
        <v/>
      </c>
      <c r="D17">
        <f>_xlfn.RANK.EQ(B17,$B$10:$B$44,0)</f>
        <v/>
      </c>
      <c r="E17" s="48" t="inlineStr">
        <is>
          <t>Frankethetank</t>
        </is>
      </c>
      <c r="F17" s="46" t="inlineStr">
        <is>
          <t>CLEVELAND</t>
        </is>
      </c>
      <c r="G17" s="46" t="inlineStr">
        <is>
          <t xml:space="preserve"> indianapolis</t>
        </is>
      </c>
      <c r="H17" s="46" t="inlineStr">
        <is>
          <t xml:space="preserve"> new england</t>
        </is>
      </c>
      <c r="I17" s="46" t="inlineStr">
        <is>
          <t xml:space="preserve"> CHICAGO</t>
        </is>
      </c>
      <c r="J17" s="46" t="n"/>
      <c r="K17" s="46" t="n"/>
      <c r="L17" s="46" t="inlineStr">
        <is>
          <t xml:space="preserve"> los angeles rams</t>
        </is>
      </c>
      <c r="M17" s="46" t="inlineStr">
        <is>
          <t xml:space="preserve"> green bay</t>
        </is>
      </c>
      <c r="N17" s="46" t="n"/>
      <c r="O17" s="46" t="inlineStr">
        <is>
          <t xml:space="preserve"> dallas</t>
        </is>
      </c>
      <c r="P17" s="46" t="inlineStr">
        <is>
          <t xml:space="preserve"> miami</t>
        </is>
      </c>
      <c r="Q17" s="46" t="n"/>
      <c r="R17" s="46" t="inlineStr">
        <is>
          <t xml:space="preserve"> SAN FRANCISCO</t>
        </is>
      </c>
      <c r="S17" s="50" t="n"/>
      <c r="T17" s="50" t="n"/>
      <c r="U17" s="46" t="n"/>
      <c r="V17" s="50" t="inlineStr">
        <is>
          <t xml:space="preserve"> New York Giants</t>
        </is>
      </c>
      <c r="W17" s="46" t="inlineStr">
        <is>
          <t xml:space="preserve"> Miami</t>
        </is>
      </c>
      <c r="X17" s="50" t="inlineStr">
        <is>
          <t xml:space="preserve"> Denver</t>
        </is>
      </c>
      <c r="Y17" s="46" t="inlineStr">
        <is>
          <t xml:space="preserve"> San Francisco</t>
        </is>
      </c>
      <c r="Z17" s="1">
        <f>IFERROR(COUNTIF(F17:U17,"W")/COUNTA(F17:U17),0)</f>
        <v/>
      </c>
      <c r="AA17">
        <f>MAX($B$10:$B$44)-B17</f>
        <v/>
      </c>
      <c r="AB17" s="1">
        <f>IFERROR(B17/16,0)</f>
        <v/>
      </c>
      <c r="AD17" s="76">
        <f>MAX($B$7:$B$141)-B17</f>
        <v/>
      </c>
    </row>
    <row r="18">
      <c r="A18" s="2">
        <f>IF(AD18=0,$AD$46, " ")</f>
        <v/>
      </c>
      <c r="B18">
        <f>SUM(V18:X18)+C18</f>
        <v/>
      </c>
      <c r="C18">
        <f>COUNTA(F18:U18)</f>
        <v/>
      </c>
      <c r="D18">
        <f>_xlfn.RANK.EQ(B18,$B$10:$B$44,0)</f>
        <v/>
      </c>
      <c r="E18" s="48" t="inlineStr">
        <is>
          <t>DPSOG</t>
        </is>
      </c>
      <c r="F18" s="47" t="inlineStr">
        <is>
          <t>CLEVELAND</t>
        </is>
      </c>
      <c r="G18" s="47" t="inlineStr">
        <is>
          <t xml:space="preserve"> indianapolis</t>
        </is>
      </c>
      <c r="H18" s="47" t="inlineStr">
        <is>
          <t xml:space="preserve"> new england</t>
        </is>
      </c>
      <c r="I18" s="47" t="inlineStr">
        <is>
          <t xml:space="preserve"> CHICAGO</t>
        </is>
      </c>
      <c r="J18" s="47" t="n"/>
      <c r="K18" s="47" t="n"/>
      <c r="L18" s="47" t="inlineStr">
        <is>
          <t xml:space="preserve"> los angeles rams</t>
        </is>
      </c>
      <c r="M18" s="47" t="n"/>
      <c r="N18" s="47" t="inlineStr">
        <is>
          <t xml:space="preserve"> tennessee</t>
        </is>
      </c>
      <c r="O18" s="47" t="n"/>
      <c r="P18" s="47" t="inlineStr">
        <is>
          <t xml:space="preserve"> miami</t>
        </is>
      </c>
      <c r="Q18" s="47" t="inlineStr">
        <is>
          <t xml:space="preserve"> kansas city</t>
        </is>
      </c>
      <c r="R18" s="47" t="inlineStr">
        <is>
          <t xml:space="preserve"> SAN FRANCISCO</t>
        </is>
      </c>
      <c r="S18" s="50" t="inlineStr">
        <is>
          <t xml:space="preserve"> los angeles chargers</t>
        </is>
      </c>
      <c r="T18" s="50" t="n"/>
      <c r="U18" s="46" t="n"/>
      <c r="V18" s="50" t="inlineStr">
        <is>
          <t xml:space="preserve"> Miami</t>
        </is>
      </c>
      <c r="W18" s="46" t="inlineStr">
        <is>
          <t xml:space="preserve"> Tennessee</t>
        </is>
      </c>
      <c r="X18" s="50" t="inlineStr">
        <is>
          <t xml:space="preserve"> Los Angeles Chargers</t>
        </is>
      </c>
      <c r="Y18" s="46" t="inlineStr">
        <is>
          <t xml:space="preserve"> DEAD</t>
        </is>
      </c>
      <c r="Z18" s="1">
        <f>IFERROR(COUNTIF(F18:U18,"W")/COUNTA(F18:U18),0)</f>
        <v/>
      </c>
      <c r="AA18">
        <f>MAX($B$10:$B$44)-B18</f>
        <v/>
      </c>
      <c r="AB18" s="1">
        <f>IFERROR(B18/16,0)</f>
        <v/>
      </c>
      <c r="AD18" s="76">
        <f>MAX($B$7:$B$141)-B18</f>
        <v/>
      </c>
    </row>
    <row r="19">
      <c r="A19" s="2">
        <f>IF(AD19=0,$AD$46, " ")</f>
        <v/>
      </c>
      <c r="B19">
        <f>SUM(V19:X19)+C19</f>
        <v/>
      </c>
      <c r="C19">
        <f>COUNTA(F19:U19)</f>
        <v/>
      </c>
      <c r="D19">
        <f>_xlfn.RANK.EQ(B19,$B$10:$B$44,0)</f>
        <v/>
      </c>
      <c r="E19" s="48" t="inlineStr">
        <is>
          <t>Waffle Hauss</t>
        </is>
      </c>
      <c r="F19" s="46" t="inlineStr">
        <is>
          <t>CLEVELAND</t>
        </is>
      </c>
      <c r="G19" s="46" t="n"/>
      <c r="H19" s="46" t="n"/>
      <c r="I19" s="46" t="inlineStr">
        <is>
          <t xml:space="preserve"> CHICAGO</t>
        </is>
      </c>
      <c r="J19" s="46" t="n"/>
      <c r="K19" s="46" t="n"/>
      <c r="L19" s="46" t="inlineStr">
        <is>
          <t xml:space="preserve"> los angeles rams</t>
        </is>
      </c>
      <c r="M19" s="46" t="n"/>
      <c r="N19" s="46" t="n"/>
      <c r="O19" s="46" t="inlineStr">
        <is>
          <t xml:space="preserve"> dallas</t>
        </is>
      </c>
      <c r="P19" s="46" t="inlineStr">
        <is>
          <t xml:space="preserve"> miami</t>
        </is>
      </c>
      <c r="Q19" s="46" t="inlineStr">
        <is>
          <t xml:space="preserve"> kansas city</t>
        </is>
      </c>
      <c r="R19" s="46" t="inlineStr">
        <is>
          <t xml:space="preserve"> SAN FRANCISCO</t>
        </is>
      </c>
      <c r="S19" s="50" t="inlineStr">
        <is>
          <t xml:space="preserve"> los angeles chargers</t>
        </is>
      </c>
      <c r="T19" s="50" t="n"/>
      <c r="U19" s="46" t="n"/>
      <c r="V19" s="50" t="inlineStr">
        <is>
          <t xml:space="preserve"> Tennessee</t>
        </is>
      </c>
      <c r="W19" s="46" t="inlineStr">
        <is>
          <t xml:space="preserve"> New England</t>
        </is>
      </c>
      <c r="X19" s="50" t="inlineStr">
        <is>
          <t xml:space="preserve"> Houston</t>
        </is>
      </c>
      <c r="Y19" s="46" t="inlineStr">
        <is>
          <t xml:space="preserve"> DEAD</t>
        </is>
      </c>
      <c r="Z19" s="1">
        <f>IFERROR(COUNTIF(F19:U19,"W")/COUNTA(F19:U19),0)</f>
        <v/>
      </c>
      <c r="AA19">
        <f>MAX($B$10:$B$44)-B19</f>
        <v/>
      </c>
      <c r="AB19" s="1">
        <f>IFERROR(B19/16,0)</f>
        <v/>
      </c>
      <c r="AD19" s="76">
        <f>MAX($B$7:$B$141)-B19</f>
        <v/>
      </c>
    </row>
    <row r="20">
      <c r="A20" s="2">
        <f>IF(AD20=0,$AD$46, " ")</f>
        <v/>
      </c>
      <c r="B20">
        <f>SUM(V20:X20)+C20</f>
        <v/>
      </c>
      <c r="C20">
        <f>COUNTA(F20:U20)</f>
        <v/>
      </c>
      <c r="D20">
        <f>_xlfn.RANK.EQ(B20,$B$10:$B$44,0)</f>
        <v/>
      </c>
      <c r="E20" s="48" t="inlineStr">
        <is>
          <t>Stan</t>
        </is>
      </c>
      <c r="F20" s="46" t="n"/>
      <c r="G20" s="46" t="inlineStr">
        <is>
          <t xml:space="preserve"> indianapolis</t>
        </is>
      </c>
      <c r="H20" s="46" t="inlineStr">
        <is>
          <t xml:space="preserve"> new england</t>
        </is>
      </c>
      <c r="I20" s="46" t="inlineStr">
        <is>
          <t xml:space="preserve"> CHICAGO</t>
        </is>
      </c>
      <c r="J20" s="46" t="n"/>
      <c r="K20" s="46" t="inlineStr">
        <is>
          <t xml:space="preserve"> NEW YORK GIANTS</t>
        </is>
      </c>
      <c r="L20" s="46" t="n"/>
      <c r="M20" s="46" t="inlineStr">
        <is>
          <t xml:space="preserve"> green bay</t>
        </is>
      </c>
      <c r="N20" s="46" t="inlineStr">
        <is>
          <t xml:space="preserve"> tennessee</t>
        </is>
      </c>
      <c r="O20" s="46" t="n"/>
      <c r="P20" s="46" t="n"/>
      <c r="Q20" s="46" t="inlineStr">
        <is>
          <t xml:space="preserve"> kansas city</t>
        </is>
      </c>
      <c r="R20" s="46" t="inlineStr">
        <is>
          <t xml:space="preserve"> SAN FRANCISCO</t>
        </is>
      </c>
      <c r="S20" s="50" t="n"/>
      <c r="T20" s="50" t="n"/>
      <c r="U20" s="46" t="inlineStr">
        <is>
          <t xml:space="preserve"> atlanta</t>
        </is>
      </c>
      <c r="V20" s="50" t="inlineStr">
        <is>
          <t xml:space="preserve"> Miami</t>
        </is>
      </c>
      <c r="W20" s="46" t="inlineStr">
        <is>
          <t xml:space="preserve"> Cleveland</t>
        </is>
      </c>
      <c r="X20" s="50" t="inlineStr">
        <is>
          <t xml:space="preserve"> Los Angeles Chargers</t>
        </is>
      </c>
      <c r="Y20" s="46" t="inlineStr">
        <is>
          <t xml:space="preserve"> DEAD</t>
        </is>
      </c>
      <c r="Z20" s="1">
        <f>IFERROR(COUNTIF(F20:U20,"W")/COUNTA(F20:U20),0)</f>
        <v/>
      </c>
      <c r="AA20">
        <f>MAX($B$10:$B$44)-B20</f>
        <v/>
      </c>
      <c r="AB20" s="1">
        <f>IFERROR(B20/16,0)</f>
        <v/>
      </c>
      <c r="AD20" s="76">
        <f>MAX($B$7:$B$141)-B20</f>
        <v/>
      </c>
    </row>
    <row r="21">
      <c r="A21" s="2">
        <f>IF(AD21=0,$AD$46, " ")</f>
        <v/>
      </c>
      <c r="B21">
        <f>SUM(V21:X21)+C21</f>
        <v/>
      </c>
      <c r="C21">
        <f>COUNTA(F21:U21)</f>
        <v/>
      </c>
      <c r="D21">
        <f>_xlfn.RANK.EQ(B21,$B$10:$B$44,0)</f>
        <v/>
      </c>
      <c r="E21" s="48" t="inlineStr">
        <is>
          <t>Sista Sledge</t>
        </is>
      </c>
      <c r="F21" s="46" t="n"/>
      <c r="G21" s="46" t="n"/>
      <c r="H21" s="46" t="n"/>
      <c r="I21" s="46" t="inlineStr">
        <is>
          <t xml:space="preserve"> CHICAGO</t>
        </is>
      </c>
      <c r="J21" s="46" t="n"/>
      <c r="K21" s="46" t="inlineStr">
        <is>
          <t xml:space="preserve"> NEW YORK GIANTS</t>
        </is>
      </c>
      <c r="L21" s="46" t="inlineStr">
        <is>
          <t xml:space="preserve"> los angeles rams</t>
        </is>
      </c>
      <c r="M21" s="46" t="n"/>
      <c r="N21" s="46" t="n"/>
      <c r="O21" s="46" t="inlineStr">
        <is>
          <t xml:space="preserve"> dallas</t>
        </is>
      </c>
      <c r="P21" s="46" t="inlineStr">
        <is>
          <t xml:space="preserve"> miami</t>
        </is>
      </c>
      <c r="Q21" s="46" t="inlineStr">
        <is>
          <t xml:space="preserve"> kansas city</t>
        </is>
      </c>
      <c r="R21" s="46" t="inlineStr">
        <is>
          <t xml:space="preserve"> SAN FRANCISCO</t>
        </is>
      </c>
      <c r="S21" s="50" t="inlineStr">
        <is>
          <t xml:space="preserve"> los angeles chargers</t>
        </is>
      </c>
      <c r="T21" s="50" t="n"/>
      <c r="U21" s="46" t="n"/>
      <c r="V21" s="50" t="inlineStr">
        <is>
          <t xml:space="preserve"> New England</t>
        </is>
      </c>
      <c r="W21" s="46" t="inlineStr">
        <is>
          <t xml:space="preserve"> Tennessee</t>
        </is>
      </c>
      <c r="X21" s="50" t="inlineStr">
        <is>
          <t xml:space="preserve"> New York Jets</t>
        </is>
      </c>
      <c r="Y21" s="46" t="inlineStr">
        <is>
          <t xml:space="preserve"> DEAD</t>
        </is>
      </c>
      <c r="Z21" s="1">
        <f>IFERROR(COUNTIF(F21:U21,"W")/COUNTA(F21:U21),0)</f>
        <v/>
      </c>
      <c r="AA21">
        <f>MAX($B$10:$B$44)-B21</f>
        <v/>
      </c>
      <c r="AB21" s="1">
        <f>IFERROR(B21/16,0)</f>
        <v/>
      </c>
      <c r="AD21" s="76">
        <f>MAX($B$7:$B$141)-B21</f>
        <v/>
      </c>
    </row>
    <row r="22">
      <c r="A22" s="2">
        <f>IF(AD22=0,$AD$46, " ")</f>
        <v/>
      </c>
      <c r="B22">
        <f>SUM(V22:X22)+C22</f>
        <v/>
      </c>
      <c r="C22">
        <f>COUNTA(F22:U22)</f>
        <v/>
      </c>
      <c r="D22">
        <f>_xlfn.RANK.EQ(B22,$B$10:$B$44,0)</f>
        <v/>
      </c>
      <c r="E22" s="48" t="inlineStr">
        <is>
          <t>Gr8granpa</t>
        </is>
      </c>
      <c r="F22" s="46" t="n"/>
      <c r="G22" s="46" t="n"/>
      <c r="H22" s="46" t="n"/>
      <c r="I22" s="46" t="n"/>
      <c r="J22" s="46" t="n"/>
      <c r="K22" s="46" t="inlineStr">
        <is>
          <t xml:space="preserve"> NEW YORK GIANTS</t>
        </is>
      </c>
      <c r="L22" s="46" t="n"/>
      <c r="M22" s="46" t="n"/>
      <c r="N22" s="46" t="n"/>
      <c r="O22" s="46" t="n"/>
      <c r="P22" s="46" t="n"/>
      <c r="Q22" s="46" t="inlineStr">
        <is>
          <t xml:space="preserve"> kansas city</t>
        </is>
      </c>
      <c r="R22" s="46" t="inlineStr">
        <is>
          <t xml:space="preserve"> SAN FRANCISCO</t>
        </is>
      </c>
      <c r="S22" s="50" t="n"/>
      <c r="T22" s="50" t="inlineStr">
        <is>
          <t xml:space="preserve"> CAROLINA</t>
        </is>
      </c>
      <c r="U22" s="46" t="inlineStr">
        <is>
          <t xml:space="preserve"> atlanta</t>
        </is>
      </c>
      <c r="V22" s="50" t="inlineStr">
        <is>
          <t xml:space="preserve"> Miami</t>
        </is>
      </c>
      <c r="W22" s="46" t="inlineStr">
        <is>
          <t xml:space="preserve"> Tennessee</t>
        </is>
      </c>
      <c r="X22" s="50" t="inlineStr">
        <is>
          <t xml:space="preserve"> Los Angeles Chargers</t>
        </is>
      </c>
      <c r="Y22" s="46" t="inlineStr">
        <is>
          <t xml:space="preserve"> Carolina</t>
        </is>
      </c>
      <c r="Z22" s="1">
        <f>IFERROR(COUNTIF(F22:U22,"W")/COUNTA(F22:U22),0)</f>
        <v/>
      </c>
      <c r="AA22">
        <f>MAX($B$10:$B$44)-B22</f>
        <v/>
      </c>
      <c r="AB22" s="1">
        <f>IFERROR(B22/16,0)</f>
        <v/>
      </c>
      <c r="AD22" s="76">
        <f>MAX($B$7:$B$141)-B22</f>
        <v/>
      </c>
    </row>
    <row r="23">
      <c r="A23" s="2">
        <f>IF(AD23=0,$AD$46, " ")</f>
        <v/>
      </c>
      <c r="B23">
        <f>SUM(V23:X23)+C23</f>
        <v/>
      </c>
      <c r="C23">
        <f>COUNTA(F23:U23)</f>
        <v/>
      </c>
      <c r="D23">
        <f>_xlfn.RANK.EQ(B23,$B$10:$B$44,0)</f>
        <v/>
      </c>
      <c r="E23" s="48" t="inlineStr">
        <is>
          <t>Debe</t>
        </is>
      </c>
      <c r="F23" s="46" t="n"/>
      <c r="G23" s="46" t="n"/>
      <c r="H23" s="46" t="n"/>
      <c r="I23" s="46" t="inlineStr">
        <is>
          <t xml:space="preserve"> CHICAGO</t>
        </is>
      </c>
      <c r="J23" s="46" t="n"/>
      <c r="K23" s="46" t="inlineStr">
        <is>
          <t xml:space="preserve"> NEW YORK GIANTS</t>
        </is>
      </c>
      <c r="L23" s="46" t="n"/>
      <c r="M23" s="46" t="inlineStr">
        <is>
          <t xml:space="preserve"> green bay</t>
        </is>
      </c>
      <c r="N23" s="46" t="n"/>
      <c r="O23" s="46" t="inlineStr">
        <is>
          <t xml:space="preserve"> dallas</t>
        </is>
      </c>
      <c r="P23" s="46" t="inlineStr">
        <is>
          <t xml:space="preserve"> miami</t>
        </is>
      </c>
      <c r="Q23" s="46" t="n"/>
      <c r="R23" s="46" t="inlineStr">
        <is>
          <t xml:space="preserve"> SAN FRANCISCO</t>
        </is>
      </c>
      <c r="S23" s="50" t="n"/>
      <c r="T23" s="50" t="n"/>
      <c r="U23" s="46" t="n"/>
      <c r="V23" s="50" t="inlineStr">
        <is>
          <t xml:space="preserve"> Cleveland</t>
        </is>
      </c>
      <c r="W23" s="46" t="inlineStr">
        <is>
          <t xml:space="preserve"> New York Jets</t>
        </is>
      </c>
      <c r="X23" s="50" t="inlineStr">
        <is>
          <t xml:space="preserve"> Tampa Bay</t>
        </is>
      </c>
      <c r="Y23" s="46" t="inlineStr">
        <is>
          <t xml:space="preserve"> Pittsburgh</t>
        </is>
      </c>
      <c r="Z23" s="1">
        <f>IFERROR(COUNTIF(F23:U23,"W")/COUNTA(F23:U23),0)</f>
        <v/>
      </c>
      <c r="AA23">
        <f>MAX($B$10:$B$44)-B23</f>
        <v/>
      </c>
      <c r="AB23" s="1">
        <f>IFERROR(B23/16,0)</f>
        <v/>
      </c>
      <c r="AD23" s="76">
        <f>MAX($B$7:$B$141)-B23</f>
        <v/>
      </c>
    </row>
    <row r="24">
      <c r="A24" s="2">
        <f>IF(AD24=0,$AD$46, " ")</f>
        <v/>
      </c>
      <c r="B24">
        <f>SUM(V24:X24)+C24</f>
        <v/>
      </c>
      <c r="C24">
        <f>COUNTA(F24:U24)</f>
        <v/>
      </c>
      <c r="D24">
        <f>_xlfn.RANK.EQ(B24,$B$10:$B$44,0)</f>
        <v/>
      </c>
      <c r="E24" s="48" t="inlineStr">
        <is>
          <t>tb</t>
        </is>
      </c>
      <c r="F24" s="46" t="inlineStr">
        <is>
          <t>CLEVELAND</t>
        </is>
      </c>
      <c r="G24" s="46" t="n"/>
      <c r="H24" s="46" t="n"/>
      <c r="I24" s="46" t="inlineStr">
        <is>
          <t xml:space="preserve"> CHICAGO</t>
        </is>
      </c>
      <c r="J24" s="46" t="n"/>
      <c r="K24" s="46" t="n"/>
      <c r="L24" s="46" t="inlineStr">
        <is>
          <t xml:space="preserve"> los angeles rams</t>
        </is>
      </c>
      <c r="M24" s="46" t="n"/>
      <c r="N24" s="46" t="inlineStr">
        <is>
          <t xml:space="preserve"> tennessee</t>
        </is>
      </c>
      <c r="O24" s="46" t="inlineStr">
        <is>
          <t xml:space="preserve"> dallas</t>
        </is>
      </c>
      <c r="P24" s="46" t="inlineStr">
        <is>
          <t xml:space="preserve"> miami</t>
        </is>
      </c>
      <c r="Q24" s="46" t="inlineStr">
        <is>
          <t xml:space="preserve"> kansas city</t>
        </is>
      </c>
      <c r="R24" s="46" t="inlineStr">
        <is>
          <t xml:space="preserve"> SAN FRANCISCO</t>
        </is>
      </c>
      <c r="S24" s="50" t="inlineStr">
        <is>
          <t xml:space="preserve"> los angeles chargers</t>
        </is>
      </c>
      <c r="T24" s="50" t="n"/>
      <c r="U24" s="46" t="n"/>
      <c r="V24" s="50" t="inlineStr">
        <is>
          <t xml:space="preserve"> New England</t>
        </is>
      </c>
      <c r="W24" s="46" t="inlineStr">
        <is>
          <t xml:space="preserve"> Miami</t>
        </is>
      </c>
      <c r="X24" s="50" t="inlineStr">
        <is>
          <t xml:space="preserve"> Tennessee</t>
        </is>
      </c>
      <c r="Y24" s="46" t="inlineStr">
        <is>
          <t xml:space="preserve"> DEAD</t>
        </is>
      </c>
      <c r="Z24" s="1">
        <f>IFERROR(COUNTIF(F24:U24,"W")/COUNTA(F24:U24),0)</f>
        <v/>
      </c>
      <c r="AA24">
        <f>MAX($B$10:$B$44)-B24</f>
        <v/>
      </c>
      <c r="AB24" s="1">
        <f>IFERROR(B24/16,0)</f>
        <v/>
      </c>
      <c r="AD24" s="76">
        <f>MAX($B$7:$B$141)-B24</f>
        <v/>
      </c>
    </row>
    <row r="25">
      <c r="A25" s="2">
        <f>IF(AD25=0,$AD$46, " ")</f>
        <v/>
      </c>
      <c r="B25">
        <f>SUM(V25:X25)+C25</f>
        <v/>
      </c>
      <c r="C25">
        <f>COUNTA(F25:U25)</f>
        <v/>
      </c>
      <c r="D25">
        <f>_xlfn.RANK.EQ(B25,$B$10:$B$44,0)</f>
        <v/>
      </c>
      <c r="E25" s="48" t="inlineStr">
        <is>
          <t>Katie A</t>
        </is>
      </c>
      <c r="F25" s="46" t="n"/>
      <c r="G25" s="46" t="inlineStr">
        <is>
          <t xml:space="preserve"> indianapolis</t>
        </is>
      </c>
      <c r="H25" s="46" t="n"/>
      <c r="I25" s="46" t="inlineStr">
        <is>
          <t xml:space="preserve"> CHICAGO</t>
        </is>
      </c>
      <c r="J25" s="46" t="n"/>
      <c r="K25" s="46" t="inlineStr">
        <is>
          <t xml:space="preserve"> NEW YORK GIANTS</t>
        </is>
      </c>
      <c r="L25" s="46" t="n"/>
      <c r="M25" s="46" t="inlineStr">
        <is>
          <t xml:space="preserve"> green bay</t>
        </is>
      </c>
      <c r="N25" s="46" t="n"/>
      <c r="O25" s="46" t="inlineStr">
        <is>
          <t xml:space="preserve"> dallas</t>
        </is>
      </c>
      <c r="P25" s="46" t="n"/>
      <c r="Q25" s="46" t="inlineStr">
        <is>
          <t xml:space="preserve"> kansas city</t>
        </is>
      </c>
      <c r="R25" s="46" t="inlineStr">
        <is>
          <t xml:space="preserve"> SAN FRANCISCO</t>
        </is>
      </c>
      <c r="S25" s="50" t="n"/>
      <c r="T25" s="50" t="n"/>
      <c r="U25" s="46" t="inlineStr">
        <is>
          <t xml:space="preserve"> atlanta</t>
        </is>
      </c>
      <c r="V25" s="50" t="inlineStr">
        <is>
          <t xml:space="preserve"> New England</t>
        </is>
      </c>
      <c r="W25" s="46" t="inlineStr">
        <is>
          <t xml:space="preserve"> Tennessee</t>
        </is>
      </c>
      <c r="X25" s="50" t="inlineStr">
        <is>
          <t xml:space="preserve"> Miami</t>
        </is>
      </c>
      <c r="Y25" s="46" t="inlineStr">
        <is>
          <t xml:space="preserve"> DEAD</t>
        </is>
      </c>
      <c r="Z25" s="1">
        <f>IFERROR(COUNTIF(F25:U25,"W")/COUNTA(F25:U25),0)</f>
        <v/>
      </c>
      <c r="AA25">
        <f>MAX($B$10:$B$44)-B25</f>
        <v/>
      </c>
      <c r="AB25" s="1">
        <f>IFERROR(B25/16,0)</f>
        <v/>
      </c>
      <c r="AD25" s="76">
        <f>MAX($B$7:$B$141)-B25</f>
        <v/>
      </c>
    </row>
    <row r="26">
      <c r="A26" s="2">
        <f>IF(AD26=0,$AD$46, " ")</f>
        <v/>
      </c>
      <c r="B26">
        <f>SUM(V26:X26)+C26</f>
        <v/>
      </c>
      <c r="C26">
        <f>COUNTA(F26:U26)</f>
        <v/>
      </c>
      <c r="D26">
        <f>_xlfn.RANK.EQ(B26,$B$10:$B$44,0)</f>
        <v/>
      </c>
      <c r="E26" s="48" t="inlineStr">
        <is>
          <t>Navygolfer</t>
        </is>
      </c>
      <c r="F26" s="47" t="n"/>
      <c r="G26" s="47" t="n"/>
      <c r="H26" s="47" t="n"/>
      <c r="I26" s="47" t="inlineStr">
        <is>
          <t xml:space="preserve"> CHICAGO</t>
        </is>
      </c>
      <c r="J26" s="47" t="n"/>
      <c r="K26" s="47" t="n"/>
      <c r="L26" s="47" t="inlineStr">
        <is>
          <t xml:space="preserve"> los angeles rams</t>
        </is>
      </c>
      <c r="M26" s="47" t="inlineStr">
        <is>
          <t xml:space="preserve"> green bay</t>
        </is>
      </c>
      <c r="N26" s="47" t="n"/>
      <c r="O26" s="47" t="n"/>
      <c r="P26" s="47" t="n"/>
      <c r="Q26" s="47" t="inlineStr">
        <is>
          <t xml:space="preserve"> kansas city</t>
        </is>
      </c>
      <c r="R26" s="47" t="inlineStr">
        <is>
          <t xml:space="preserve"> SAN FRANCISCO</t>
        </is>
      </c>
      <c r="S26" s="50" t="n"/>
      <c r="T26" s="50" t="n"/>
      <c r="U26" s="46" t="n"/>
      <c r="V26" s="50" t="inlineStr">
        <is>
          <t xml:space="preserve"> Tennessee</t>
        </is>
      </c>
      <c r="W26" s="46" t="inlineStr">
        <is>
          <t xml:space="preserve"> New England</t>
        </is>
      </c>
      <c r="X26" s="50" t="inlineStr">
        <is>
          <t xml:space="preserve"> Miami</t>
        </is>
      </c>
      <c r="Y26" s="46" t="inlineStr">
        <is>
          <t xml:space="preserve"> DEAD</t>
        </is>
      </c>
      <c r="Z26" s="1">
        <f>IFERROR(COUNTIF(F26:U26,"W")/COUNTA(F26:U26),0)</f>
        <v/>
      </c>
      <c r="AA26">
        <f>MAX($B$10:$B$44)-B26</f>
        <v/>
      </c>
      <c r="AB26" s="1">
        <f>IFERROR(B26/16,0)</f>
        <v/>
      </c>
      <c r="AD26" s="76">
        <f>MAX($B$7:$B$141)-B26</f>
        <v/>
      </c>
    </row>
    <row r="27">
      <c r="A27" s="2">
        <f>IF(AD27=0,$AD$46, " ")</f>
        <v/>
      </c>
      <c r="B27">
        <f>SUM(V27:X27)+C27</f>
        <v/>
      </c>
      <c r="C27">
        <f>COUNTA(F27:U27)</f>
        <v/>
      </c>
      <c r="D27">
        <f>_xlfn.RANK.EQ(B27,$B$10:$B$44,0)</f>
        <v/>
      </c>
      <c r="E27" s="48" t="inlineStr">
        <is>
          <t>Jim T</t>
        </is>
      </c>
      <c r="F27" s="46" t="n"/>
      <c r="G27" s="46" t="n"/>
      <c r="H27" s="46" t="n"/>
      <c r="I27" s="46" t="inlineStr">
        <is>
          <t xml:space="preserve"> CHICAGO</t>
        </is>
      </c>
      <c r="J27" s="46" t="n"/>
      <c r="K27" s="46" t="inlineStr">
        <is>
          <t xml:space="preserve"> NEW YORK GIANTS</t>
        </is>
      </c>
      <c r="L27" s="46" t="inlineStr">
        <is>
          <t xml:space="preserve"> los angeles rams</t>
        </is>
      </c>
      <c r="M27" s="46" t="n"/>
      <c r="N27" s="46" t="n"/>
      <c r="O27" s="46" t="inlineStr">
        <is>
          <t xml:space="preserve"> dallas</t>
        </is>
      </c>
      <c r="P27" s="46" t="inlineStr">
        <is>
          <t xml:space="preserve"> miami</t>
        </is>
      </c>
      <c r="Q27" s="46" t="n"/>
      <c r="R27" s="46" t="inlineStr">
        <is>
          <t xml:space="preserve"> SAN FRANCISCO</t>
        </is>
      </c>
      <c r="S27" s="50" t="inlineStr">
        <is>
          <t xml:space="preserve"> los angeles chargers</t>
        </is>
      </c>
      <c r="T27" s="50" t="n"/>
      <c r="U27" s="46" t="inlineStr">
        <is>
          <t xml:space="preserve"> atlanta</t>
        </is>
      </c>
      <c r="V27" s="50" t="inlineStr">
        <is>
          <t xml:space="preserve"> Miami</t>
        </is>
      </c>
      <c r="W27" s="46" t="inlineStr">
        <is>
          <t xml:space="preserve"> Arizona</t>
        </is>
      </c>
      <c r="X27" s="50" t="inlineStr">
        <is>
          <t xml:space="preserve"> Tennessee</t>
        </is>
      </c>
      <c r="Y27" s="46" t="inlineStr">
        <is>
          <t xml:space="preserve"> DEAD</t>
        </is>
      </c>
      <c r="Z27" s="1">
        <f>IFERROR(COUNTIF(F27:U27,"W")/COUNTA(F27:U27),0)</f>
        <v/>
      </c>
      <c r="AA27">
        <f>MAX($B$10:$B$44)-B27</f>
        <v/>
      </c>
      <c r="AB27" s="1">
        <f>IFERROR(B27/16,0)</f>
        <v/>
      </c>
      <c r="AD27" s="76">
        <f>MAX($B$7:$B$141)-B27</f>
        <v/>
      </c>
    </row>
    <row r="28">
      <c r="A28" s="2">
        <f>IF(AD28=0,$AD$46, " ")</f>
        <v/>
      </c>
      <c r="B28">
        <f>SUM(V28:X28)+C28</f>
        <v/>
      </c>
      <c r="C28">
        <f>COUNTA(F28:U28)</f>
        <v/>
      </c>
      <c r="D28">
        <f>_xlfn.RANK.EQ(B28,$B$10:$B$44,0)</f>
        <v/>
      </c>
      <c r="E28" s="48" t="inlineStr">
        <is>
          <t>Vonasek Family</t>
        </is>
      </c>
      <c r="F28" s="46" t="n"/>
      <c r="G28" s="46" t="inlineStr">
        <is>
          <t xml:space="preserve"> indianapolis</t>
        </is>
      </c>
      <c r="H28" s="46" t="n"/>
      <c r="I28" s="46" t="inlineStr">
        <is>
          <t xml:space="preserve"> CHICAGO</t>
        </is>
      </c>
      <c r="J28" s="46" t="n"/>
      <c r="K28" s="46" t="n"/>
      <c r="L28" s="46" t="inlineStr">
        <is>
          <t xml:space="preserve"> los angeles rams</t>
        </is>
      </c>
      <c r="M28" s="46" t="inlineStr">
        <is>
          <t xml:space="preserve"> green bay</t>
        </is>
      </c>
      <c r="N28" s="46" t="n"/>
      <c r="O28" s="46" t="n"/>
      <c r="P28" s="46" t="n"/>
      <c r="Q28" s="46" t="inlineStr">
        <is>
          <t xml:space="preserve"> kansas city</t>
        </is>
      </c>
      <c r="R28" s="46" t="inlineStr">
        <is>
          <t xml:space="preserve"> SAN FRANCISCO</t>
        </is>
      </c>
      <c r="S28" s="50" t="n"/>
      <c r="T28" s="50" t="n"/>
      <c r="U28" s="46" t="n"/>
      <c r="V28" s="50" t="inlineStr">
        <is>
          <t xml:space="preserve"> Tennessee</t>
        </is>
      </c>
      <c r="W28" s="46" t="inlineStr">
        <is>
          <t xml:space="preserve"> Miami</t>
        </is>
      </c>
      <c r="X28" s="50" t="inlineStr">
        <is>
          <t xml:space="preserve"> Tampa Bay</t>
        </is>
      </c>
      <c r="Y28" s="46" t="inlineStr">
        <is>
          <t xml:space="preserve"> DEAD</t>
        </is>
      </c>
      <c r="Z28" s="1">
        <f>IFERROR(COUNTIF(F28:U28,"W")/COUNTA(F28:U28),0)</f>
        <v/>
      </c>
      <c r="AA28">
        <f>MAX($B$10:$B$44)-B28</f>
        <v/>
      </c>
      <c r="AB28" s="1">
        <f>IFERROR(B28/16,0)</f>
        <v/>
      </c>
      <c r="AD28" s="76">
        <f>MAX($B$7:$B$141)-B28</f>
        <v/>
      </c>
    </row>
    <row r="29">
      <c r="A29" s="2">
        <f>IF(AD29=0,$AD$46, " ")</f>
        <v/>
      </c>
      <c r="B29">
        <f>SUM(V29:X29)+C29</f>
        <v/>
      </c>
      <c r="C29">
        <f>COUNTA(F29:U29)</f>
        <v/>
      </c>
      <c r="D29">
        <f>_xlfn.RANK.EQ(B29,$B$10:$B$44,0)</f>
        <v/>
      </c>
      <c r="E29" s="48" t="inlineStr">
        <is>
          <t>The Dark Side</t>
        </is>
      </c>
      <c r="F29" s="47" t="n"/>
      <c r="G29" s="47" t="inlineStr">
        <is>
          <t xml:space="preserve"> indianapolis</t>
        </is>
      </c>
      <c r="H29" s="47" t="n"/>
      <c r="I29" s="47" t="inlineStr">
        <is>
          <t xml:space="preserve"> CHICAGO</t>
        </is>
      </c>
      <c r="J29" s="47" t="inlineStr">
        <is>
          <t xml:space="preserve"> jacksonville</t>
        </is>
      </c>
      <c r="K29" s="47" t="n"/>
      <c r="L29" s="47" t="inlineStr">
        <is>
          <t xml:space="preserve"> los angeles rams</t>
        </is>
      </c>
      <c r="M29" s="47" t="inlineStr">
        <is>
          <t xml:space="preserve"> green bay</t>
        </is>
      </c>
      <c r="N29" s="47" t="inlineStr">
        <is>
          <t xml:space="preserve"> tennessee</t>
        </is>
      </c>
      <c r="O29" s="47" t="n"/>
      <c r="P29" s="47" t="n"/>
      <c r="Q29" s="47" t="inlineStr">
        <is>
          <t xml:space="preserve"> kansas city</t>
        </is>
      </c>
      <c r="R29" s="47" t="inlineStr">
        <is>
          <t xml:space="preserve"> SAN FRANCISCO</t>
        </is>
      </c>
      <c r="S29" s="50" t="inlineStr">
        <is>
          <t xml:space="preserve"> los angeles chargers</t>
        </is>
      </c>
      <c r="T29" s="50" t="n"/>
      <c r="U29" s="46" t="n"/>
      <c r="V29" s="50" t="inlineStr">
        <is>
          <t xml:space="preserve"> Miami</t>
        </is>
      </c>
      <c r="W29" s="46" t="inlineStr">
        <is>
          <t xml:space="preserve"> Las Vegas</t>
        </is>
      </c>
      <c r="X29" s="50" t="inlineStr">
        <is>
          <t xml:space="preserve"> Carolina</t>
        </is>
      </c>
      <c r="Y29" s="46" t="inlineStr">
        <is>
          <t xml:space="preserve"> DEAD</t>
        </is>
      </c>
      <c r="Z29" s="1">
        <f>IFERROR(COUNTIF(F29:U29,"W")/COUNTA(F29:U29),0)</f>
        <v/>
      </c>
      <c r="AA29">
        <f>MAX($B$10:$B$44)-B29</f>
        <v/>
      </c>
      <c r="AB29" s="1">
        <f>IFERROR(B29/16,0)</f>
        <v/>
      </c>
      <c r="AD29" s="76">
        <f>MAX($B$7:$B$141)-B29</f>
        <v/>
      </c>
    </row>
    <row r="30">
      <c r="A30" s="2">
        <f>IF(AD30=0,$AD$46, " ")</f>
        <v/>
      </c>
      <c r="B30">
        <f>SUM(V30:X30)+C30</f>
        <v/>
      </c>
      <c r="C30">
        <f>COUNTA(F30:U30)</f>
        <v/>
      </c>
      <c r="D30">
        <f>_xlfn.RANK.EQ(B30,$B$10:$B$44,0)</f>
        <v/>
      </c>
      <c r="E30" s="48" t="inlineStr">
        <is>
          <t>Regltr5</t>
        </is>
      </c>
      <c r="F30" s="47" t="inlineStr">
        <is>
          <t>CLEVELAND</t>
        </is>
      </c>
      <c r="G30" s="47" t="inlineStr">
        <is>
          <t xml:space="preserve"> indianapolis</t>
        </is>
      </c>
      <c r="H30" s="47" t="n"/>
      <c r="I30" s="47" t="n"/>
      <c r="J30" s="47" t="n"/>
      <c r="K30" s="47" t="inlineStr">
        <is>
          <t xml:space="preserve"> NEW YORK GIANTS</t>
        </is>
      </c>
      <c r="L30" s="47" t="inlineStr">
        <is>
          <t xml:space="preserve"> los angeles rams</t>
        </is>
      </c>
      <c r="M30" s="47" t="inlineStr">
        <is>
          <t xml:space="preserve"> green bay</t>
        </is>
      </c>
      <c r="N30" s="47" t="n"/>
      <c r="O30" s="47" t="inlineStr">
        <is>
          <t xml:space="preserve"> dallas</t>
        </is>
      </c>
      <c r="P30" s="47" t="n"/>
      <c r="Q30" s="47" t="inlineStr">
        <is>
          <t xml:space="preserve"> kansas city</t>
        </is>
      </c>
      <c r="R30" s="47" t="inlineStr">
        <is>
          <t xml:space="preserve"> SAN FRANCISCO</t>
        </is>
      </c>
      <c r="S30" s="50" t="n"/>
      <c r="T30" s="50" t="n"/>
      <c r="U30" s="46" t="inlineStr">
        <is>
          <t xml:space="preserve"> atlanta</t>
        </is>
      </c>
      <c r="V30" s="50" t="inlineStr">
        <is>
          <t xml:space="preserve"> Tennessee</t>
        </is>
      </c>
      <c r="W30" s="46" t="inlineStr">
        <is>
          <t xml:space="preserve"> Miami</t>
        </is>
      </c>
      <c r="X30" s="50" t="inlineStr">
        <is>
          <t xml:space="preserve"> New England</t>
        </is>
      </c>
      <c r="Y30" s="46" t="inlineStr">
        <is>
          <t xml:space="preserve"> DEAD</t>
        </is>
      </c>
      <c r="Z30" s="1">
        <f>IFERROR(COUNTIF(F30:U30,"W")/COUNTA(F30:U30),0)</f>
        <v/>
      </c>
      <c r="AA30">
        <f>MAX($B$10:$B$44)-B30</f>
        <v/>
      </c>
      <c r="AB30" s="1">
        <f>IFERROR(B30/16,0)</f>
        <v/>
      </c>
      <c r="AD30" s="76">
        <f>MAX($B$7:$B$141)-B30</f>
        <v/>
      </c>
    </row>
    <row r="31">
      <c r="A31" s="2">
        <f>IF(AD31=0,$AD$46, " ")</f>
        <v/>
      </c>
      <c r="B31">
        <f>SUM(V31:X31)+C31</f>
        <v/>
      </c>
      <c r="C31">
        <f>COUNTA(F31:U31)</f>
        <v/>
      </c>
      <c r="D31">
        <f>_xlfn.RANK.EQ(B31,$B$10:$B$44,0)</f>
        <v/>
      </c>
      <c r="E31" s="48" t="inlineStr">
        <is>
          <t>Bob h</t>
        </is>
      </c>
      <c r="F31" s="47" t="inlineStr">
        <is>
          <t>CLEVELAND</t>
        </is>
      </c>
      <c r="G31" s="47" t="n"/>
      <c r="H31" s="47" t="n"/>
      <c r="I31" s="47" t="inlineStr">
        <is>
          <t xml:space="preserve"> CHICAGO</t>
        </is>
      </c>
      <c r="J31" s="47" t="inlineStr">
        <is>
          <t xml:space="preserve"> jacksonville</t>
        </is>
      </c>
      <c r="K31" s="47" t="inlineStr">
        <is>
          <t xml:space="preserve"> NEW YORK GIANTS</t>
        </is>
      </c>
      <c r="L31" s="47" t="n"/>
      <c r="M31" s="47" t="n"/>
      <c r="N31" s="47" t="n"/>
      <c r="O31" s="47" t="n"/>
      <c r="P31" s="47" t="n"/>
      <c r="Q31" s="47" t="inlineStr">
        <is>
          <t xml:space="preserve"> kansas city</t>
        </is>
      </c>
      <c r="R31" s="47" t="inlineStr">
        <is>
          <t xml:space="preserve"> SAN FRANCISCO</t>
        </is>
      </c>
      <c r="S31" s="50" t="n"/>
      <c r="T31" s="50" t="inlineStr">
        <is>
          <t xml:space="preserve"> CAROLINA</t>
        </is>
      </c>
      <c r="U31" s="46" t="n"/>
      <c r="V31" s="50" t="inlineStr">
        <is>
          <t xml:space="preserve"> Las Vegas</t>
        </is>
      </c>
      <c r="W31" s="46" t="inlineStr">
        <is>
          <t xml:space="preserve"> Tennessee</t>
        </is>
      </c>
      <c r="X31" s="50" t="inlineStr">
        <is>
          <t xml:space="preserve"> Arizona</t>
        </is>
      </c>
      <c r="Y31" s="46" t="inlineStr">
        <is>
          <t xml:space="preserve"> Atlanta</t>
        </is>
      </c>
      <c r="Z31" s="1">
        <f>IFERROR(COUNTIF(F31:U31,"W")/COUNTA(F31:U31),0)</f>
        <v/>
      </c>
      <c r="AA31">
        <f>MAX($B$10:$B$44)-B31</f>
        <v/>
      </c>
      <c r="AB31" s="1">
        <f>IFERROR(B31/16,0)</f>
        <v/>
      </c>
      <c r="AD31" s="76">
        <f>MAX($B$7:$B$141)-B31</f>
        <v/>
      </c>
    </row>
    <row r="32">
      <c r="A32" s="2">
        <f>IF(AD32=0,$AD$46, " ")</f>
        <v/>
      </c>
      <c r="B32">
        <f>SUM(V32:X32)+C32</f>
        <v/>
      </c>
      <c r="C32">
        <f>COUNTA(F32:U32)</f>
        <v/>
      </c>
      <c r="D32">
        <f>_xlfn.RANK.EQ(B32,$B$10:$B$44,0)</f>
        <v/>
      </c>
      <c r="E32" s="48" t="inlineStr">
        <is>
          <t>cuetop</t>
        </is>
      </c>
      <c r="F32" s="47" t="inlineStr">
        <is>
          <t>CLEVELAND</t>
        </is>
      </c>
      <c r="G32" s="47" t="inlineStr">
        <is>
          <t xml:space="preserve"> indianapolis</t>
        </is>
      </c>
      <c r="H32" s="47" t="n"/>
      <c r="I32" s="47" t="inlineStr">
        <is>
          <t xml:space="preserve"> CHICAGO</t>
        </is>
      </c>
      <c r="J32" s="47" t="n"/>
      <c r="K32" s="47" t="n"/>
      <c r="L32" s="47" t="n"/>
      <c r="M32" s="47" t="inlineStr">
        <is>
          <t xml:space="preserve"> green bay</t>
        </is>
      </c>
      <c r="N32" s="47" t="n"/>
      <c r="O32" s="47" t="n"/>
      <c r="P32" s="47" t="n"/>
      <c r="Q32" s="47" t="inlineStr">
        <is>
          <t xml:space="preserve"> kansas city</t>
        </is>
      </c>
      <c r="R32" s="47" t="inlineStr">
        <is>
          <t xml:space="preserve"> SAN FRANCISCO</t>
        </is>
      </c>
      <c r="S32" s="50" t="n"/>
      <c r="T32" s="50" t="n"/>
      <c r="U32" s="46" t="inlineStr">
        <is>
          <t xml:space="preserve"> atlanta</t>
        </is>
      </c>
      <c r="V32" s="50" t="inlineStr">
        <is>
          <t xml:space="preserve"> Miami</t>
        </is>
      </c>
      <c r="W32" s="46" t="inlineStr">
        <is>
          <t xml:space="preserve"> New England</t>
        </is>
      </c>
      <c r="X32" s="50" t="inlineStr">
        <is>
          <t xml:space="preserve"> Tennessee</t>
        </is>
      </c>
      <c r="Y32" s="46" t="inlineStr">
        <is>
          <t xml:space="preserve"> DEAD</t>
        </is>
      </c>
      <c r="Z32" s="1">
        <f>IFERROR(COUNTIF(F32:U32,"W")/COUNTA(F32:U32),0)</f>
        <v/>
      </c>
      <c r="AA32">
        <f>MAX($B$10:$B$44)-B32</f>
        <v/>
      </c>
      <c r="AB32" s="1">
        <f>IFERROR(B32/16,0)</f>
        <v/>
      </c>
      <c r="AD32" s="76">
        <f>MAX($B$7:$B$141)-B32</f>
        <v/>
      </c>
    </row>
    <row r="33">
      <c r="A33" s="2">
        <f>IF(AD33=0,$AD$46, " ")</f>
        <v/>
      </c>
      <c r="B33">
        <f>SUM(V33:X33)+C33</f>
        <v/>
      </c>
      <c r="C33">
        <f>COUNTA(F33:U33)</f>
        <v/>
      </c>
      <c r="D33">
        <f>_xlfn.RANK.EQ(B33,$B$10:$B$44,0)</f>
        <v/>
      </c>
      <c r="E33" s="48" t="inlineStr">
        <is>
          <t>Samsaunt</t>
        </is>
      </c>
      <c r="F33" s="47" t="n"/>
      <c r="G33" s="47" t="inlineStr">
        <is>
          <t xml:space="preserve"> indianapolis</t>
        </is>
      </c>
      <c r="H33" s="47" t="n"/>
      <c r="I33" s="47" t="inlineStr">
        <is>
          <t xml:space="preserve"> CHICAGO</t>
        </is>
      </c>
      <c r="J33" s="47" t="n"/>
      <c r="K33" s="47" t="n"/>
      <c r="L33" s="47" t="inlineStr">
        <is>
          <t xml:space="preserve"> los angeles rams</t>
        </is>
      </c>
      <c r="M33" s="47" t="inlineStr">
        <is>
          <t xml:space="preserve"> green bay</t>
        </is>
      </c>
      <c r="N33" s="47" t="inlineStr">
        <is>
          <t xml:space="preserve"> tennessee</t>
        </is>
      </c>
      <c r="O33" s="47" t="inlineStr">
        <is>
          <t xml:space="preserve"> dallas</t>
        </is>
      </c>
      <c r="P33" s="47" t="n"/>
      <c r="Q33" s="47" t="inlineStr">
        <is>
          <t xml:space="preserve"> kansas city</t>
        </is>
      </c>
      <c r="R33" s="47" t="inlineStr">
        <is>
          <t xml:space="preserve"> SAN FRANCISCO</t>
        </is>
      </c>
      <c r="S33" s="50" t="inlineStr">
        <is>
          <t xml:space="preserve"> los angeles chargers</t>
        </is>
      </c>
      <c r="T33" s="50" t="n"/>
      <c r="U33" s="46" t="n"/>
      <c r="V33" s="50" t="inlineStr">
        <is>
          <t xml:space="preserve"> Tennessee</t>
        </is>
      </c>
      <c r="W33" s="46" t="inlineStr">
        <is>
          <t xml:space="preserve"> Los Angeles Chargers</t>
        </is>
      </c>
      <c r="X33" s="50" t="inlineStr">
        <is>
          <t xml:space="preserve"> New York Jets</t>
        </is>
      </c>
      <c r="Y33" s="46" t="inlineStr">
        <is>
          <t xml:space="preserve"> DEAD</t>
        </is>
      </c>
      <c r="Z33" s="1">
        <f>IFERROR(COUNTIF(F33:U33,"W")/COUNTA(F33:U33),0)</f>
        <v/>
      </c>
      <c r="AA33">
        <f>MAX($B$10:$B$44)-B33</f>
        <v/>
      </c>
      <c r="AB33" s="1">
        <f>IFERROR(B33/16,0)</f>
        <v/>
      </c>
      <c r="AD33" s="76">
        <f>MAX($B$7:$B$141)-B33</f>
        <v/>
      </c>
    </row>
    <row r="34">
      <c r="A34" s="2">
        <f>IF(AD34=0,$AD$46, " ")</f>
        <v/>
      </c>
      <c r="B34">
        <f>SUM(V34:X34)+C34</f>
        <v/>
      </c>
      <c r="C34">
        <f>COUNTA(F34:U34)</f>
        <v/>
      </c>
      <c r="D34">
        <f>_xlfn.RANK.EQ(B34,$B$10:$B$44,0)</f>
        <v/>
      </c>
      <c r="E34" s="48" t="inlineStr">
        <is>
          <t>Ian</t>
        </is>
      </c>
      <c r="F34" s="47" t="n"/>
      <c r="G34" s="46" t="inlineStr">
        <is>
          <t xml:space="preserve"> indianapolis</t>
        </is>
      </c>
      <c r="H34" s="46" t="n"/>
      <c r="I34" s="46" t="n"/>
      <c r="J34" s="46" t="inlineStr">
        <is>
          <t xml:space="preserve"> jacksonville</t>
        </is>
      </c>
      <c r="K34" s="46" t="inlineStr">
        <is>
          <t xml:space="preserve"> NEW YORK GIANTS</t>
        </is>
      </c>
      <c r="L34" s="46" t="n"/>
      <c r="M34" s="46" t="inlineStr">
        <is>
          <t xml:space="preserve"> green bay</t>
        </is>
      </c>
      <c r="N34" s="46" t="n"/>
      <c r="O34" s="46" t="inlineStr">
        <is>
          <t xml:space="preserve"> dallas</t>
        </is>
      </c>
      <c r="P34" s="46" t="n"/>
      <c r="Q34" s="46" t="n"/>
      <c r="R34" s="46" t="n"/>
      <c r="S34" s="50" t="n"/>
      <c r="T34" s="50" t="n"/>
      <c r="U34" s="46" t="n"/>
      <c r="V34" s="50" t="inlineStr">
        <is>
          <t xml:space="preserve"> Tennessee</t>
        </is>
      </c>
      <c r="W34" s="46" t="inlineStr">
        <is>
          <t xml:space="preserve"> New England</t>
        </is>
      </c>
      <c r="X34" s="50" t="inlineStr">
        <is>
          <t xml:space="preserve"> Atlanta</t>
        </is>
      </c>
      <c r="Y34" s="46" t="inlineStr">
        <is>
          <t xml:space="preserve"> DEAD</t>
        </is>
      </c>
      <c r="Z34" s="1">
        <f>IFERROR(COUNTIF(F34:U34,"W")/COUNTA(F34:U34),0)</f>
        <v/>
      </c>
      <c r="AA34">
        <f>MAX($B$10:$B$44)-B34</f>
        <v/>
      </c>
      <c r="AB34" s="1">
        <f>IFERROR(B34/16,0)</f>
        <v/>
      </c>
      <c r="AD34" s="76">
        <f>MAX($B$7:$B$141)-B34</f>
        <v/>
      </c>
    </row>
    <row r="35">
      <c r="A35" s="2">
        <f>IF(AD35=0,$AD$46, " ")</f>
        <v/>
      </c>
      <c r="B35">
        <f>SUM(V35:X35)+C35</f>
        <v/>
      </c>
      <c r="C35">
        <f>COUNTA(F35:U35)</f>
        <v/>
      </c>
      <c r="D35">
        <f>_xlfn.RANK.EQ(B35,$B$10:$B$44,0)</f>
        <v/>
      </c>
      <c r="E35" s="48" t="inlineStr">
        <is>
          <t>Kit</t>
        </is>
      </c>
      <c r="F35" s="46" t="inlineStr">
        <is>
          <t>CLEVELAND</t>
        </is>
      </c>
      <c r="G35" s="46" t="inlineStr">
        <is>
          <t xml:space="preserve"> indianapolis</t>
        </is>
      </c>
      <c r="H35" s="46" t="n"/>
      <c r="I35" s="46" t="inlineStr">
        <is>
          <t xml:space="preserve"> CHICAGO</t>
        </is>
      </c>
      <c r="J35" s="46" t="n"/>
      <c r="K35" s="46" t="n"/>
      <c r="L35" s="46" t="n"/>
      <c r="M35" s="46" t="inlineStr">
        <is>
          <t xml:space="preserve"> green bay</t>
        </is>
      </c>
      <c r="N35" s="46" t="n"/>
      <c r="O35" s="46" t="n"/>
      <c r="P35" s="46" t="n"/>
      <c r="Q35" s="46" t="inlineStr">
        <is>
          <t xml:space="preserve"> kansas city</t>
        </is>
      </c>
      <c r="R35" s="46" t="inlineStr">
        <is>
          <t xml:space="preserve"> SAN FRANCISCO</t>
        </is>
      </c>
      <c r="S35" s="50" t="n"/>
      <c r="T35" s="50" t="n"/>
      <c r="U35" s="46" t="n"/>
      <c r="V35" s="50" t="inlineStr">
        <is>
          <t xml:space="preserve"> Miami</t>
        </is>
      </c>
      <c r="W35" s="46" t="inlineStr">
        <is>
          <t xml:space="preserve"> Tennessee</t>
        </is>
      </c>
      <c r="X35" s="50" t="inlineStr">
        <is>
          <t xml:space="preserve"> Detroit</t>
        </is>
      </c>
      <c r="Y35" s="46" t="inlineStr">
        <is>
          <t xml:space="preserve"> DEAD</t>
        </is>
      </c>
      <c r="Z35" s="1">
        <f>IFERROR(COUNTIF(F35:U35,"W")/COUNTA(F35:U35),0)</f>
        <v/>
      </c>
      <c r="AA35">
        <f>MAX($B$10:$B$44)-B35</f>
        <v/>
      </c>
      <c r="AB35" s="1">
        <f>IFERROR(B35/16,0)</f>
        <v/>
      </c>
      <c r="AD35" s="76">
        <f>MAX($B$7:$B$141)-B35</f>
        <v/>
      </c>
    </row>
    <row r="36">
      <c r="A36" s="2">
        <f>IF(AD36=0,$AD$46, " ")</f>
        <v/>
      </c>
      <c r="B36">
        <f>SUM(V36:X36)+C36</f>
        <v/>
      </c>
      <c r="C36">
        <f>COUNTA(F36:U36)</f>
        <v/>
      </c>
      <c r="D36">
        <f>_xlfn.RANK.EQ(B36,$B$10:$B$44,0)</f>
        <v/>
      </c>
      <c r="E36" s="48" t="inlineStr">
        <is>
          <t>meatloaf</t>
        </is>
      </c>
      <c r="F36" s="46" t="inlineStr">
        <is>
          <t>CLEVELAND</t>
        </is>
      </c>
      <c r="G36" s="46" t="inlineStr">
        <is>
          <t xml:space="preserve"> indianapolis</t>
        </is>
      </c>
      <c r="H36" s="46" t="n"/>
      <c r="I36" s="46" t="inlineStr">
        <is>
          <t xml:space="preserve"> CHICAGO</t>
        </is>
      </c>
      <c r="J36" s="46" t="n"/>
      <c r="K36" s="47" t="inlineStr">
        <is>
          <t xml:space="preserve"> NEW YORK GIANTS</t>
        </is>
      </c>
      <c r="L36" s="46" t="inlineStr">
        <is>
          <t xml:space="preserve"> los angeles rams</t>
        </is>
      </c>
      <c r="M36" s="46" t="inlineStr">
        <is>
          <t xml:space="preserve"> green bay</t>
        </is>
      </c>
      <c r="N36" s="46" t="inlineStr">
        <is>
          <t xml:space="preserve"> tennessee</t>
        </is>
      </c>
      <c r="O36" s="46" t="n"/>
      <c r="P36" s="46" t="n"/>
      <c r="Q36" s="46" t="inlineStr">
        <is>
          <t xml:space="preserve"> kansas city</t>
        </is>
      </c>
      <c r="R36" s="46" t="inlineStr">
        <is>
          <t xml:space="preserve"> SAN FRANCISCO</t>
        </is>
      </c>
      <c r="S36" s="50" t="inlineStr">
        <is>
          <t xml:space="preserve"> los angeles chargers</t>
        </is>
      </c>
      <c r="T36" s="50" t="n"/>
      <c r="U36" s="46" t="n"/>
      <c r="V36" s="50" t="inlineStr">
        <is>
          <t xml:space="preserve"> New England</t>
        </is>
      </c>
      <c r="W36" s="46" t="inlineStr">
        <is>
          <t xml:space="preserve"> Las Vegas</t>
        </is>
      </c>
      <c r="X36" s="50" t="inlineStr">
        <is>
          <t xml:space="preserve"> Tampa Bay</t>
        </is>
      </c>
      <c r="Y36" s="46" t="inlineStr">
        <is>
          <t xml:space="preserve"> DEAD</t>
        </is>
      </c>
      <c r="Z36" s="1">
        <f>IFERROR(COUNTIF(F36:U36,"W")/COUNTA(F36:U36),0)</f>
        <v/>
      </c>
      <c r="AA36">
        <f>MAX($B$10:$B$44)-B36</f>
        <v/>
      </c>
      <c r="AB36" s="1">
        <f>IFERROR(B36/16,0)</f>
        <v/>
      </c>
      <c r="AD36" s="76">
        <f>MAX($B$7:$B$141)-B36</f>
        <v/>
      </c>
    </row>
    <row r="37">
      <c r="A37" s="2">
        <f>IF(AD37=0,$AD$46, " ")</f>
        <v/>
      </c>
      <c r="B37">
        <f>SUM(V37:X37)+C37</f>
        <v/>
      </c>
      <c r="C37">
        <f>COUNTA(F37:U37)</f>
        <v/>
      </c>
      <c r="D37">
        <f>_xlfn.RANK.EQ(B37,$B$10:$B$44,0)</f>
        <v/>
      </c>
      <c r="E37" s="48" t="inlineStr">
        <is>
          <t>CraneGuy936</t>
        </is>
      </c>
      <c r="F37" s="47" t="n"/>
      <c r="G37" s="47" t="inlineStr">
        <is>
          <t xml:space="preserve"> indianapolis</t>
        </is>
      </c>
      <c r="H37" s="47" t="n"/>
      <c r="I37" s="47" t="inlineStr">
        <is>
          <t xml:space="preserve"> CHICAGO</t>
        </is>
      </c>
      <c r="J37" s="47" t="n"/>
      <c r="K37" s="47" t="n"/>
      <c r="L37" s="47" t="inlineStr">
        <is>
          <t xml:space="preserve"> los angeles rams</t>
        </is>
      </c>
      <c r="M37" s="47" t="inlineStr">
        <is>
          <t xml:space="preserve"> green bay</t>
        </is>
      </c>
      <c r="N37" s="47" t="n"/>
      <c r="O37" s="47" t="inlineStr">
        <is>
          <t xml:space="preserve"> dallas</t>
        </is>
      </c>
      <c r="P37" s="47" t="n"/>
      <c r="Q37" s="47" t="inlineStr">
        <is>
          <t xml:space="preserve"> kansas city</t>
        </is>
      </c>
      <c r="R37" s="47" t="inlineStr">
        <is>
          <t xml:space="preserve"> SAN FRANCISCO</t>
        </is>
      </c>
      <c r="S37" s="50" t="n"/>
      <c r="T37" s="50" t="n"/>
      <c r="U37" s="46" t="n"/>
      <c r="V37" s="50" t="inlineStr">
        <is>
          <t xml:space="preserve"> New England</t>
        </is>
      </c>
      <c r="W37" s="46" t="inlineStr">
        <is>
          <t xml:space="preserve"> Miami</t>
        </is>
      </c>
      <c r="X37" s="50" t="inlineStr">
        <is>
          <t xml:space="preserve"> Tennessee</t>
        </is>
      </c>
      <c r="Y37" s="46" t="inlineStr">
        <is>
          <t xml:space="preserve"> DEAD</t>
        </is>
      </c>
      <c r="Z37" s="1">
        <f>IFERROR(COUNTIF(F37:U37,"W")/COUNTA(F37:U37),0)</f>
        <v/>
      </c>
      <c r="AA37">
        <f>MAX($B$10:$B$44)-B37</f>
        <v/>
      </c>
      <c r="AB37" s="1">
        <f>IFERROR(B37/16,0)</f>
        <v/>
      </c>
      <c r="AD37" s="76">
        <f>MAX($B$7:$B$141)-B37</f>
        <v/>
      </c>
    </row>
    <row r="38">
      <c r="A38" s="2">
        <f>IF(AD38=0,$AD$46, " ")</f>
        <v/>
      </c>
      <c r="B38">
        <f>SUM(V38:X38)+C38</f>
        <v/>
      </c>
      <c r="C38">
        <f>COUNTA(F38:U38)</f>
        <v/>
      </c>
      <c r="D38">
        <f>_xlfn.RANK.EQ(B38,$B$10:$B$44,0)</f>
        <v/>
      </c>
      <c r="E38" s="49" t="inlineStr">
        <is>
          <t>Mrp4real</t>
        </is>
      </c>
      <c r="F38" s="47" t="inlineStr">
        <is>
          <t>CLEVELAND</t>
        </is>
      </c>
      <c r="G38" s="47" t="inlineStr">
        <is>
          <t xml:space="preserve"> indianapolis</t>
        </is>
      </c>
      <c r="H38" s="47" t="n"/>
      <c r="I38" s="47" t="inlineStr">
        <is>
          <t xml:space="preserve"> CHICAGO</t>
        </is>
      </c>
      <c r="J38" s="47" t="inlineStr">
        <is>
          <t xml:space="preserve"> jacksonville</t>
        </is>
      </c>
      <c r="K38" s="47" t="n"/>
      <c r="L38" s="47" t="inlineStr">
        <is>
          <t xml:space="preserve"> los angeles rams</t>
        </is>
      </c>
      <c r="M38" s="47" t="inlineStr">
        <is>
          <t xml:space="preserve"> green bay</t>
        </is>
      </c>
      <c r="N38" s="47" t="n"/>
      <c r="O38" s="47" t="n"/>
      <c r="P38" s="47" t="n"/>
      <c r="Q38" s="47" t="inlineStr">
        <is>
          <t xml:space="preserve"> kansas city</t>
        </is>
      </c>
      <c r="R38" s="47" t="inlineStr">
        <is>
          <t xml:space="preserve"> SAN FRANCISCO</t>
        </is>
      </c>
      <c r="S38" s="50" t="n"/>
      <c r="T38" s="50" t="n"/>
      <c r="U38" s="46" t="n"/>
      <c r="V38" s="50" t="inlineStr">
        <is>
          <t xml:space="preserve"> New York Jets</t>
        </is>
      </c>
      <c r="W38" s="46" t="inlineStr">
        <is>
          <t xml:space="preserve"> Los Angeles Chargers</t>
        </is>
      </c>
      <c r="X38" s="50" t="inlineStr">
        <is>
          <t xml:space="preserve"> Jacksonville</t>
        </is>
      </c>
      <c r="Y38" s="46" t="inlineStr">
        <is>
          <t xml:space="preserve"> DEAD</t>
        </is>
      </c>
      <c r="Z38" s="1">
        <f>IFERROR(COUNTIF(F38:U38,"W")/COUNTA(F38:U38),0)</f>
        <v/>
      </c>
      <c r="AA38">
        <f>MAX($B$10:$B$44)-B38</f>
        <v/>
      </c>
      <c r="AB38" s="1">
        <f>IFERROR(B38/16,0)</f>
        <v/>
      </c>
      <c r="AD38" s="76">
        <f>MAX($B$7:$B$141)-B38</f>
        <v/>
      </c>
    </row>
    <row r="39">
      <c r="A39" s="2">
        <f>IF(AD39=0,$AD$46, " ")</f>
        <v/>
      </c>
      <c r="B39">
        <f>SUM(V39:X39)+C39</f>
        <v/>
      </c>
      <c r="C39">
        <f>COUNTA(F39:U39)</f>
        <v/>
      </c>
      <c r="D39">
        <f>_xlfn.RANK.EQ(B39,$B$10:$B$44,0)</f>
        <v/>
      </c>
      <c r="E39" s="49" t="inlineStr">
        <is>
          <t>Ddupuy</t>
        </is>
      </c>
      <c r="F39" s="51" t="n"/>
      <c r="G39" s="51" t="inlineStr">
        <is>
          <t xml:space="preserve"> indianapolis</t>
        </is>
      </c>
      <c r="H39" s="51" t="n"/>
      <c r="I39" s="51" t="inlineStr">
        <is>
          <t xml:space="preserve"> CHICAGO</t>
        </is>
      </c>
      <c r="J39" s="51" t="inlineStr">
        <is>
          <t xml:space="preserve"> jacksonville</t>
        </is>
      </c>
      <c r="K39" s="51" t="n"/>
      <c r="L39" s="51" t="n"/>
      <c r="M39" s="51" t="n"/>
      <c r="N39" s="51" t="n"/>
      <c r="O39" s="51" t="n"/>
      <c r="P39" s="51" t="inlineStr">
        <is>
          <t xml:space="preserve"> miami</t>
        </is>
      </c>
      <c r="Q39" s="51" t="inlineStr">
        <is>
          <t xml:space="preserve"> kansas city</t>
        </is>
      </c>
      <c r="R39" s="51" t="inlineStr">
        <is>
          <t xml:space="preserve"> SAN FRANCISCO</t>
        </is>
      </c>
      <c r="S39" s="50" t="n"/>
      <c r="T39" s="50" t="n"/>
      <c r="U39" s="50" t="inlineStr">
        <is>
          <t xml:space="preserve"> atlanta</t>
        </is>
      </c>
      <c r="V39" s="50" t="inlineStr">
        <is>
          <t>Tennessee</t>
        </is>
      </c>
      <c r="W39" s="50" t="n">
        <v>1</v>
      </c>
      <c r="X39" s="50" t="inlineStr">
        <is>
          <t>New England</t>
        </is>
      </c>
      <c r="Y39" s="50" t="inlineStr">
        <is>
          <t xml:space="preserve"> DEAD</t>
        </is>
      </c>
      <c r="Z39" s="1">
        <f>IFERROR(COUNTIF(F39:U39,"W")/COUNTA(F39:U39),0)</f>
        <v/>
      </c>
      <c r="AA39">
        <f>MAX($B$10:$B$44)-B39</f>
        <v/>
      </c>
      <c r="AB39" s="1">
        <f>IFERROR(B39/16,0)</f>
        <v/>
      </c>
      <c r="AD39" s="76">
        <f>MAX($B$7:$B$141)-B39</f>
        <v/>
      </c>
    </row>
    <row r="40">
      <c r="A40" s="2">
        <f>IF(AD40=0,$AD$46, " ")</f>
        <v/>
      </c>
      <c r="B40">
        <f>SUM(V40:X40)+C40</f>
        <v/>
      </c>
      <c r="C40">
        <f>COUNTA(F40:U40)</f>
        <v/>
      </c>
      <c r="D40">
        <f>_xlfn.RANK.EQ(B40,$B$10:$B$44,0)</f>
        <v/>
      </c>
      <c r="E40" s="49" t="inlineStr">
        <is>
          <t>Rusted Ox</t>
        </is>
      </c>
      <c r="F40" s="50" t="n"/>
      <c r="G40" s="50" t="n"/>
      <c r="H40" s="50" t="n"/>
      <c r="I40" s="50" t="inlineStr">
        <is>
          <t xml:space="preserve"> CHICAGO</t>
        </is>
      </c>
      <c r="J40" s="50" t="n"/>
      <c r="K40" s="50" t="inlineStr">
        <is>
          <t xml:space="preserve"> NEW YORK GIANTS</t>
        </is>
      </c>
      <c r="L40" s="50" t="n"/>
      <c r="M40" s="50" t="n"/>
      <c r="N40" s="50" t="n"/>
      <c r="O40" s="50" t="inlineStr">
        <is>
          <t xml:space="preserve"> dallas</t>
        </is>
      </c>
      <c r="P40" s="50" t="n"/>
      <c r="Q40" s="50" t="inlineStr">
        <is>
          <t xml:space="preserve"> kansas city</t>
        </is>
      </c>
      <c r="R40" s="50" t="inlineStr">
        <is>
          <t xml:space="preserve"> SAN FRANCISCO</t>
        </is>
      </c>
      <c r="S40" s="50" t="inlineStr">
        <is>
          <t xml:space="preserve"> los angeles chargers</t>
        </is>
      </c>
      <c r="T40" s="50" t="n"/>
      <c r="U40" s="46" t="n"/>
      <c r="V40" s="50" t="inlineStr">
        <is>
          <t xml:space="preserve"> Tennessee</t>
        </is>
      </c>
      <c r="W40" s="46" t="inlineStr">
        <is>
          <t xml:space="preserve"> Miami</t>
        </is>
      </c>
      <c r="X40" s="50" t="inlineStr">
        <is>
          <t xml:space="preserve"> New England</t>
        </is>
      </c>
      <c r="Y40" s="46" t="inlineStr">
        <is>
          <t xml:space="preserve"> DEAD</t>
        </is>
      </c>
      <c r="Z40" s="1">
        <f>IFERROR(COUNTIF(F40:U40,"W")/COUNTA(F40:U40),0)</f>
        <v/>
      </c>
      <c r="AA40">
        <f>MAX($B$10:$B$44)-B40</f>
        <v/>
      </c>
      <c r="AB40" s="1">
        <f>IFERROR(B40/16,0)</f>
        <v/>
      </c>
      <c r="AD40" s="76">
        <f>MAX($B$7:$B$141)-B40</f>
        <v/>
      </c>
    </row>
    <row r="41">
      <c r="A41" s="2">
        <f>IF(AD41=0,$AD$46, " ")</f>
        <v/>
      </c>
      <c r="B41">
        <f>SUM(V41:X41)+C41</f>
        <v/>
      </c>
      <c r="C41">
        <f>COUNTA(F41:U41)</f>
        <v/>
      </c>
      <c r="D41">
        <f>_xlfn.RANK.EQ(B41,$B$10:$B$44,0)</f>
        <v/>
      </c>
      <c r="E41" s="49" t="inlineStr">
        <is>
          <t>MayeDay! MayeDay!</t>
        </is>
      </c>
      <c r="F41" s="50" t="inlineStr">
        <is>
          <t>CLEVELAND</t>
        </is>
      </c>
      <c r="G41" s="50" t="inlineStr">
        <is>
          <t xml:space="preserve"> indianapolis</t>
        </is>
      </c>
      <c r="H41" s="50" t="inlineStr">
        <is>
          <t xml:space="preserve"> new england</t>
        </is>
      </c>
      <c r="I41" s="50" t="n"/>
      <c r="J41" s="50" t="inlineStr">
        <is>
          <t xml:space="preserve"> jacksonville</t>
        </is>
      </c>
      <c r="K41" s="50" t="inlineStr">
        <is>
          <t xml:space="preserve"> NEW YORK GIANTS</t>
        </is>
      </c>
      <c r="L41" s="50" t="n"/>
      <c r="M41" s="50" t="n"/>
      <c r="N41" s="50" t="n"/>
      <c r="O41" s="50" t="n"/>
      <c r="P41" s="50" t="n"/>
      <c r="Q41" s="50" t="inlineStr">
        <is>
          <t xml:space="preserve"> kansas city</t>
        </is>
      </c>
      <c r="R41" s="50" t="inlineStr">
        <is>
          <t xml:space="preserve"> SAN FRANCISCO</t>
        </is>
      </c>
      <c r="S41" s="50" t="inlineStr">
        <is>
          <t xml:space="preserve"> los angeles chargers</t>
        </is>
      </c>
      <c r="T41" s="50" t="n"/>
      <c r="U41" s="50" t="n"/>
      <c r="V41" s="50" t="inlineStr">
        <is>
          <t xml:space="preserve"> Tennessee</t>
        </is>
      </c>
      <c r="W41" s="50" t="inlineStr">
        <is>
          <t xml:space="preserve"> Miami</t>
        </is>
      </c>
      <c r="X41" s="50" t="inlineStr">
        <is>
          <t xml:space="preserve"> Carolina</t>
        </is>
      </c>
      <c r="Y41" s="50" t="inlineStr">
        <is>
          <t xml:space="preserve"> DEAD</t>
        </is>
      </c>
      <c r="Z41" s="1">
        <f>IFERROR(COUNTIF(F41:U41,"W")/COUNTA(F41:U41),0)</f>
        <v/>
      </c>
      <c r="AA41">
        <f>MAX($B$10:$B$44)-B41</f>
        <v/>
      </c>
      <c r="AB41" s="1">
        <f>IFERROR(B41/16,0)</f>
        <v/>
      </c>
      <c r="AD41" s="76">
        <f>MAX($B$7:$B$141)-B41</f>
        <v/>
      </c>
    </row>
    <row r="42">
      <c r="A42" s="2">
        <f>IF(AD42=0,$AD$46, " ")</f>
        <v/>
      </c>
      <c r="B42">
        <f>SUM(V42:X42)+C42</f>
        <v/>
      </c>
      <c r="C42">
        <f>COUNTA(F42:U42)</f>
        <v/>
      </c>
      <c r="D42">
        <f>_xlfn.RANK.EQ(B42,$B$10:$B$44,0)</f>
        <v/>
      </c>
      <c r="E42" s="49" t="inlineStr">
        <is>
          <t>TheDogfather</t>
        </is>
      </c>
      <c r="F42" s="50" t="n"/>
      <c r="G42" s="50" t="inlineStr">
        <is>
          <t xml:space="preserve"> indianapolis</t>
        </is>
      </c>
      <c r="H42" s="50" t="n"/>
      <c r="I42" s="50" t="inlineStr">
        <is>
          <t xml:space="preserve"> CHICAGO</t>
        </is>
      </c>
      <c r="J42" s="50" t="inlineStr">
        <is>
          <t xml:space="preserve"> jacksonville</t>
        </is>
      </c>
      <c r="K42" s="50" t="n"/>
      <c r="L42" s="50" t="inlineStr">
        <is>
          <t xml:space="preserve"> los angeles rams</t>
        </is>
      </c>
      <c r="M42" s="50" t="inlineStr">
        <is>
          <t xml:space="preserve"> green bay</t>
        </is>
      </c>
      <c r="N42" s="50" t="n"/>
      <c r="O42" s="50" t="inlineStr">
        <is>
          <t xml:space="preserve"> dallas</t>
        </is>
      </c>
      <c r="P42" s="50" t="n"/>
      <c r="Q42" s="50" t="inlineStr">
        <is>
          <t xml:space="preserve"> kansas city</t>
        </is>
      </c>
      <c r="R42" s="50" t="inlineStr">
        <is>
          <t xml:space="preserve"> SAN FRANCISCO</t>
        </is>
      </c>
      <c r="S42" s="50" t="n"/>
      <c r="T42" s="50" t="n"/>
      <c r="U42" s="50" t="n"/>
      <c r="V42" s="50" t="inlineStr">
        <is>
          <t xml:space="preserve"> Las Vegas</t>
        </is>
      </c>
      <c r="W42" s="50" t="inlineStr">
        <is>
          <t xml:space="preserve"> Tennessee</t>
        </is>
      </c>
      <c r="X42" s="50" t="inlineStr">
        <is>
          <t xml:space="preserve"> Miami</t>
        </is>
      </c>
      <c r="Y42" s="50" t="inlineStr">
        <is>
          <t xml:space="preserve"> DEAD</t>
        </is>
      </c>
      <c r="Z42" s="1">
        <f>IFERROR(COUNTIF(F42:U42,"W")/COUNTA(F42:U42),0)</f>
        <v/>
      </c>
      <c r="AA42">
        <f>MAX($B$10:$B$44)-B42</f>
        <v/>
      </c>
      <c r="AB42" s="1">
        <f>IFERROR(B42/16,0)</f>
        <v/>
      </c>
      <c r="AD42" s="76">
        <f>MAX($B$7:$B$141)-B42</f>
        <v/>
      </c>
    </row>
    <row r="43">
      <c r="A43" s="2">
        <f>IF(AD43=0,$AD$46, " ")</f>
        <v/>
      </c>
      <c r="B43">
        <f>SUM(V43:X43)+C43</f>
        <v/>
      </c>
      <c r="C43">
        <f>COUNTA(F43:U43)</f>
        <v/>
      </c>
      <c r="D43">
        <f>_xlfn.RANK.EQ(B43,$B$10:$B$44,0)</f>
        <v/>
      </c>
      <c r="E43" s="49" t="inlineStr">
        <is>
          <t>Ryan S</t>
        </is>
      </c>
      <c r="F43" s="50" t="n"/>
      <c r="G43" s="50" t="n"/>
      <c r="H43" s="50" t="inlineStr">
        <is>
          <t xml:space="preserve"> new england</t>
        </is>
      </c>
      <c r="I43" s="50" t="inlineStr">
        <is>
          <t xml:space="preserve"> CHICAGO</t>
        </is>
      </c>
      <c r="J43" s="50" t="inlineStr">
        <is>
          <t xml:space="preserve"> jacksonville</t>
        </is>
      </c>
      <c r="K43" s="50" t="n"/>
      <c r="L43" s="50" t="inlineStr">
        <is>
          <t xml:space="preserve"> los angeles rams</t>
        </is>
      </c>
      <c r="M43" s="50" t="inlineStr">
        <is>
          <t xml:space="preserve"> green bay</t>
        </is>
      </c>
      <c r="N43" s="50" t="n"/>
      <c r="O43" s="50" t="inlineStr">
        <is>
          <t xml:space="preserve"> dallas</t>
        </is>
      </c>
      <c r="P43" s="50" t="n"/>
      <c r="Q43" s="50" t="inlineStr">
        <is>
          <t xml:space="preserve"> kansas city</t>
        </is>
      </c>
      <c r="R43" s="50" t="inlineStr">
        <is>
          <t xml:space="preserve"> SAN FRANCISCO</t>
        </is>
      </c>
      <c r="S43" s="50" t="inlineStr">
        <is>
          <t xml:space="preserve"> los angeles chargers</t>
        </is>
      </c>
      <c r="T43" s="50" t="n"/>
      <c r="U43" s="50" t="n"/>
      <c r="V43" s="50" t="inlineStr">
        <is>
          <t xml:space="preserve"> Tennessee</t>
        </is>
      </c>
      <c r="W43" s="50" t="inlineStr">
        <is>
          <t xml:space="preserve"> Miami</t>
        </is>
      </c>
      <c r="X43" s="50" t="inlineStr">
        <is>
          <t xml:space="preserve"> Tampa Bay</t>
        </is>
      </c>
      <c r="Y43" s="50" t="inlineStr">
        <is>
          <t xml:space="preserve"> DEAD</t>
        </is>
      </c>
      <c r="Z43" s="1">
        <f>IFERROR(COUNTIF(F43:U43,"W")/COUNTA(F43:U43),0)</f>
        <v/>
      </c>
      <c r="AA43">
        <f>MAX($B$10:$B$44)-B43</f>
        <v/>
      </c>
      <c r="AB43" s="1">
        <f>IFERROR(B43/16,0)</f>
        <v/>
      </c>
      <c r="AD43" s="76">
        <f>MAX($B$7:$B$141)-B43</f>
        <v/>
      </c>
    </row>
    <row r="44">
      <c r="A44" s="2">
        <f>IF(AD44=0,$AD$46, " ")</f>
        <v/>
      </c>
      <c r="B44">
        <f>SUM(V44:X44)+C44</f>
        <v/>
      </c>
      <c r="C44">
        <f>COUNTA(F44:U44)</f>
        <v/>
      </c>
      <c r="D44">
        <f>_xlfn.RANK.EQ(B44,$B$10:$B$44,0)</f>
        <v/>
      </c>
      <c r="E44" s="49" t="inlineStr">
        <is>
          <t>Brick_Hauss</t>
        </is>
      </c>
      <c r="F44" s="50" t="n"/>
      <c r="G44" s="50" t="n"/>
      <c r="H44" s="50" t="n"/>
      <c r="I44" s="50" t="inlineStr">
        <is>
          <t xml:space="preserve"> CHICAGO</t>
        </is>
      </c>
      <c r="J44" s="50" t="inlineStr">
        <is>
          <t xml:space="preserve"> jacksonville</t>
        </is>
      </c>
      <c r="K44" s="50" t="n"/>
      <c r="L44" s="50" t="inlineStr">
        <is>
          <t xml:space="preserve"> los angeles rams</t>
        </is>
      </c>
      <c r="M44" s="50" t="n"/>
      <c r="N44" s="50" t="n"/>
      <c r="O44" s="50" t="n"/>
      <c r="P44" s="50" t="inlineStr">
        <is>
          <t xml:space="preserve"> miami</t>
        </is>
      </c>
      <c r="Q44" s="50" t="inlineStr">
        <is>
          <t xml:space="preserve"> kansas city</t>
        </is>
      </c>
      <c r="R44" s="50" t="inlineStr">
        <is>
          <t xml:space="preserve"> SAN FRANCISCO</t>
        </is>
      </c>
      <c r="S44" s="50" t="n"/>
      <c r="T44" s="50" t="n"/>
      <c r="U44" s="50" t="n"/>
      <c r="V44" s="50" t="inlineStr">
        <is>
          <t xml:space="preserve"> Tennessee</t>
        </is>
      </c>
      <c r="W44" s="50" t="inlineStr">
        <is>
          <t xml:space="preserve"> New England</t>
        </is>
      </c>
      <c r="X44" s="50" t="inlineStr">
        <is>
          <t xml:space="preserve"> Carolina</t>
        </is>
      </c>
      <c r="Y44" s="50" t="inlineStr">
        <is>
          <t xml:space="preserve"> DEAD</t>
        </is>
      </c>
      <c r="Z44" s="1">
        <f>IFERROR(COUNTIF(F44:U44,"W")/COUNTA(F44:U44),0)</f>
        <v/>
      </c>
      <c r="AA44">
        <f>MAX($B$10:$B$44)-B44</f>
        <v/>
      </c>
      <c r="AB44" s="1">
        <f>IFERROR(B44/16,0)</f>
        <v/>
      </c>
      <c r="AD44" s="76">
        <f>MAX($B$7:$B$141)-B44</f>
        <v/>
      </c>
    </row>
    <row r="45">
      <c r="AD45" s="10">
        <f>COUNTIF(AD10:AD44,0)</f>
        <v/>
      </c>
    </row>
    <row r="46">
      <c r="AD46" s="76">
        <f>SUM(AD10:AD44)/AD45</f>
        <v/>
      </c>
    </row>
  </sheetData>
  <mergeCells count="1">
    <mergeCell ref="A1:Y2"/>
  </mergeCells>
  <conditionalFormatting sqref="B10:B4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:D4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0:U44">
    <cfRule type="cellIs" priority="4" operator="equal" dxfId="2">
      <formula>"W"</formula>
    </cfRule>
    <cfRule type="cellIs" priority="5" operator="equal" dxfId="1">
      <formula>"L"</formula>
    </cfRule>
  </conditionalFormatting>
  <conditionalFormatting sqref="AD10:AD46">
    <cfRule type="cellIs" priority="1" operator="equal" dxfId="0" stopIfTrue="1">
      <formula>0</formula>
    </cfRule>
  </conditionalFormatting>
  <dataValidations count="2">
    <dataValidation sqref="F6:U6" showDropDown="0" showInputMessage="0" showErrorMessage="0" allowBlank="1" type="list">
      <formula1>"Seattle,Los Angeles Rams,Cincinnati,Detroit,Tennessee,Indianapolis,Pittsburgh,Carolina,Jacksonville,Houston,Las Vegas,Minnesota,Philadelphia,Los Angeles Chargers,New York Giants,Kansas City"</formula1>
    </dataValidation>
    <dataValidation sqref="F10:U44" showDropDown="0" showInputMessage="0" showErrorMessage="0" allowBlank="1" type="list">
      <formula1>"W,L"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Sheet1">
    <outlinePr summaryBelow="1" summaryRight="1"/>
    <pageSetUpPr/>
  </sheetPr>
  <dimension ref="A1:AL46"/>
  <sheetViews>
    <sheetView tabSelected="1" zoomScale="51" workbookViewId="0">
      <selection activeCell="V32" sqref="V32"/>
    </sheetView>
  </sheetViews>
  <sheetFormatPr baseColWidth="8" defaultColWidth="9.109375" defaultRowHeight="14.4"/>
  <cols>
    <col width="11" customWidth="1" style="54" min="1" max="1"/>
    <col width="8" customWidth="1" style="54" min="2" max="4"/>
    <col width="22" customWidth="1" style="54" min="5" max="5"/>
    <col width="17.6640625" customWidth="1" style="54" min="6" max="18"/>
    <col width="23.5546875" bestFit="1" customWidth="1" style="54" min="19" max="19"/>
    <col width="17.6640625" customWidth="1" style="54" min="20" max="21"/>
    <col width="17" customWidth="1" style="54" min="22" max="25"/>
    <col width="12" customWidth="1" style="54" min="26" max="27"/>
    <col width="10" customWidth="1" style="54" min="28" max="28"/>
    <col width="9.109375" customWidth="1" style="54" min="29" max="34"/>
    <col width="9.109375" customWidth="1" style="54" min="35" max="16384"/>
  </cols>
  <sheetData>
    <row r="1">
      <c r="A1" s="63" t="inlineStr">
        <is>
          <t>🏈 WEEK 3 — ACQL</t>
        </is>
      </c>
    </row>
    <row r="2"/>
    <row r="4" ht="27.6" customHeight="1" s="54">
      <c r="A4" s="5" t="inlineStr">
        <is>
          <t>Home Team</t>
        </is>
      </c>
      <c r="B4" s="5" t="n"/>
      <c r="C4" s="5" t="n"/>
      <c r="D4" s="5" t="n"/>
      <c r="E4" s="5" t="n"/>
      <c r="F4" s="65" t="inlineStr">
        <is>
          <t>Dallas</t>
        </is>
      </c>
      <c r="G4" s="65" t="inlineStr">
        <is>
          <t>Jacksonville</t>
        </is>
      </c>
      <c r="H4" s="64" t="inlineStr">
        <is>
          <t>Green Bay</t>
        </is>
      </c>
      <c r="I4" s="66" t="inlineStr">
        <is>
          <t>Tennessee</t>
        </is>
      </c>
      <c r="J4" s="64" t="inlineStr">
        <is>
          <t>Miami</t>
        </is>
      </c>
      <c r="K4" s="66" t="inlineStr">
        <is>
          <t>New England</t>
        </is>
      </c>
      <c r="L4" s="64" t="inlineStr">
        <is>
          <t>New Orleans</t>
        </is>
      </c>
      <c r="M4" s="66" t="inlineStr">
        <is>
          <t>New York Jets</t>
        </is>
      </c>
      <c r="N4" s="64" t="inlineStr">
        <is>
          <t>Pittsburgh</t>
        </is>
      </c>
      <c r="O4" s="66" t="inlineStr">
        <is>
          <t>Washington</t>
        </is>
      </c>
      <c r="P4" s="64" t="inlineStr">
        <is>
          <t>Los Angeles Chargers</t>
        </is>
      </c>
      <c r="Q4" s="66" t="inlineStr">
        <is>
          <t>Arizona</t>
        </is>
      </c>
      <c r="R4" s="64" t="inlineStr">
        <is>
          <t>Seattle</t>
        </is>
      </c>
      <c r="S4" s="66" t="inlineStr">
        <is>
          <t>Atlanta</t>
        </is>
      </c>
      <c r="T4" s="64" t="inlineStr">
        <is>
          <t>Los Angeles Rams</t>
        </is>
      </c>
      <c r="U4" s="5" t="n"/>
      <c r="V4" s="5" t="n"/>
      <c r="W4" s="5" t="n"/>
      <c r="X4" s="5" t="n"/>
      <c r="Y4" s="5" t="n"/>
    </row>
    <row r="5">
      <c r="A5" s="5" t="inlineStr">
        <is>
          <t>Away Team</t>
        </is>
      </c>
      <c r="B5" s="5" t="n"/>
      <c r="C5" s="5" t="n"/>
      <c r="D5" s="5" t="n"/>
      <c r="E5" s="5" t="n"/>
      <c r="F5" s="64" t="inlineStr">
        <is>
          <t>Tampa Bay</t>
        </is>
      </c>
      <c r="G5" s="66" t="inlineStr">
        <is>
          <t>Philadelphia</t>
        </is>
      </c>
      <c r="H5" s="64" t="inlineStr">
        <is>
          <t>Chicago</t>
        </is>
      </c>
      <c r="I5" s="65" t="inlineStr">
        <is>
          <t xml:space="preserve">Houston </t>
        </is>
      </c>
      <c r="J5" s="65" t="inlineStr">
        <is>
          <t>Cincinnati</t>
        </is>
      </c>
      <c r="K5" s="66" t="inlineStr">
        <is>
          <t>Las Vegas</t>
        </is>
      </c>
      <c r="L5" s="64" t="inlineStr">
        <is>
          <t>Minnesota</t>
        </is>
      </c>
      <c r="M5" s="66" t="inlineStr">
        <is>
          <t>Cleveland</t>
        </is>
      </c>
      <c r="N5" s="64" t="inlineStr">
        <is>
          <t>Indianapolis</t>
        </is>
      </c>
      <c r="O5" s="66" t="inlineStr">
        <is>
          <t>New York Giants</t>
        </is>
      </c>
      <c r="P5" s="64" t="inlineStr">
        <is>
          <t>Denver</t>
        </is>
      </c>
      <c r="Q5" s="66" t="inlineStr">
        <is>
          <t>Detroit</t>
        </is>
      </c>
      <c r="R5" s="64" t="inlineStr">
        <is>
          <t>San Francisco</t>
        </is>
      </c>
      <c r="S5" s="66" t="inlineStr">
        <is>
          <t>Baltimore</t>
        </is>
      </c>
      <c r="T5" s="64" t="inlineStr">
        <is>
          <t>Buffalo</t>
        </is>
      </c>
      <c r="U5" s="5" t="n"/>
      <c r="V5" s="5" t="n"/>
      <c r="W5" s="5" t="n"/>
      <c r="X5" s="5" t="n"/>
      <c r="Y5" s="5" t="n"/>
    </row>
    <row r="6">
      <c r="A6" s="6" t="inlineStr">
        <is>
          <t>Result / Winner →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</row>
    <row r="7">
      <c r="A7" s="8" t="inlineStr">
        <is>
          <t>Picked Home %</t>
        </is>
      </c>
      <c r="B7" s="8" t="n"/>
      <c r="C7" s="8" t="n"/>
      <c r="D7" s="8" t="n"/>
      <c r="E7" s="8" t="n"/>
      <c r="F7" s="8">
        <f>IFERROR(COUNTIF(F10:F44, F$4)/COUNTA(B10:B44),0)</f>
        <v/>
      </c>
      <c r="G7" s="8">
        <f>IFERROR(COUNTIF(G10:G44, G$4)/COUNTA(C10:C44),0)</f>
        <v/>
      </c>
      <c r="H7" s="8">
        <f>IFERROR(COUNTIF(H10:H44, H$4)/COUNTA(D10:D44),0)</f>
        <v/>
      </c>
      <c r="I7" s="8">
        <f>IFERROR(COUNTIF(I10:I44, I$4)/COUNTA(E10:E44),0)</f>
        <v/>
      </c>
      <c r="J7" s="8">
        <f>IFERROR(COUNTIF(J10:J44, J$4)/COUNTA(F10:F44),0)</f>
        <v/>
      </c>
      <c r="K7" s="8">
        <f>IFERROR(COUNTIF(K10:K44, K$4)/COUNTA(G10:G44),0)</f>
        <v/>
      </c>
      <c r="L7" s="8">
        <f>IFERROR(COUNTIF(L10:L44, L$4)/COUNTA(H10:H44),0)</f>
        <v/>
      </c>
      <c r="M7" s="8">
        <f>IFERROR(COUNTIF(M10:M44, M$4)/COUNTA(I10:I44),0)</f>
        <v/>
      </c>
      <c r="N7" s="8">
        <f>IFERROR(COUNTIF(N10:N44, N$4)/COUNTA(J10:J44),0)</f>
        <v/>
      </c>
      <c r="O7" s="8">
        <f>IFERROR(COUNTIF(O10:O44, O$4)/COUNTA(K10:K44),0)</f>
        <v/>
      </c>
      <c r="P7" s="8">
        <f>IFERROR(COUNTIF(P10:P44, P$4)/COUNTA(L10:L44),0)</f>
        <v/>
      </c>
      <c r="Q7" s="8">
        <f>IFERROR(COUNTIF(Q10:Q44, Q$4)/COUNTA(M10:M44),0)</f>
        <v/>
      </c>
      <c r="R7" s="8">
        <f>IFERROR(COUNTIF(R10:R44, R$4)/COUNTA(N10:N44),0)</f>
        <v/>
      </c>
      <c r="S7" s="8">
        <f>IFERROR(COUNTIF(S10:S44, S$4)/COUNTA(O10:O44),0)</f>
        <v/>
      </c>
      <c r="T7" s="8">
        <f>IFERROR(COUNTIF(T10:T44, T$4)/COUNTA(P10:P44),0)</f>
        <v/>
      </c>
      <c r="U7" s="8">
        <f>IFERROR(COUNTIF(U10:U44, U$4)/COUNTA(Q10:Q44),0)</f>
        <v/>
      </c>
      <c r="V7" s="7" t="n"/>
      <c r="W7" s="7" t="n"/>
      <c r="X7" s="7" t="n"/>
      <c r="Y7" s="7" t="n"/>
    </row>
    <row r="8">
      <c r="F8" t="inlineStr">
        <is>
          <t>Dal by 9</t>
        </is>
      </c>
      <c r="G8" t="inlineStr">
        <is>
          <t>Jax by 7</t>
        </is>
      </c>
      <c r="I8" t="inlineStr">
        <is>
          <t>Hou by 7</t>
        </is>
      </c>
      <c r="J8" t="inlineStr">
        <is>
          <t>Cin by 8</t>
        </is>
      </c>
    </row>
    <row r="9" ht="28.8" customHeight="1" s="54">
      <c r="A9" s="9" t="inlineStr">
        <is>
          <t>Entry Fee</t>
        </is>
      </c>
      <c r="B9" s="9" t="inlineStr">
        <is>
          <t>Wins</t>
        </is>
      </c>
      <c r="C9" s="9" t="inlineStr">
        <is>
          <t>Wins</t>
        </is>
      </c>
      <c r="D9" s="9" t="inlineStr">
        <is>
          <t>Rank</t>
        </is>
      </c>
      <c r="E9" s="9" t="inlineStr">
        <is>
          <t>Player</t>
        </is>
      </c>
      <c r="F9" s="9" t="inlineStr">
        <is>
          <t>G1</t>
        </is>
      </c>
      <c r="G9" s="9" t="inlineStr">
        <is>
          <t>G2</t>
        </is>
      </c>
      <c r="H9" s="9" t="inlineStr">
        <is>
          <t>G3</t>
        </is>
      </c>
      <c r="I9" s="9" t="inlineStr">
        <is>
          <t>G4</t>
        </is>
      </c>
      <c r="J9" s="9" t="inlineStr">
        <is>
          <t>G5</t>
        </is>
      </c>
      <c r="K9" s="9" t="inlineStr">
        <is>
          <t>G6</t>
        </is>
      </c>
      <c r="L9" s="9" t="inlineStr">
        <is>
          <t>G7</t>
        </is>
      </c>
      <c r="M9" s="9" t="inlineStr">
        <is>
          <t>G8</t>
        </is>
      </c>
      <c r="N9" s="9" t="inlineStr">
        <is>
          <t>G9</t>
        </is>
      </c>
      <c r="O9" s="9" t="inlineStr">
        <is>
          <t>G10</t>
        </is>
      </c>
      <c r="P9" s="9" t="inlineStr">
        <is>
          <t>G11</t>
        </is>
      </c>
      <c r="Q9" s="9" t="inlineStr">
        <is>
          <t>G12</t>
        </is>
      </c>
      <c r="R9" s="9" t="inlineStr">
        <is>
          <t>G13</t>
        </is>
      </c>
      <c r="S9" s="9" t="inlineStr">
        <is>
          <t>G14</t>
        </is>
      </c>
      <c r="T9" s="9" t="inlineStr">
        <is>
          <t>G15</t>
        </is>
      </c>
      <c r="U9" s="9" t="inlineStr">
        <is>
          <t>G16</t>
        </is>
      </c>
      <c r="V9" s="9" t="inlineStr">
        <is>
          <t>Loser 1</t>
        </is>
      </c>
      <c r="W9" s="9" t="inlineStr">
        <is>
          <t>Loser 2</t>
        </is>
      </c>
      <c r="X9" s="9" t="inlineStr">
        <is>
          <t>Loser 3</t>
        </is>
      </c>
      <c r="Y9" s="9" t="inlineStr">
        <is>
          <t>Suicide</t>
        </is>
      </c>
      <c r="Z9" s="9" t="inlineStr">
        <is>
          <t>Home Team %</t>
        </is>
      </c>
      <c r="AA9" s="9" t="inlineStr">
        <is>
          <t>$ Owed</t>
        </is>
      </c>
      <c r="AB9" s="9" t="inlineStr">
        <is>
          <t>Games Behind</t>
        </is>
      </c>
      <c r="AC9" s="9" t="inlineStr">
        <is>
          <t>Win %</t>
        </is>
      </c>
    </row>
    <row r="10">
      <c r="A10" s="2">
        <f>IF(AD10=0,$AD$46, " ")</f>
        <v/>
      </c>
      <c r="B10">
        <f>SUM(V10:X10)+C10</f>
        <v/>
      </c>
      <c r="C10">
        <f>COUNTA(F10:U10)</f>
        <v/>
      </c>
      <c r="D10">
        <f>_xlfn.RANK.EQ(B10,$B$10:$B$44,0)</f>
        <v/>
      </c>
      <c r="E10" s="71" t="inlineStr">
        <is>
          <t>Line-Pony</t>
        </is>
      </c>
      <c r="F10" s="68" t="inlineStr">
        <is>
          <t>tampa bay</t>
        </is>
      </c>
      <c r="G10" s="68" t="inlineStr">
        <is>
          <t xml:space="preserve"> philadelphia</t>
        </is>
      </c>
      <c r="H10" s="68" t="inlineStr">
        <is>
          <t xml:space="preserve"> chicago</t>
        </is>
      </c>
      <c r="I10" s="68" t="inlineStr">
        <is>
          <t xml:space="preserve"> TENNESSEE</t>
        </is>
      </c>
      <c r="J10" s="68" t="inlineStr">
        <is>
          <t xml:space="preserve"> MIAMI</t>
        </is>
      </c>
      <c r="K10" s="68" t="inlineStr">
        <is>
          <t xml:space="preserve"> NEW ENGLAND</t>
        </is>
      </c>
      <c r="L10" s="68" t="inlineStr">
        <is>
          <t xml:space="preserve"> minnesota</t>
        </is>
      </c>
      <c r="M10" s="68" t="inlineStr">
        <is>
          <t xml:space="preserve"> NEW YORK JETS</t>
        </is>
      </c>
      <c r="N10" s="68" t="inlineStr">
        <is>
          <t xml:space="preserve"> PITTSBURGH</t>
        </is>
      </c>
      <c r="O10" s="68" t="inlineStr">
        <is>
          <t xml:space="preserve"> WASHINGTON</t>
        </is>
      </c>
      <c r="P10" s="68" t="inlineStr">
        <is>
          <t xml:space="preserve"> denver</t>
        </is>
      </c>
      <c r="Q10" s="68" t="inlineStr">
        <is>
          <t xml:space="preserve"> detroit</t>
        </is>
      </c>
      <c r="R10" s="68" t="inlineStr">
        <is>
          <t xml:space="preserve"> SEATTLE</t>
        </is>
      </c>
      <c r="S10" s="73" t="inlineStr">
        <is>
          <t xml:space="preserve"> ATLANTA</t>
        </is>
      </c>
      <c r="T10" s="69" t="inlineStr">
        <is>
          <t xml:space="preserve"> LOS ANGELES RAMS</t>
        </is>
      </c>
      <c r="U10" s="69" t="inlineStr">
        <is>
          <t xml:space="preserve"> Baltimore</t>
        </is>
      </c>
      <c r="V10" s="68" t="inlineStr">
        <is>
          <t xml:space="preserve"> Las Vegas</t>
        </is>
      </c>
      <c r="W10" s="69" t="inlineStr">
        <is>
          <t xml:space="preserve"> Tampa Bay</t>
        </is>
      </c>
      <c r="X10" s="68" t="inlineStr">
        <is>
          <t xml:space="preserve"> DEAD</t>
        </is>
      </c>
      <c r="Y10" s="11" t="n"/>
      <c r="Z10" s="1">
        <f>IFERROR(COUNTIF(F10:U10,"W")/COUNTA(F10:U10),0)</f>
        <v/>
      </c>
      <c r="AA10">
        <f>MAX($B$10:$B$44)-B10</f>
        <v/>
      </c>
      <c r="AB10" s="1">
        <f>IFERROR(B10/16,0)</f>
        <v/>
      </c>
      <c r="AD10" s="76">
        <f>MAX($B$7:$B$141)-B10</f>
        <v/>
      </c>
      <c r="AH10" s="64" t="n"/>
      <c r="AI10" s="64" t="n"/>
      <c r="AJ10" s="65" t="n"/>
      <c r="AK10" s="64" t="n"/>
    </row>
    <row r="11">
      <c r="A11" s="2">
        <f>IF(AD11=0,$AD$46, " ")</f>
        <v/>
      </c>
      <c r="B11">
        <f>SUM(V11:X11)+C11</f>
        <v/>
      </c>
      <c r="C11">
        <f>COUNTA(F11:U11)</f>
        <v/>
      </c>
      <c r="D11">
        <f>_xlfn.RANK.EQ(B11,$B$10:$B$44,0)</f>
        <v/>
      </c>
      <c r="E11" s="71" t="inlineStr">
        <is>
          <t>MiMi</t>
        </is>
      </c>
      <c r="F11" s="67" t="inlineStr">
        <is>
          <t>tampa bay</t>
        </is>
      </c>
      <c r="G11" s="67" t="inlineStr">
        <is>
          <t xml:space="preserve"> JACKSONVILLE </t>
        </is>
      </c>
      <c r="H11" s="67" t="inlineStr">
        <is>
          <t xml:space="preserve"> chicago</t>
        </is>
      </c>
      <c r="I11" s="67" t="inlineStr">
        <is>
          <t xml:space="preserve"> houston </t>
        </is>
      </c>
      <c r="J11" s="67" t="inlineStr">
        <is>
          <t xml:space="preserve"> cincinnati </t>
        </is>
      </c>
      <c r="K11" s="67" t="inlineStr">
        <is>
          <t xml:space="preserve"> NEW ENGLAND</t>
        </is>
      </c>
      <c r="L11" s="67" t="inlineStr">
        <is>
          <t xml:space="preserve"> minnesota</t>
        </is>
      </c>
      <c r="M11" s="67" t="inlineStr">
        <is>
          <t xml:space="preserve"> NEW YORK JETS</t>
        </is>
      </c>
      <c r="N11" s="67" t="inlineStr">
        <is>
          <t xml:space="preserve"> PITTSBURGH</t>
        </is>
      </c>
      <c r="O11" s="67" t="inlineStr">
        <is>
          <t xml:space="preserve"> WASHINGTON</t>
        </is>
      </c>
      <c r="P11" s="67" t="inlineStr">
        <is>
          <t xml:space="preserve"> LOS ANGELES CHARGERS</t>
        </is>
      </c>
      <c r="Q11" s="67" t="inlineStr">
        <is>
          <t xml:space="preserve"> detroit</t>
        </is>
      </c>
      <c r="R11" s="67" t="inlineStr">
        <is>
          <t xml:space="preserve"> SEATTLE</t>
        </is>
      </c>
      <c r="S11" s="73" t="inlineStr">
        <is>
          <t xml:space="preserve"> ATLANTA</t>
        </is>
      </c>
      <c r="T11" s="69" t="inlineStr">
        <is>
          <t xml:space="preserve"> LOS ANGELES RAMS</t>
        </is>
      </c>
      <c r="U11" s="69" t="inlineStr">
        <is>
          <t xml:space="preserve"> Tennessee</t>
        </is>
      </c>
      <c r="V11" s="68" t="inlineStr">
        <is>
          <t xml:space="preserve"> Miami</t>
        </is>
      </c>
      <c r="W11" s="69" t="inlineStr">
        <is>
          <t xml:space="preserve"> Philadelphia</t>
        </is>
      </c>
      <c r="X11" s="68" t="inlineStr">
        <is>
          <t xml:space="preserve"> DEAD</t>
        </is>
      </c>
      <c r="Y11" s="12" t="n"/>
      <c r="Z11" s="1">
        <f>IFERROR(COUNTIF(F11:U11,"W")/COUNTA(F11:U11),0)</f>
        <v/>
      </c>
      <c r="AA11">
        <f>MAX($B$10:$B$44)-B11</f>
        <v/>
      </c>
      <c r="AB11" s="1">
        <f>IFERROR(B11/16,0)</f>
        <v/>
      </c>
      <c r="AD11" s="76">
        <f>MAX($B$7:$B$141)-B11</f>
        <v/>
      </c>
      <c r="AG11" s="66" t="n"/>
      <c r="AH11" s="66" t="n"/>
      <c r="AI11" s="66" t="n"/>
      <c r="AJ11" s="65" t="n"/>
      <c r="AK11" s="66" t="n"/>
    </row>
    <row r="12">
      <c r="A12" s="2">
        <f>IF(AD12=0,$AD$46, " ")</f>
        <v/>
      </c>
      <c r="B12">
        <f>SUM(V12:X12)+C12</f>
        <v/>
      </c>
      <c r="C12">
        <f>COUNTA(F12:U12)</f>
        <v/>
      </c>
      <c r="D12">
        <f>_xlfn.RANK.EQ(B12,$B$10:$B$44,0)</f>
        <v/>
      </c>
      <c r="E12" s="71" t="inlineStr">
        <is>
          <t>Zach N</t>
        </is>
      </c>
      <c r="F12" s="67" t="inlineStr">
        <is>
          <t xml:space="preserve">DALLAS </t>
        </is>
      </c>
      <c r="G12" s="67" t="inlineStr">
        <is>
          <t xml:space="preserve"> JACKSONVILLE </t>
        </is>
      </c>
      <c r="H12" s="67" t="inlineStr">
        <is>
          <t xml:space="preserve"> GREEN BAY</t>
        </is>
      </c>
      <c r="I12" s="67" t="inlineStr">
        <is>
          <t xml:space="preserve"> TENNESSEE</t>
        </is>
      </c>
      <c r="J12" s="67" t="inlineStr">
        <is>
          <t xml:space="preserve"> cincinnati </t>
        </is>
      </c>
      <c r="K12" s="67" t="inlineStr">
        <is>
          <t xml:space="preserve"> NEW ENGLAND</t>
        </is>
      </c>
      <c r="L12" s="67" t="inlineStr">
        <is>
          <t xml:space="preserve"> NEW ORLEANS</t>
        </is>
      </c>
      <c r="M12" s="67" t="inlineStr">
        <is>
          <t xml:space="preserve"> cleveland</t>
        </is>
      </c>
      <c r="N12" s="67" t="inlineStr">
        <is>
          <t xml:space="preserve"> PITTSBURGH</t>
        </is>
      </c>
      <c r="O12" s="67" t="inlineStr">
        <is>
          <t xml:space="preserve"> WASHINGTON</t>
        </is>
      </c>
      <c r="P12" s="67" t="inlineStr">
        <is>
          <t xml:space="preserve"> LOS ANGELES CHARGERS</t>
        </is>
      </c>
      <c r="Q12" s="67" t="inlineStr">
        <is>
          <t xml:space="preserve"> detroit</t>
        </is>
      </c>
      <c r="R12" s="67" t="inlineStr">
        <is>
          <t xml:space="preserve"> SEATTLE</t>
        </is>
      </c>
      <c r="S12" s="73" t="inlineStr">
        <is>
          <t xml:space="preserve"> baltimore</t>
        </is>
      </c>
      <c r="T12" s="69" t="inlineStr">
        <is>
          <t xml:space="preserve"> LOS ANGELES RAMS</t>
        </is>
      </c>
      <c r="U12" s="69" t="inlineStr">
        <is>
          <t xml:space="preserve"> Miami</t>
        </is>
      </c>
      <c r="V12" s="68" t="inlineStr">
        <is>
          <t xml:space="preserve"> Philadelphia</t>
        </is>
      </c>
      <c r="W12" s="69" t="inlineStr">
        <is>
          <t xml:space="preserve"> Tampa Bay</t>
        </is>
      </c>
      <c r="X12" s="68" t="inlineStr">
        <is>
          <t xml:space="preserve"> DEAD</t>
        </is>
      </c>
      <c r="Y12" s="12" t="n"/>
      <c r="Z12" s="1">
        <f>IFERROR(COUNTIF(F12:U12,"W")/COUNTA(F12:U12),0)</f>
        <v/>
      </c>
      <c r="AA12">
        <f>MAX($B$10:$B$44)-B12</f>
        <v/>
      </c>
      <c r="AB12" s="1">
        <f>IFERROR(B12/16,0)</f>
        <v/>
      </c>
      <c r="AD12" s="76">
        <f>MAX($B$7:$B$141)-B12</f>
        <v/>
      </c>
      <c r="AG12" s="64" t="n"/>
      <c r="AH12" s="64" t="n"/>
      <c r="AI12" s="64" t="n"/>
      <c r="AJ12" s="64" t="n"/>
      <c r="AK12" s="64" t="n"/>
    </row>
    <row r="13">
      <c r="A13" s="2">
        <f>IF(AD13=0,$AD$46, " ")</f>
        <v/>
      </c>
      <c r="B13">
        <f>SUM(V13:X13)+C13</f>
        <v/>
      </c>
      <c r="C13">
        <f>COUNTA(F13:U13)</f>
        <v/>
      </c>
      <c r="D13">
        <f>_xlfn.RANK.EQ(B13,$B$10:$B$44,0)</f>
        <v/>
      </c>
      <c r="E13" s="71" t="inlineStr">
        <is>
          <t xml:space="preserve">SaleeNmd </t>
        </is>
      </c>
      <c r="F13" s="70" t="inlineStr">
        <is>
          <t>tampa bay</t>
        </is>
      </c>
      <c r="G13" s="70" t="inlineStr">
        <is>
          <t xml:space="preserve"> philadelphia</t>
        </is>
      </c>
      <c r="H13" s="70" t="inlineStr">
        <is>
          <t xml:space="preserve"> chicago</t>
        </is>
      </c>
      <c r="I13" s="70" t="inlineStr">
        <is>
          <t xml:space="preserve"> TENNESSEE</t>
        </is>
      </c>
      <c r="J13" s="70" t="inlineStr">
        <is>
          <t xml:space="preserve"> MIAMI</t>
        </is>
      </c>
      <c r="K13" s="70" t="inlineStr">
        <is>
          <t xml:space="preserve"> NEW ENGLAND</t>
        </is>
      </c>
      <c r="L13" s="70" t="inlineStr">
        <is>
          <t xml:space="preserve"> minnesota</t>
        </is>
      </c>
      <c r="M13" s="70" t="inlineStr">
        <is>
          <t xml:space="preserve"> NEW YORK JETS</t>
        </is>
      </c>
      <c r="N13" s="70" t="inlineStr">
        <is>
          <t xml:space="preserve"> PITTSBURGH</t>
        </is>
      </c>
      <c r="O13" s="70" t="inlineStr">
        <is>
          <t xml:space="preserve"> WASHINGTON</t>
        </is>
      </c>
      <c r="P13" s="70" t="inlineStr">
        <is>
          <t xml:space="preserve"> denver</t>
        </is>
      </c>
      <c r="Q13" s="70" t="inlineStr">
        <is>
          <t xml:space="preserve"> detroit</t>
        </is>
      </c>
      <c r="R13" s="70" t="inlineStr">
        <is>
          <t xml:space="preserve"> SEATTLE</t>
        </is>
      </c>
      <c r="S13" s="73" t="inlineStr">
        <is>
          <t xml:space="preserve"> ATLANTA</t>
        </is>
      </c>
      <c r="T13" s="69" t="inlineStr">
        <is>
          <t xml:space="preserve"> LOS ANGELES RAMS</t>
        </is>
      </c>
      <c r="U13" s="69" t="inlineStr">
        <is>
          <t xml:space="preserve"> Tampa Bay</t>
        </is>
      </c>
      <c r="V13" s="68" t="inlineStr">
        <is>
          <t xml:space="preserve"> Miami</t>
        </is>
      </c>
      <c r="W13" s="69" t="inlineStr">
        <is>
          <t xml:space="preserve"> Philadelphia</t>
        </is>
      </c>
      <c r="X13" s="68" t="inlineStr">
        <is>
          <t xml:space="preserve"> DEAD</t>
        </is>
      </c>
      <c r="Y13" s="12" t="n"/>
      <c r="Z13" s="1">
        <f>IFERROR(COUNTIF(F13:U13,"W")/COUNTA(F13:U13),0)</f>
        <v/>
      </c>
      <c r="AA13">
        <f>MAX($B$10:$B$44)-B13</f>
        <v/>
      </c>
      <c r="AB13" s="1">
        <f>IFERROR(B13/16,0)</f>
        <v/>
      </c>
      <c r="AD13" s="76">
        <f>MAX($B$7:$B$141)-B13</f>
        <v/>
      </c>
      <c r="AG13" s="66" t="n"/>
      <c r="AH13" s="65" t="n"/>
      <c r="AI13" s="66" t="n"/>
      <c r="AJ13" s="66" t="n"/>
      <c r="AK13" s="66" t="n"/>
    </row>
    <row r="14">
      <c r="A14" s="2">
        <f>IF(AD14=0,$AD$46, " ")</f>
        <v/>
      </c>
      <c r="B14">
        <f>SUM(V14:X14)+C14</f>
        <v/>
      </c>
      <c r="C14">
        <f>COUNTA(F14:U14)</f>
        <v/>
      </c>
      <c r="D14">
        <f>_xlfn.RANK.EQ(B14,$B$10:$B$44,0)</f>
        <v/>
      </c>
      <c r="E14" s="71" t="inlineStr">
        <is>
          <t>Frankethetank</t>
        </is>
      </c>
      <c r="F14" s="70" t="inlineStr">
        <is>
          <t>tampa bay</t>
        </is>
      </c>
      <c r="G14" s="70" t="inlineStr">
        <is>
          <t xml:space="preserve"> JACKSONVILLE </t>
        </is>
      </c>
      <c r="H14" s="70" t="inlineStr">
        <is>
          <t xml:space="preserve"> chicago</t>
        </is>
      </c>
      <c r="I14" s="70" t="inlineStr">
        <is>
          <t xml:space="preserve"> TENNESSEE</t>
        </is>
      </c>
      <c r="J14" s="70" t="inlineStr">
        <is>
          <t xml:space="preserve"> cincinnati </t>
        </is>
      </c>
      <c r="K14" s="70" t="inlineStr">
        <is>
          <t xml:space="preserve"> las vegas</t>
        </is>
      </c>
      <c r="L14" s="70" t="inlineStr">
        <is>
          <t xml:space="preserve"> minnesota</t>
        </is>
      </c>
      <c r="M14" s="70" t="inlineStr">
        <is>
          <t xml:space="preserve"> NEW YORK JETS</t>
        </is>
      </c>
      <c r="N14" s="70" t="inlineStr">
        <is>
          <t xml:space="preserve"> PITTSBURGH</t>
        </is>
      </c>
      <c r="O14" s="70" t="inlineStr">
        <is>
          <t xml:space="preserve"> new york giants</t>
        </is>
      </c>
      <c r="P14" s="70" t="inlineStr">
        <is>
          <t xml:space="preserve"> denver</t>
        </is>
      </c>
      <c r="Q14" s="70" t="inlineStr">
        <is>
          <t xml:space="preserve"> ARIZONA</t>
        </is>
      </c>
      <c r="R14" s="70" t="inlineStr">
        <is>
          <t xml:space="preserve"> san francisco</t>
        </is>
      </c>
      <c r="S14" s="73" t="inlineStr">
        <is>
          <t xml:space="preserve"> ATLANTA</t>
        </is>
      </c>
      <c r="T14" s="69" t="inlineStr">
        <is>
          <t xml:space="preserve"> LOS ANGELES RAMS</t>
        </is>
      </c>
      <c r="U14" s="69" t="inlineStr">
        <is>
          <t xml:space="preserve"> Miami</t>
        </is>
      </c>
      <c r="V14" s="68" t="inlineStr">
        <is>
          <t xml:space="preserve"> Green Bay</t>
        </is>
      </c>
      <c r="W14" s="69" t="inlineStr">
        <is>
          <t xml:space="preserve"> Arizona</t>
        </is>
      </c>
      <c r="X14" s="68" t="inlineStr">
        <is>
          <t xml:space="preserve"> Los Angeles Rams</t>
        </is>
      </c>
      <c r="Y14" s="12" t="n"/>
      <c r="Z14" s="1">
        <f>IFERROR(COUNTIF(F14:U14,"W")/COUNTA(F14:U14),0)</f>
        <v/>
      </c>
      <c r="AA14">
        <f>MAX($B$10:$B$44)-B14</f>
        <v/>
      </c>
      <c r="AB14" s="1">
        <f>IFERROR(B14/16,0)</f>
        <v/>
      </c>
      <c r="AD14" s="76">
        <f>MAX($B$7:$B$141)-B14</f>
        <v/>
      </c>
      <c r="AG14" s="64" t="n"/>
      <c r="AH14" s="65" t="n"/>
      <c r="AI14" s="64" t="n"/>
      <c r="AJ14" s="64" t="n"/>
      <c r="AK14" s="64" t="n"/>
    </row>
    <row r="15">
      <c r="A15" s="2">
        <f>IF(AD15=0,$AD$46, " ")</f>
        <v/>
      </c>
      <c r="B15">
        <f>SUM(V15:X15)+C15</f>
        <v/>
      </c>
      <c r="C15">
        <f>COUNTA(F15:U15)</f>
        <v/>
      </c>
      <c r="D15">
        <f>_xlfn.RANK.EQ(B15,$B$10:$B$44,0)</f>
        <v/>
      </c>
      <c r="E15" s="71" t="inlineStr">
        <is>
          <t>DPSOG</t>
        </is>
      </c>
      <c r="F15" s="67" t="inlineStr">
        <is>
          <t>tampa bay</t>
        </is>
      </c>
      <c r="G15" s="67" t="inlineStr">
        <is>
          <t xml:space="preserve"> JACKSONVILLE </t>
        </is>
      </c>
      <c r="H15" s="67" t="inlineStr">
        <is>
          <t xml:space="preserve"> chicago</t>
        </is>
      </c>
      <c r="I15" s="67" t="inlineStr">
        <is>
          <t xml:space="preserve"> TENNESSEE</t>
        </is>
      </c>
      <c r="J15" s="67" t="inlineStr">
        <is>
          <t xml:space="preserve"> MIAMI</t>
        </is>
      </c>
      <c r="K15" s="67" t="inlineStr">
        <is>
          <t xml:space="preserve"> NEW ENGLAND</t>
        </is>
      </c>
      <c r="L15" s="67" t="inlineStr">
        <is>
          <t xml:space="preserve"> NEW ORLEANS</t>
        </is>
      </c>
      <c r="M15" s="67" t="inlineStr">
        <is>
          <t xml:space="preserve"> NEW YORK JETS</t>
        </is>
      </c>
      <c r="N15" s="67" t="inlineStr">
        <is>
          <t xml:space="preserve"> indianapolis</t>
        </is>
      </c>
      <c r="O15" s="67" t="inlineStr">
        <is>
          <t xml:space="preserve"> WASHINGTON</t>
        </is>
      </c>
      <c r="P15" s="67" t="inlineStr">
        <is>
          <t xml:space="preserve"> denver</t>
        </is>
      </c>
      <c r="Q15" s="67" t="inlineStr">
        <is>
          <t xml:space="preserve"> detroit</t>
        </is>
      </c>
      <c r="R15" s="67" t="inlineStr">
        <is>
          <t xml:space="preserve"> SEATTLE</t>
        </is>
      </c>
      <c r="S15" s="73" t="inlineStr">
        <is>
          <t xml:space="preserve"> baltimore</t>
        </is>
      </c>
      <c r="T15" s="69" t="inlineStr">
        <is>
          <t xml:space="preserve"> LOS ANGELES RAMS</t>
        </is>
      </c>
      <c r="U15" s="69" t="inlineStr">
        <is>
          <t xml:space="preserve"> Miami</t>
        </is>
      </c>
      <c r="V15" s="68" t="inlineStr">
        <is>
          <t xml:space="preserve"> Tennessee</t>
        </is>
      </c>
      <c r="W15" s="69" t="inlineStr">
        <is>
          <t xml:space="preserve"> Los Angeles Chargers</t>
        </is>
      </c>
      <c r="X15" s="68" t="inlineStr">
        <is>
          <t xml:space="preserve"> DEAD</t>
        </is>
      </c>
      <c r="Y15" s="12" t="n"/>
      <c r="Z15" s="1">
        <f>IFERROR(COUNTIF(F15:U15,"W")/COUNTA(F15:U15),0)</f>
        <v/>
      </c>
      <c r="AA15">
        <f>MAX($B$10:$B$44)-B15</f>
        <v/>
      </c>
      <c r="AB15" s="1">
        <f>IFERROR(B15/16,0)</f>
        <v/>
      </c>
      <c r="AD15" s="76">
        <f>MAX($B$7:$B$141)-B15</f>
        <v/>
      </c>
      <c r="AG15" s="66" t="n"/>
      <c r="AH15" s="66" t="n"/>
      <c r="AI15" s="66" t="n"/>
      <c r="AJ15" s="66" t="n"/>
      <c r="AK15" s="66" t="n"/>
    </row>
    <row r="16">
      <c r="A16" s="2">
        <f>IF(AD16=0,$AD$46, " ")</f>
        <v/>
      </c>
      <c r="B16">
        <f>SUM(V16:X16)+C16</f>
        <v/>
      </c>
      <c r="C16">
        <f>COUNTA(F16:U16)</f>
        <v/>
      </c>
      <c r="D16">
        <f>_xlfn.RANK.EQ(B16,$B$10:$B$44,0)</f>
        <v/>
      </c>
      <c r="E16" s="71" t="inlineStr">
        <is>
          <t>Phelps Phamily</t>
        </is>
      </c>
      <c r="F16" s="67" t="inlineStr">
        <is>
          <t xml:space="preserve">DALLAS </t>
        </is>
      </c>
      <c r="G16" s="67" t="inlineStr">
        <is>
          <t xml:space="preserve"> JACKSONVILLE </t>
        </is>
      </c>
      <c r="H16" s="67" t="inlineStr">
        <is>
          <t xml:space="preserve"> chicago</t>
        </is>
      </c>
      <c r="I16" s="67" t="inlineStr">
        <is>
          <t xml:space="preserve"> houston </t>
        </is>
      </c>
      <c r="J16" s="67" t="inlineStr">
        <is>
          <t xml:space="preserve"> cincinnati </t>
        </is>
      </c>
      <c r="K16" s="67" t="inlineStr">
        <is>
          <t xml:space="preserve"> NEW ENGLAND</t>
        </is>
      </c>
      <c r="L16" s="67" t="inlineStr">
        <is>
          <t xml:space="preserve"> minnesota</t>
        </is>
      </c>
      <c r="M16" s="67" t="inlineStr">
        <is>
          <t xml:space="preserve"> cleveland</t>
        </is>
      </c>
      <c r="N16" s="67" t="inlineStr">
        <is>
          <t xml:space="preserve"> PITTSBURGH</t>
        </is>
      </c>
      <c r="O16" s="67" t="inlineStr">
        <is>
          <t xml:space="preserve"> WASHINGTON</t>
        </is>
      </c>
      <c r="P16" s="67" t="inlineStr">
        <is>
          <t xml:space="preserve"> denver</t>
        </is>
      </c>
      <c r="Q16" s="67" t="inlineStr">
        <is>
          <t xml:space="preserve"> detroit</t>
        </is>
      </c>
      <c r="R16" s="67" t="inlineStr">
        <is>
          <t xml:space="preserve"> san francisco</t>
        </is>
      </c>
      <c r="S16" s="73" t="inlineStr">
        <is>
          <t xml:space="preserve"> ATLANTA</t>
        </is>
      </c>
      <c r="T16" s="69" t="inlineStr">
        <is>
          <t xml:space="preserve"> LOS ANGELES RAMS</t>
        </is>
      </c>
      <c r="U16" s="69" t="inlineStr">
        <is>
          <t xml:space="preserve"> Miami</t>
        </is>
      </c>
      <c r="V16" s="68" t="inlineStr">
        <is>
          <t xml:space="preserve"> Tampa Bay</t>
        </is>
      </c>
      <c r="W16" s="69" t="inlineStr">
        <is>
          <t xml:space="preserve"> Tennessee</t>
        </is>
      </c>
      <c r="X16" s="68" t="inlineStr">
        <is>
          <t xml:space="preserve"> DEAD</t>
        </is>
      </c>
      <c r="Y16" s="12" t="n"/>
      <c r="Z16" s="1">
        <f>IFERROR(COUNTIF(F16:U16,"W")/COUNTA(F16:U16),0)</f>
        <v/>
      </c>
      <c r="AA16">
        <f>MAX($B$10:$B$44)-B16</f>
        <v/>
      </c>
      <c r="AB16" s="1">
        <f>IFERROR(B16/16,0)</f>
        <v/>
      </c>
      <c r="AD16" s="76">
        <f>MAX($B$7:$B$141)-B16</f>
        <v/>
      </c>
      <c r="AG16" s="64" t="n"/>
      <c r="AH16" s="64" t="n"/>
      <c r="AI16" s="64" t="n"/>
      <c r="AJ16" s="64" t="n"/>
      <c r="AK16" s="64" t="n"/>
    </row>
    <row r="17">
      <c r="A17" s="2">
        <f>IF(AD17=0,$AD$46, " ")</f>
        <v/>
      </c>
      <c r="B17">
        <f>SUM(V17:X17)+C17</f>
        <v/>
      </c>
      <c r="C17">
        <f>COUNTA(F17:U17)</f>
        <v/>
      </c>
      <c r="D17">
        <f>_xlfn.RANK.EQ(B17,$B$10:$B$44,0)</f>
        <v/>
      </c>
      <c r="E17" s="71" t="inlineStr">
        <is>
          <t>Phelpy</t>
        </is>
      </c>
      <c r="F17" s="67" t="inlineStr">
        <is>
          <t xml:space="preserve">DALLAS </t>
        </is>
      </c>
      <c r="G17" s="67" t="inlineStr">
        <is>
          <t xml:space="preserve"> philadelphia</t>
        </is>
      </c>
      <c r="H17" s="67" t="inlineStr">
        <is>
          <t xml:space="preserve"> chicago</t>
        </is>
      </c>
      <c r="I17" s="67" t="inlineStr">
        <is>
          <t xml:space="preserve"> TENNESSEE</t>
        </is>
      </c>
      <c r="J17" s="67" t="inlineStr">
        <is>
          <t xml:space="preserve"> MIAMI</t>
        </is>
      </c>
      <c r="K17" s="67" t="inlineStr">
        <is>
          <t xml:space="preserve"> NEW ENGLAND</t>
        </is>
      </c>
      <c r="L17" s="67" t="inlineStr">
        <is>
          <t xml:space="preserve"> minnesota</t>
        </is>
      </c>
      <c r="M17" s="67" t="inlineStr">
        <is>
          <t xml:space="preserve"> NEW YORK JETS</t>
        </is>
      </c>
      <c r="N17" s="67" t="inlineStr">
        <is>
          <t xml:space="preserve"> PITTSBURGH</t>
        </is>
      </c>
      <c r="O17" s="67" t="inlineStr">
        <is>
          <t xml:space="preserve"> WASHINGTON</t>
        </is>
      </c>
      <c r="P17" s="67" t="inlineStr">
        <is>
          <t xml:space="preserve"> LOS ANGELES CHARGERS</t>
        </is>
      </c>
      <c r="Q17" s="67" t="inlineStr">
        <is>
          <t xml:space="preserve"> detroit</t>
        </is>
      </c>
      <c r="R17" s="67" t="inlineStr">
        <is>
          <t xml:space="preserve"> SEATTLE</t>
        </is>
      </c>
      <c r="S17" s="73" t="inlineStr">
        <is>
          <t xml:space="preserve"> baltimore</t>
        </is>
      </c>
      <c r="T17" s="69" t="inlineStr">
        <is>
          <t xml:space="preserve"> LOS ANGELES RAMS</t>
        </is>
      </c>
      <c r="U17" s="69" t="inlineStr">
        <is>
          <t xml:space="preserve"> Tampa Bay</t>
        </is>
      </c>
      <c r="V17" s="68" t="inlineStr">
        <is>
          <t xml:space="preserve"> Las Vegas</t>
        </is>
      </c>
      <c r="W17" s="69" t="inlineStr">
        <is>
          <t xml:space="preserve"> Arizona</t>
        </is>
      </c>
      <c r="X17" s="68" t="inlineStr">
        <is>
          <t xml:space="preserve"> DEAD</t>
        </is>
      </c>
      <c r="Y17" s="12" t="n"/>
      <c r="Z17" s="1">
        <f>IFERROR(COUNTIF(F17:U17,"W")/COUNTA(F17:U17),0)</f>
        <v/>
      </c>
      <c r="AA17">
        <f>MAX($B$10:$B$44)-B17</f>
        <v/>
      </c>
      <c r="AB17" s="1">
        <f>IFERROR(B17/16,0)</f>
        <v/>
      </c>
      <c r="AD17" s="76">
        <f>MAX($B$7:$B$141)-B17</f>
        <v/>
      </c>
      <c r="AG17" s="66" t="n"/>
      <c r="AH17" s="66" t="n"/>
      <c r="AI17" s="66" t="n"/>
      <c r="AJ17" s="66" t="n"/>
      <c r="AK17" s="66" t="n"/>
    </row>
    <row r="18">
      <c r="A18" s="2">
        <f>IF(AD18=0,$AD$46, " ")</f>
        <v/>
      </c>
      <c r="B18">
        <f>SUM(V18:X18)+C18</f>
        <v/>
      </c>
      <c r="C18">
        <f>COUNTA(F18:U18)</f>
        <v/>
      </c>
      <c r="D18">
        <f>_xlfn.RANK.EQ(B18,$B$10:$B$44,0)</f>
        <v/>
      </c>
      <c r="E18" s="71" t="inlineStr">
        <is>
          <t>Stan</t>
        </is>
      </c>
      <c r="F18" s="70" t="inlineStr">
        <is>
          <t xml:space="preserve">DALLAS </t>
        </is>
      </c>
      <c r="G18" s="70" t="inlineStr">
        <is>
          <t xml:space="preserve"> philadelphia</t>
        </is>
      </c>
      <c r="H18" s="70" t="inlineStr">
        <is>
          <t xml:space="preserve"> chicago</t>
        </is>
      </c>
      <c r="I18" s="70" t="inlineStr">
        <is>
          <t xml:space="preserve"> houston </t>
        </is>
      </c>
      <c r="J18" s="70" t="inlineStr">
        <is>
          <t xml:space="preserve"> MIAMI</t>
        </is>
      </c>
      <c r="K18" s="70" t="inlineStr">
        <is>
          <t xml:space="preserve"> las vegas</t>
        </is>
      </c>
      <c r="L18" s="70" t="inlineStr">
        <is>
          <t xml:space="preserve"> minnesota</t>
        </is>
      </c>
      <c r="M18" s="70" t="inlineStr">
        <is>
          <t xml:space="preserve"> cleveland</t>
        </is>
      </c>
      <c r="N18" s="70" t="inlineStr">
        <is>
          <t xml:space="preserve"> PITTSBURGH</t>
        </is>
      </c>
      <c r="O18" s="70" t="inlineStr">
        <is>
          <t xml:space="preserve"> new york giants</t>
        </is>
      </c>
      <c r="P18" s="70" t="inlineStr">
        <is>
          <t xml:space="preserve"> denver</t>
        </is>
      </c>
      <c r="Q18" s="70" t="inlineStr">
        <is>
          <t xml:space="preserve"> ARIZONA</t>
        </is>
      </c>
      <c r="R18" s="70" t="inlineStr">
        <is>
          <t xml:space="preserve"> SEATTLE</t>
        </is>
      </c>
      <c r="S18" s="73" t="inlineStr">
        <is>
          <t xml:space="preserve"> ATLANTA</t>
        </is>
      </c>
      <c r="T18" s="69" t="inlineStr">
        <is>
          <t xml:space="preserve"> LOS ANGELES RAMS</t>
        </is>
      </c>
      <c r="U18" s="69" t="inlineStr">
        <is>
          <t xml:space="preserve"> Tennessee</t>
        </is>
      </c>
      <c r="V18" s="68" t="inlineStr">
        <is>
          <t xml:space="preserve"> Baltimore</t>
        </is>
      </c>
      <c r="W18" s="69" t="inlineStr">
        <is>
          <t xml:space="preserve"> Los Angeles Chargers</t>
        </is>
      </c>
      <c r="X18" s="68" t="inlineStr">
        <is>
          <t xml:space="preserve"> DEAD</t>
        </is>
      </c>
      <c r="Y18" s="12" t="n"/>
      <c r="Z18" s="1">
        <f>IFERROR(COUNTIF(F18:U18,"W")/COUNTA(F18:U18),0)</f>
        <v/>
      </c>
      <c r="AA18">
        <f>MAX($B$10:$B$44)-B18</f>
        <v/>
      </c>
      <c r="AB18" s="1">
        <f>IFERROR(B18/16,0)</f>
        <v/>
      </c>
      <c r="AD18" s="76">
        <f>MAX($B$7:$B$141)-B18</f>
        <v/>
      </c>
      <c r="AG18" s="64" t="n"/>
      <c r="AH18" s="64" t="n"/>
      <c r="AI18" s="64" t="n"/>
      <c r="AJ18" s="64" t="n"/>
      <c r="AK18" s="64" t="n"/>
    </row>
    <row r="19">
      <c r="A19" s="2">
        <f>IF(AD19=0,$AD$46, " ")</f>
        <v/>
      </c>
      <c r="B19">
        <f>SUM(V19:X19)+C19</f>
        <v/>
      </c>
      <c r="C19">
        <f>COUNTA(F19:U19)</f>
        <v/>
      </c>
      <c r="D19">
        <f>_xlfn.RANK.EQ(B19,$B$10:$B$44,0)</f>
        <v/>
      </c>
      <c r="E19" s="71" t="inlineStr">
        <is>
          <t>FMF Doc</t>
        </is>
      </c>
      <c r="F19" s="67" t="inlineStr">
        <is>
          <t xml:space="preserve">DALLAS </t>
        </is>
      </c>
      <c r="G19" s="67" t="inlineStr">
        <is>
          <t xml:space="preserve"> JACKSONVILLE </t>
        </is>
      </c>
      <c r="H19" s="67" t="inlineStr">
        <is>
          <t xml:space="preserve"> chicago</t>
        </is>
      </c>
      <c r="I19" s="67" t="inlineStr">
        <is>
          <t xml:space="preserve"> houston </t>
        </is>
      </c>
      <c r="J19" s="67" t="inlineStr">
        <is>
          <t xml:space="preserve"> MIAMI</t>
        </is>
      </c>
      <c r="K19" s="67" t="inlineStr">
        <is>
          <t xml:space="preserve"> las vegas</t>
        </is>
      </c>
      <c r="L19" s="67" t="inlineStr">
        <is>
          <t xml:space="preserve"> minnesota</t>
        </is>
      </c>
      <c r="M19" s="67" t="inlineStr">
        <is>
          <t xml:space="preserve"> cleveland</t>
        </is>
      </c>
      <c r="N19" s="67" t="inlineStr">
        <is>
          <t xml:space="preserve"> PITTSBURGH</t>
        </is>
      </c>
      <c r="O19" s="67" t="inlineStr">
        <is>
          <t xml:space="preserve"> WASHINGTON</t>
        </is>
      </c>
      <c r="P19" s="67" t="inlineStr">
        <is>
          <t xml:space="preserve"> denver</t>
        </is>
      </c>
      <c r="Q19" s="67" t="inlineStr">
        <is>
          <t xml:space="preserve"> detroit</t>
        </is>
      </c>
      <c r="R19" s="67" t="inlineStr">
        <is>
          <t xml:space="preserve"> SEATTLE</t>
        </is>
      </c>
      <c r="S19" s="73" t="inlineStr">
        <is>
          <t xml:space="preserve"> ATLANTA</t>
        </is>
      </c>
      <c r="T19" s="69" t="inlineStr">
        <is>
          <t xml:space="preserve"> LOS ANGELES RAMS</t>
        </is>
      </c>
      <c r="U19" s="69" t="inlineStr">
        <is>
          <t xml:space="preserve"> Tampa Bay</t>
        </is>
      </c>
      <c r="V19" s="68" t="inlineStr">
        <is>
          <t xml:space="preserve"> Tennessee</t>
        </is>
      </c>
      <c r="W19" s="69" t="inlineStr">
        <is>
          <t xml:space="preserve"> Philadelphia</t>
        </is>
      </c>
      <c r="X19" s="68" t="inlineStr">
        <is>
          <t xml:space="preserve"> DEAD</t>
        </is>
      </c>
      <c r="Y19" s="12" t="n"/>
      <c r="Z19" s="1">
        <f>IFERROR(COUNTIF(F19:U19,"W")/COUNTA(F19:U19),0)</f>
        <v/>
      </c>
      <c r="AA19">
        <f>MAX($B$10:$B$44)-B19</f>
        <v/>
      </c>
      <c r="AB19" s="1">
        <f>IFERROR(B19/16,0)</f>
        <v/>
      </c>
      <c r="AD19" s="76">
        <f>MAX($B$7:$B$141)-B19</f>
        <v/>
      </c>
      <c r="AG19" s="66" t="n"/>
      <c r="AH19" s="66" t="n"/>
      <c r="AI19" s="66" t="n"/>
      <c r="AJ19" s="66" t="n"/>
      <c r="AK19" s="66" t="n"/>
    </row>
    <row r="20">
      <c r="A20" s="2">
        <f>IF(AD20=0,$AD$46, " ")</f>
        <v/>
      </c>
      <c r="B20">
        <f>SUM(V20:X20)+C20</f>
        <v/>
      </c>
      <c r="C20">
        <f>COUNTA(F20:U20)</f>
        <v/>
      </c>
      <c r="D20">
        <f>_xlfn.RANK.EQ(B20,$B$10:$B$44,0)</f>
        <v/>
      </c>
      <c r="E20" s="71" t="inlineStr">
        <is>
          <t>Waffle Hauss</t>
        </is>
      </c>
      <c r="F20" s="67" t="inlineStr">
        <is>
          <t xml:space="preserve">DALLAS </t>
        </is>
      </c>
      <c r="G20" s="67" t="inlineStr">
        <is>
          <t xml:space="preserve"> JACKSONVILLE </t>
        </is>
      </c>
      <c r="H20" s="67" t="inlineStr">
        <is>
          <t xml:space="preserve"> GREEN BAY</t>
        </is>
      </c>
      <c r="I20" s="67" t="inlineStr">
        <is>
          <t xml:space="preserve"> TENNESSEE</t>
        </is>
      </c>
      <c r="J20" s="67" t="inlineStr">
        <is>
          <t xml:space="preserve"> cincinnati </t>
        </is>
      </c>
      <c r="K20" s="67" t="inlineStr">
        <is>
          <t xml:space="preserve"> NEW ENGLAND</t>
        </is>
      </c>
      <c r="L20" s="67" t="inlineStr">
        <is>
          <t xml:space="preserve"> minnesota</t>
        </is>
      </c>
      <c r="M20" s="67" t="inlineStr">
        <is>
          <t xml:space="preserve"> cleveland</t>
        </is>
      </c>
      <c r="N20" s="67" t="inlineStr">
        <is>
          <t xml:space="preserve"> PITTSBURGH</t>
        </is>
      </c>
      <c r="O20" s="67" t="inlineStr">
        <is>
          <t xml:space="preserve"> WASHINGTON</t>
        </is>
      </c>
      <c r="P20" s="67" t="inlineStr">
        <is>
          <t xml:space="preserve"> LOS ANGELES CHARGERS</t>
        </is>
      </c>
      <c r="Q20" s="67" t="inlineStr">
        <is>
          <t xml:space="preserve"> detroit</t>
        </is>
      </c>
      <c r="R20" s="67" t="inlineStr">
        <is>
          <t xml:space="preserve"> san francisco</t>
        </is>
      </c>
      <c r="S20" s="73" t="inlineStr">
        <is>
          <t xml:space="preserve"> ATLANTA</t>
        </is>
      </c>
      <c r="T20" s="69" t="inlineStr">
        <is>
          <t xml:space="preserve"> LOS ANGELES RAMS</t>
        </is>
      </c>
      <c r="U20" s="69" t="inlineStr">
        <is>
          <t xml:space="preserve"> Miami</t>
        </is>
      </c>
      <c r="V20" s="68" t="inlineStr">
        <is>
          <t xml:space="preserve"> Tampa Bay</t>
        </is>
      </c>
      <c r="W20" s="69" t="inlineStr">
        <is>
          <t xml:space="preserve"> Philadelphia</t>
        </is>
      </c>
      <c r="X20" s="68" t="inlineStr">
        <is>
          <t xml:space="preserve"> DEAD</t>
        </is>
      </c>
      <c r="Y20" s="12" t="n"/>
      <c r="Z20" s="1">
        <f>IFERROR(COUNTIF(F20:U20,"W")/COUNTA(F20:U20),0)</f>
        <v/>
      </c>
      <c r="AA20">
        <f>MAX($B$10:$B$44)-B20</f>
        <v/>
      </c>
      <c r="AB20" s="1">
        <f>IFERROR(B20/16,0)</f>
        <v/>
      </c>
      <c r="AD20" s="76">
        <f>MAX($B$7:$B$141)-B20</f>
        <v/>
      </c>
      <c r="AG20" s="64" t="n"/>
      <c r="AH20" s="64" t="n"/>
      <c r="AI20" s="64" t="n"/>
      <c r="AJ20" s="64" t="n"/>
      <c r="AK20" s="64" t="n"/>
    </row>
    <row r="21">
      <c r="A21" s="2">
        <f>IF(AD21=0,$AD$46, " ")</f>
        <v/>
      </c>
      <c r="B21">
        <f>SUM(V21:X21)+C21</f>
        <v/>
      </c>
      <c r="C21">
        <f>COUNTA(F21:U21)</f>
        <v/>
      </c>
      <c r="D21">
        <f>_xlfn.RANK.EQ(B21,$B$10:$B$44,0)</f>
        <v/>
      </c>
      <c r="E21" s="71" t="inlineStr">
        <is>
          <t>Sista Sledge</t>
        </is>
      </c>
      <c r="F21" s="67" t="inlineStr">
        <is>
          <t xml:space="preserve">DALLAS </t>
        </is>
      </c>
      <c r="G21" s="67" t="inlineStr">
        <is>
          <t xml:space="preserve"> philadelphia</t>
        </is>
      </c>
      <c r="H21" s="67" t="inlineStr">
        <is>
          <t xml:space="preserve"> chicago</t>
        </is>
      </c>
      <c r="I21" s="67" t="inlineStr">
        <is>
          <t xml:space="preserve"> houston </t>
        </is>
      </c>
      <c r="J21" s="67" t="inlineStr">
        <is>
          <t xml:space="preserve"> MIAMI</t>
        </is>
      </c>
      <c r="K21" s="67" t="inlineStr">
        <is>
          <t xml:space="preserve"> NEW ENGLAND</t>
        </is>
      </c>
      <c r="L21" s="67" t="inlineStr">
        <is>
          <t xml:space="preserve"> NEW ORLEANS</t>
        </is>
      </c>
      <c r="M21" s="67" t="inlineStr">
        <is>
          <t xml:space="preserve"> cleveland</t>
        </is>
      </c>
      <c r="N21" s="67" t="inlineStr">
        <is>
          <t xml:space="preserve"> indianapolis</t>
        </is>
      </c>
      <c r="O21" s="67" t="inlineStr">
        <is>
          <t xml:space="preserve"> new york giants</t>
        </is>
      </c>
      <c r="P21" s="67" t="inlineStr">
        <is>
          <t xml:space="preserve"> denver</t>
        </is>
      </c>
      <c r="Q21" s="67" t="inlineStr">
        <is>
          <t xml:space="preserve"> detroit</t>
        </is>
      </c>
      <c r="R21" s="67" t="inlineStr">
        <is>
          <t xml:space="preserve"> SEATTLE</t>
        </is>
      </c>
      <c r="S21" s="73" t="inlineStr">
        <is>
          <t xml:space="preserve"> ATLANTA</t>
        </is>
      </c>
      <c r="T21" s="69" t="inlineStr">
        <is>
          <t xml:space="preserve"> LOS ANGELES RAMS</t>
        </is>
      </c>
      <c r="U21" s="69" t="inlineStr">
        <is>
          <t xml:space="preserve"> Tampa Bay</t>
        </is>
      </c>
      <c r="V21" s="68" t="inlineStr">
        <is>
          <t xml:space="preserve"> Tennessee</t>
        </is>
      </c>
      <c r="W21" s="69" t="inlineStr">
        <is>
          <t xml:space="preserve"> Washington</t>
        </is>
      </c>
      <c r="X21" s="68" t="inlineStr">
        <is>
          <t xml:space="preserve"> DEAD</t>
        </is>
      </c>
      <c r="Y21" s="12" t="n"/>
      <c r="Z21" s="1">
        <f>IFERROR(COUNTIF(F21:U21,"W")/COUNTA(F21:U21),0)</f>
        <v/>
      </c>
      <c r="AA21">
        <f>MAX($B$10:$B$44)-B21</f>
        <v/>
      </c>
      <c r="AB21" s="1">
        <f>IFERROR(B21/16,0)</f>
        <v/>
      </c>
      <c r="AD21" s="76">
        <f>MAX($B$7:$B$141)-B21</f>
        <v/>
      </c>
      <c r="AG21" s="66" t="n"/>
      <c r="AH21" s="66" t="n"/>
      <c r="AI21" s="66" t="n"/>
      <c r="AJ21" s="66" t="n"/>
      <c r="AK21" s="66" t="n"/>
    </row>
    <row r="22">
      <c r="A22" s="2">
        <f>IF(AD22=0,$AD$46, " ")</f>
        <v/>
      </c>
      <c r="B22">
        <f>SUM(V22:X22)+C22</f>
        <v/>
      </c>
      <c r="C22">
        <f>COUNTA(F22:U22)</f>
        <v/>
      </c>
      <c r="D22">
        <f>_xlfn.RANK.EQ(B22,$B$10:$B$44,0)</f>
        <v/>
      </c>
      <c r="E22" s="71" t="inlineStr">
        <is>
          <t>tb</t>
        </is>
      </c>
      <c r="F22" s="67" t="inlineStr">
        <is>
          <t>tampa bay</t>
        </is>
      </c>
      <c r="G22" s="67" t="inlineStr">
        <is>
          <t xml:space="preserve"> JACKSONVILLE </t>
        </is>
      </c>
      <c r="H22" s="67" t="inlineStr">
        <is>
          <t xml:space="preserve"> chicago</t>
        </is>
      </c>
      <c r="I22" s="67" t="inlineStr">
        <is>
          <t xml:space="preserve"> TENNESSEE</t>
        </is>
      </c>
      <c r="J22" s="67" t="inlineStr">
        <is>
          <t xml:space="preserve"> cincinnati </t>
        </is>
      </c>
      <c r="K22" s="67" t="inlineStr">
        <is>
          <t xml:space="preserve"> NEW ENGLAND</t>
        </is>
      </c>
      <c r="L22" s="67" t="inlineStr">
        <is>
          <t xml:space="preserve"> minnesota</t>
        </is>
      </c>
      <c r="M22" s="67" t="inlineStr">
        <is>
          <t xml:space="preserve"> cleveland</t>
        </is>
      </c>
      <c r="N22" s="67" t="inlineStr">
        <is>
          <t xml:space="preserve"> indianapolis</t>
        </is>
      </c>
      <c r="O22" s="67" t="inlineStr">
        <is>
          <t xml:space="preserve"> new york giants</t>
        </is>
      </c>
      <c r="P22" s="67" t="inlineStr">
        <is>
          <t xml:space="preserve"> LOS ANGELES CHARGERS</t>
        </is>
      </c>
      <c r="Q22" s="67" t="inlineStr">
        <is>
          <t xml:space="preserve"> detroit</t>
        </is>
      </c>
      <c r="R22" s="67" t="inlineStr">
        <is>
          <t xml:space="preserve"> SEATTLE</t>
        </is>
      </c>
      <c r="S22" s="73" t="inlineStr">
        <is>
          <t xml:space="preserve"> ATLANTA</t>
        </is>
      </c>
      <c r="T22" s="69" t="inlineStr">
        <is>
          <t xml:space="preserve"> LOS ANGELES RAMS</t>
        </is>
      </c>
      <c r="U22" s="69" t="inlineStr">
        <is>
          <t xml:space="preserve"> Tampa Bay</t>
        </is>
      </c>
      <c r="V22" s="68" t="inlineStr">
        <is>
          <t xml:space="preserve"> Miami</t>
        </is>
      </c>
      <c r="W22" s="69" t="inlineStr">
        <is>
          <t xml:space="preserve"> Tennessee</t>
        </is>
      </c>
      <c r="X22" s="68" t="inlineStr">
        <is>
          <t xml:space="preserve"> DEAD</t>
        </is>
      </c>
      <c r="Y22" s="12" t="n"/>
      <c r="Z22" s="1">
        <f>IFERROR(COUNTIF(F22:U22,"W")/COUNTA(F22:U22),0)</f>
        <v/>
      </c>
      <c r="AA22">
        <f>MAX($B$10:$B$44)-B22</f>
        <v/>
      </c>
      <c r="AB22" s="1">
        <f>IFERROR(B22/16,0)</f>
        <v/>
      </c>
      <c r="AD22" s="76">
        <f>MAX($B$7:$B$141)-B22</f>
        <v/>
      </c>
      <c r="AG22" s="64" t="n"/>
      <c r="AH22" s="64" t="n"/>
      <c r="AI22" s="64" t="n"/>
      <c r="AJ22" s="64" t="n"/>
      <c r="AK22" s="64" t="n"/>
    </row>
    <row r="23">
      <c r="A23" s="2">
        <f>IF(AD23=0,$AD$46, " ")</f>
        <v/>
      </c>
      <c r="B23">
        <f>SUM(V23:X23)+C23</f>
        <v/>
      </c>
      <c r="C23">
        <f>COUNTA(F23:U23)</f>
        <v/>
      </c>
      <c r="D23">
        <f>_xlfn.RANK.EQ(B23,$B$10:$B$44,0)</f>
        <v/>
      </c>
      <c r="E23" s="71" t="inlineStr">
        <is>
          <t>Katie A</t>
        </is>
      </c>
      <c r="F23" s="67" t="inlineStr">
        <is>
          <t xml:space="preserve">DALLAS </t>
        </is>
      </c>
      <c r="G23" s="67" t="inlineStr">
        <is>
          <t xml:space="preserve"> JACKSONVILLE </t>
        </is>
      </c>
      <c r="H23" s="67" t="inlineStr">
        <is>
          <t xml:space="preserve"> chicago</t>
        </is>
      </c>
      <c r="I23" s="67" t="inlineStr">
        <is>
          <t xml:space="preserve"> houston </t>
        </is>
      </c>
      <c r="J23" s="67" t="inlineStr">
        <is>
          <t xml:space="preserve"> cincinnati </t>
        </is>
      </c>
      <c r="K23" s="67" t="inlineStr">
        <is>
          <t xml:space="preserve"> NEW ENGLAND</t>
        </is>
      </c>
      <c r="L23" s="67" t="inlineStr">
        <is>
          <t xml:space="preserve"> minnesota</t>
        </is>
      </c>
      <c r="M23" s="67" t="inlineStr">
        <is>
          <t xml:space="preserve"> NEW YORK JETS</t>
        </is>
      </c>
      <c r="N23" s="67" t="inlineStr">
        <is>
          <t xml:space="preserve"> PITTSBURGH</t>
        </is>
      </c>
      <c r="O23" s="67" t="inlineStr">
        <is>
          <t xml:space="preserve"> WASHINGTON</t>
        </is>
      </c>
      <c r="P23" s="67" t="inlineStr">
        <is>
          <t xml:space="preserve"> denver</t>
        </is>
      </c>
      <c r="Q23" s="67" t="inlineStr">
        <is>
          <t xml:space="preserve"> detroit</t>
        </is>
      </c>
      <c r="R23" s="67" t="inlineStr">
        <is>
          <t xml:space="preserve"> SEATTLE</t>
        </is>
      </c>
      <c r="S23" s="73" t="inlineStr">
        <is>
          <t xml:space="preserve"> baltimore</t>
        </is>
      </c>
      <c r="T23" s="69" t="inlineStr">
        <is>
          <t xml:space="preserve"> LOS ANGELES RAMS</t>
        </is>
      </c>
      <c r="U23" s="69" t="inlineStr">
        <is>
          <t xml:space="preserve"> Tampa Bay</t>
        </is>
      </c>
      <c r="V23" s="68" t="inlineStr">
        <is>
          <t xml:space="preserve"> Philadelphia</t>
        </is>
      </c>
      <c r="W23" s="69" t="inlineStr">
        <is>
          <t xml:space="preserve"> Miami</t>
        </is>
      </c>
      <c r="X23" s="68" t="inlineStr">
        <is>
          <t xml:space="preserve"> DEAD</t>
        </is>
      </c>
      <c r="Y23" s="12" t="n"/>
      <c r="Z23" s="1">
        <f>IFERROR(COUNTIF(F23:U23,"W")/COUNTA(F23:U23),0)</f>
        <v/>
      </c>
      <c r="AA23">
        <f>MAX($B$10:$B$44)-B23</f>
        <v/>
      </c>
      <c r="AB23" s="1">
        <f>IFERROR(B23/16,0)</f>
        <v/>
      </c>
      <c r="AD23" s="76">
        <f>MAX($B$7:$B$141)-B23</f>
        <v/>
      </c>
      <c r="AG23" s="66" t="n"/>
      <c r="AH23" s="66" t="n"/>
      <c r="AI23" s="66" t="n"/>
      <c r="AJ23" s="66" t="n"/>
      <c r="AK23" s="66" t="n"/>
    </row>
    <row r="24">
      <c r="A24" s="2">
        <f>IF(AD24=0,$AD$46, " ")</f>
        <v/>
      </c>
      <c r="B24">
        <f>SUM(V24:X24)+C24</f>
        <v/>
      </c>
      <c r="C24">
        <f>COUNTA(F24:U24)</f>
        <v/>
      </c>
      <c r="D24">
        <f>_xlfn.RANK.EQ(B24,$B$10:$B$44,0)</f>
        <v/>
      </c>
      <c r="E24" s="71" t="inlineStr">
        <is>
          <t>The Dark Side</t>
        </is>
      </c>
      <c r="F24" s="67" t="inlineStr">
        <is>
          <t>tampa bay</t>
        </is>
      </c>
      <c r="G24" s="67" t="inlineStr">
        <is>
          <t xml:space="preserve"> JACKSONVILLE </t>
        </is>
      </c>
      <c r="H24" s="67" t="inlineStr">
        <is>
          <t xml:space="preserve"> chicago</t>
        </is>
      </c>
      <c r="I24" s="67" t="inlineStr">
        <is>
          <t xml:space="preserve"> houston </t>
        </is>
      </c>
      <c r="J24" s="67" t="inlineStr">
        <is>
          <t xml:space="preserve"> cincinnati </t>
        </is>
      </c>
      <c r="K24" s="67" t="inlineStr">
        <is>
          <t xml:space="preserve"> NEW ENGLAND</t>
        </is>
      </c>
      <c r="L24" s="67" t="inlineStr">
        <is>
          <t xml:space="preserve"> minnesota</t>
        </is>
      </c>
      <c r="M24" s="67" t="inlineStr">
        <is>
          <t xml:space="preserve"> cleveland</t>
        </is>
      </c>
      <c r="N24" s="67" t="inlineStr">
        <is>
          <t xml:space="preserve"> indianapolis</t>
        </is>
      </c>
      <c r="O24" s="67" t="inlineStr">
        <is>
          <t xml:space="preserve"> WASHINGTON</t>
        </is>
      </c>
      <c r="P24" s="67" t="inlineStr">
        <is>
          <t xml:space="preserve"> denver</t>
        </is>
      </c>
      <c r="Q24" s="67" t="inlineStr">
        <is>
          <t xml:space="preserve"> detroit</t>
        </is>
      </c>
      <c r="R24" s="67" t="inlineStr">
        <is>
          <t xml:space="preserve"> SEATTLE</t>
        </is>
      </c>
      <c r="S24" s="73" t="inlineStr">
        <is>
          <t xml:space="preserve"> baltimore</t>
        </is>
      </c>
      <c r="T24" s="69" t="inlineStr">
        <is>
          <t xml:space="preserve"> LOS ANGELES RAMS</t>
        </is>
      </c>
      <c r="U24" s="69" t="inlineStr">
        <is>
          <t xml:space="preserve"> Miami</t>
        </is>
      </c>
      <c r="V24" s="68" t="inlineStr">
        <is>
          <t xml:space="preserve"> Arizona</t>
        </is>
      </c>
      <c r="W24" s="69" t="inlineStr">
        <is>
          <t xml:space="preserve"> Tennessee</t>
        </is>
      </c>
      <c r="X24" s="68" t="inlineStr">
        <is>
          <t xml:space="preserve"> DEAD</t>
        </is>
      </c>
      <c r="Y24" s="12" t="n"/>
      <c r="Z24" s="1">
        <f>IFERROR(COUNTIF(F24:U24,"W")/COUNTA(F24:U24),0)</f>
        <v/>
      </c>
      <c r="AA24">
        <f>MAX($B$10:$B$44)-B24</f>
        <v/>
      </c>
      <c r="AB24" s="1">
        <f>IFERROR(B24/16,0)</f>
        <v/>
      </c>
      <c r="AD24" s="76">
        <f>MAX($B$7:$B$141)-B24</f>
        <v/>
      </c>
      <c r="AG24" s="64" t="n"/>
      <c r="AH24" s="64" t="n"/>
      <c r="AI24" s="64" t="n"/>
      <c r="AJ24" s="64" t="n"/>
      <c r="AK24" s="64" t="n"/>
    </row>
    <row r="25">
      <c r="A25" s="2">
        <f>IF(AD25=0,$AD$46, " ")</f>
        <v/>
      </c>
      <c r="B25">
        <f>SUM(V25:X25)+C25</f>
        <v/>
      </c>
      <c r="C25">
        <f>COUNTA(F25:U25)</f>
        <v/>
      </c>
      <c r="D25">
        <f>_xlfn.RANK.EQ(B25,$B$10:$B$44,0)</f>
        <v/>
      </c>
      <c r="E25" s="71" t="inlineStr">
        <is>
          <t>Debe</t>
        </is>
      </c>
      <c r="F25" s="67" t="inlineStr">
        <is>
          <t>tampa bay</t>
        </is>
      </c>
      <c r="G25" s="67" t="inlineStr">
        <is>
          <t xml:space="preserve"> philadelphia</t>
        </is>
      </c>
      <c r="H25" s="67" t="inlineStr">
        <is>
          <t xml:space="preserve"> chicago</t>
        </is>
      </c>
      <c r="I25" s="67" t="inlineStr">
        <is>
          <t xml:space="preserve"> TENNESSEE</t>
        </is>
      </c>
      <c r="J25" s="67" t="inlineStr">
        <is>
          <t xml:space="preserve"> cincinnati </t>
        </is>
      </c>
      <c r="K25" s="67" t="inlineStr">
        <is>
          <t xml:space="preserve"> las vegas</t>
        </is>
      </c>
      <c r="L25" s="67" t="inlineStr">
        <is>
          <t xml:space="preserve"> minnesota</t>
        </is>
      </c>
      <c r="M25" s="67" t="inlineStr">
        <is>
          <t xml:space="preserve"> cleveland</t>
        </is>
      </c>
      <c r="N25" s="67" t="inlineStr">
        <is>
          <t xml:space="preserve"> PITTSBURGH</t>
        </is>
      </c>
      <c r="O25" s="67" t="inlineStr">
        <is>
          <t xml:space="preserve"> WASHINGTON</t>
        </is>
      </c>
      <c r="P25" s="67" t="inlineStr">
        <is>
          <t xml:space="preserve"> denver</t>
        </is>
      </c>
      <c r="Q25" s="67" t="inlineStr">
        <is>
          <t xml:space="preserve"> detroit</t>
        </is>
      </c>
      <c r="R25" s="67" t="inlineStr">
        <is>
          <t xml:space="preserve"> SEATTLE</t>
        </is>
      </c>
      <c r="S25" s="73" t="inlineStr">
        <is>
          <t xml:space="preserve"> ATLANTA</t>
        </is>
      </c>
      <c r="T25" s="69" t="inlineStr">
        <is>
          <t xml:space="preserve"> buffalo</t>
        </is>
      </c>
      <c r="U25" s="69" t="inlineStr">
        <is>
          <t xml:space="preserve"> Los Angeles Rams</t>
        </is>
      </c>
      <c r="V25" s="68" t="inlineStr">
        <is>
          <t xml:space="preserve"> New York Jets</t>
        </is>
      </c>
      <c r="W25" s="69" t="inlineStr">
        <is>
          <t xml:space="preserve"> Miami</t>
        </is>
      </c>
      <c r="X25" s="68" t="inlineStr">
        <is>
          <t xml:space="preserve"> DEAD</t>
        </is>
      </c>
      <c r="Y25" s="12" t="n"/>
      <c r="Z25" s="1">
        <f>IFERROR(COUNTIF(F25:U25,"W")/COUNTA(F25:U25),0)</f>
        <v/>
      </c>
      <c r="AA25">
        <f>MAX($B$10:$B$44)-B25</f>
        <v/>
      </c>
      <c r="AB25" s="1">
        <f>IFERROR(B25/16,0)</f>
        <v/>
      </c>
      <c r="AD25" s="76">
        <f>MAX($B$7:$B$141)-B25</f>
        <v/>
      </c>
    </row>
    <row r="26">
      <c r="A26" s="2">
        <f>IF(AD26=0,$AD$46, " ")</f>
        <v/>
      </c>
      <c r="B26">
        <f>SUM(V26:X26)+C26</f>
        <v/>
      </c>
      <c r="C26">
        <f>COUNTA(F26:U26)</f>
        <v/>
      </c>
      <c r="D26">
        <f>_xlfn.RANK.EQ(B26,$B$10:$B$44,0)</f>
        <v/>
      </c>
      <c r="E26" s="71" t="inlineStr">
        <is>
          <t>Jim T</t>
        </is>
      </c>
      <c r="F26" s="70" t="inlineStr">
        <is>
          <t xml:space="preserve">DALLAS </t>
        </is>
      </c>
      <c r="G26" s="70" t="inlineStr">
        <is>
          <t xml:space="preserve"> JACKSONVILLE </t>
        </is>
      </c>
      <c r="H26" s="70" t="inlineStr">
        <is>
          <t xml:space="preserve"> GREEN BAY</t>
        </is>
      </c>
      <c r="I26" s="70" t="inlineStr">
        <is>
          <t xml:space="preserve"> houston </t>
        </is>
      </c>
      <c r="J26" s="70" t="inlineStr">
        <is>
          <t xml:space="preserve"> MIAMI</t>
        </is>
      </c>
      <c r="K26" s="70" t="inlineStr">
        <is>
          <t xml:space="preserve"> NEW ENGLAND</t>
        </is>
      </c>
      <c r="L26" s="70" t="inlineStr">
        <is>
          <t xml:space="preserve"> minnesota</t>
        </is>
      </c>
      <c r="M26" s="70" t="inlineStr">
        <is>
          <t xml:space="preserve"> NEW YORK JETS</t>
        </is>
      </c>
      <c r="N26" s="70" t="inlineStr">
        <is>
          <t xml:space="preserve"> PITTSBURGH</t>
        </is>
      </c>
      <c r="O26" s="70" t="inlineStr">
        <is>
          <t xml:space="preserve"> new york giants</t>
        </is>
      </c>
      <c r="P26" s="70" t="inlineStr">
        <is>
          <t xml:space="preserve"> denver</t>
        </is>
      </c>
      <c r="Q26" s="70" t="inlineStr">
        <is>
          <t xml:space="preserve"> detroit</t>
        </is>
      </c>
      <c r="R26" s="70" t="inlineStr">
        <is>
          <t xml:space="preserve"> SEATTLE</t>
        </is>
      </c>
      <c r="S26" s="73" t="inlineStr">
        <is>
          <t xml:space="preserve"> ATLANTA</t>
        </is>
      </c>
      <c r="T26" s="69" t="inlineStr">
        <is>
          <t xml:space="preserve"> buffalo</t>
        </is>
      </c>
      <c r="U26" s="69" t="inlineStr">
        <is>
          <t xml:space="preserve"> Tennessee</t>
        </is>
      </c>
      <c r="V26" s="68" t="inlineStr">
        <is>
          <t xml:space="preserve"> Miami</t>
        </is>
      </c>
      <c r="W26" s="69" t="inlineStr">
        <is>
          <t xml:space="preserve"> Las Vegas</t>
        </is>
      </c>
      <c r="X26" s="68" t="inlineStr">
        <is>
          <t xml:space="preserve"> DEAD</t>
        </is>
      </c>
      <c r="Y26" s="12" t="n"/>
      <c r="Z26" s="1">
        <f>IFERROR(COUNTIF(F26:U26,"W")/COUNTA(F26:U26),0)</f>
        <v/>
      </c>
      <c r="AA26">
        <f>MAX($B$10:$B$44)-B26</f>
        <v/>
      </c>
      <c r="AB26" s="1">
        <f>IFERROR(B26/16,0)</f>
        <v/>
      </c>
      <c r="AD26" s="76">
        <f>MAX($B$7:$B$141)-B26</f>
        <v/>
      </c>
    </row>
    <row r="27">
      <c r="A27" s="2">
        <f>IF(AD27=0,$AD$46, " ")</f>
        <v/>
      </c>
      <c r="B27">
        <f>SUM(V27:X27)+C27</f>
        <v/>
      </c>
      <c r="C27">
        <f>COUNTA(F27:U27)</f>
        <v/>
      </c>
      <c r="D27">
        <f>_xlfn.RANK.EQ(B27,$B$10:$B$44,0)</f>
        <v/>
      </c>
      <c r="E27" s="71" t="inlineStr">
        <is>
          <t>Regltr5</t>
        </is>
      </c>
      <c r="F27" s="67" t="inlineStr">
        <is>
          <t>tampa bay</t>
        </is>
      </c>
      <c r="G27" s="67" t="inlineStr">
        <is>
          <t xml:space="preserve"> JACKSONVILLE </t>
        </is>
      </c>
      <c r="H27" s="67" t="inlineStr">
        <is>
          <t xml:space="preserve"> chicago</t>
        </is>
      </c>
      <c r="I27" s="67" t="inlineStr">
        <is>
          <t xml:space="preserve"> houston </t>
        </is>
      </c>
      <c r="J27" s="67" t="inlineStr">
        <is>
          <t xml:space="preserve"> cincinnati </t>
        </is>
      </c>
      <c r="K27" s="67" t="inlineStr">
        <is>
          <t xml:space="preserve"> las vegas</t>
        </is>
      </c>
      <c r="L27" s="67" t="inlineStr">
        <is>
          <t xml:space="preserve"> minnesota</t>
        </is>
      </c>
      <c r="M27" s="67" t="inlineStr">
        <is>
          <t xml:space="preserve"> cleveland</t>
        </is>
      </c>
      <c r="N27" s="67" t="inlineStr">
        <is>
          <t xml:space="preserve"> indianapolis</t>
        </is>
      </c>
      <c r="O27" s="67" t="inlineStr">
        <is>
          <t xml:space="preserve"> new york giants</t>
        </is>
      </c>
      <c r="P27" s="67" t="inlineStr">
        <is>
          <t xml:space="preserve"> denver</t>
        </is>
      </c>
      <c r="Q27" s="67" t="inlineStr">
        <is>
          <t xml:space="preserve"> detroit</t>
        </is>
      </c>
      <c r="R27" s="67" t="inlineStr">
        <is>
          <t xml:space="preserve"> san francisco</t>
        </is>
      </c>
      <c r="S27" s="73" t="inlineStr">
        <is>
          <t xml:space="preserve"> ATLANTA</t>
        </is>
      </c>
      <c r="T27" s="69" t="inlineStr">
        <is>
          <t xml:space="preserve"> buffalo</t>
        </is>
      </c>
      <c r="U27" s="69" t="inlineStr">
        <is>
          <t xml:space="preserve"> Tennessee</t>
        </is>
      </c>
      <c r="V27" s="68" t="inlineStr">
        <is>
          <t xml:space="preserve"> Miami</t>
        </is>
      </c>
      <c r="W27" s="69" t="inlineStr">
        <is>
          <t xml:space="preserve"> Philadelphia</t>
        </is>
      </c>
      <c r="X27" s="68" t="inlineStr">
        <is>
          <t xml:space="preserve"> DEAD</t>
        </is>
      </c>
      <c r="Y27" s="12" t="n"/>
      <c r="Z27" s="1">
        <f>IFERROR(COUNTIF(F27:U27,"W")/COUNTA(F27:U27),0)</f>
        <v/>
      </c>
      <c r="AA27">
        <f>MAX($B$10:$B$44)-B27</f>
        <v/>
      </c>
      <c r="AB27" s="1">
        <f>IFERROR(B27/16,0)</f>
        <v/>
      </c>
      <c r="AD27" s="76">
        <f>MAX($B$7:$B$141)-B27</f>
        <v/>
      </c>
    </row>
    <row r="28">
      <c r="A28" s="2">
        <f>IF(AD28=0,$AD$46, " ")</f>
        <v/>
      </c>
      <c r="B28">
        <f>SUM(V28:X28)+C28</f>
        <v/>
      </c>
      <c r="C28">
        <f>COUNTA(F28:U28)</f>
        <v/>
      </c>
      <c r="D28">
        <f>_xlfn.RANK.EQ(B28,$B$10:$B$44,0)</f>
        <v/>
      </c>
      <c r="E28" s="71" t="inlineStr">
        <is>
          <t>Samsaunt</t>
        </is>
      </c>
      <c r="F28" s="67" t="inlineStr">
        <is>
          <t xml:space="preserve">DALLAS </t>
        </is>
      </c>
      <c r="G28" s="67" t="inlineStr">
        <is>
          <t xml:space="preserve"> JACKSONVILLE </t>
        </is>
      </c>
      <c r="H28" s="67" t="inlineStr">
        <is>
          <t xml:space="preserve"> chicago</t>
        </is>
      </c>
      <c r="I28" s="67" t="inlineStr">
        <is>
          <t xml:space="preserve"> houston </t>
        </is>
      </c>
      <c r="J28" s="67" t="inlineStr">
        <is>
          <t xml:space="preserve"> cincinnati </t>
        </is>
      </c>
      <c r="K28" s="67" t="inlineStr">
        <is>
          <t xml:space="preserve"> las vegas</t>
        </is>
      </c>
      <c r="L28" s="67" t="inlineStr">
        <is>
          <t xml:space="preserve"> minnesota</t>
        </is>
      </c>
      <c r="M28" s="67" t="inlineStr">
        <is>
          <t xml:space="preserve"> cleveland</t>
        </is>
      </c>
      <c r="N28" s="67" t="inlineStr">
        <is>
          <t xml:space="preserve"> PITTSBURGH</t>
        </is>
      </c>
      <c r="O28" s="67" t="inlineStr">
        <is>
          <t xml:space="preserve"> new york giants</t>
        </is>
      </c>
      <c r="P28" s="67" t="inlineStr">
        <is>
          <t xml:space="preserve"> LOS ANGELES CHARGERS</t>
        </is>
      </c>
      <c r="Q28" s="67" t="inlineStr">
        <is>
          <t xml:space="preserve"> detroit</t>
        </is>
      </c>
      <c r="R28" s="67" t="inlineStr">
        <is>
          <t xml:space="preserve"> san francisco</t>
        </is>
      </c>
      <c r="S28" s="73" t="inlineStr">
        <is>
          <t xml:space="preserve"> ATLANTA</t>
        </is>
      </c>
      <c r="T28" s="69" t="inlineStr">
        <is>
          <t xml:space="preserve"> buffalo</t>
        </is>
      </c>
      <c r="U28" s="69" t="inlineStr">
        <is>
          <t xml:space="preserve"> Tampa Bay</t>
        </is>
      </c>
      <c r="V28" s="68" t="inlineStr">
        <is>
          <t xml:space="preserve"> Arizona</t>
        </is>
      </c>
      <c r="W28" s="69" t="inlineStr">
        <is>
          <t xml:space="preserve"> Jacksonville</t>
        </is>
      </c>
      <c r="X28" s="68" t="inlineStr">
        <is>
          <t xml:space="preserve"> DEAD</t>
        </is>
      </c>
      <c r="Y28" s="12" t="n"/>
      <c r="Z28" s="1">
        <f>IFERROR(COUNTIF(F28:U28,"W")/COUNTA(F28:U28),0)</f>
        <v/>
      </c>
      <c r="AA28">
        <f>MAX($B$10:$B$44)-B28</f>
        <v/>
      </c>
      <c r="AB28" s="1">
        <f>IFERROR(B28/16,0)</f>
        <v/>
      </c>
      <c r="AD28" s="76">
        <f>MAX($B$7:$B$141)-B28</f>
        <v/>
      </c>
    </row>
    <row r="29">
      <c r="A29" s="2">
        <f>IF(AD29=0,$AD$46, " ")</f>
        <v/>
      </c>
      <c r="B29">
        <f>SUM(V29:X29)+C29</f>
        <v/>
      </c>
      <c r="C29">
        <f>COUNTA(F29:U29)</f>
        <v/>
      </c>
      <c r="D29">
        <f>_xlfn.RANK.EQ(B29,$B$10:$B$44,0)</f>
        <v/>
      </c>
      <c r="E29" s="71" t="inlineStr">
        <is>
          <t>meatloaf</t>
        </is>
      </c>
      <c r="F29" s="70" t="inlineStr">
        <is>
          <t xml:space="preserve">DALLAS </t>
        </is>
      </c>
      <c r="G29" s="70" t="inlineStr">
        <is>
          <t xml:space="preserve"> philadelphia</t>
        </is>
      </c>
      <c r="H29" s="70" t="inlineStr">
        <is>
          <t xml:space="preserve"> GREEN BAY</t>
        </is>
      </c>
      <c r="I29" s="70" t="inlineStr">
        <is>
          <t xml:space="preserve"> TENNESSEE</t>
        </is>
      </c>
      <c r="J29" s="70" t="inlineStr">
        <is>
          <t xml:space="preserve"> cincinnati </t>
        </is>
      </c>
      <c r="K29" s="70" t="inlineStr">
        <is>
          <t xml:space="preserve"> NEW ENGLAND</t>
        </is>
      </c>
      <c r="L29" s="70" t="inlineStr">
        <is>
          <t xml:space="preserve"> NEW ORLEANS</t>
        </is>
      </c>
      <c r="M29" s="70" t="inlineStr">
        <is>
          <t xml:space="preserve"> cleveland</t>
        </is>
      </c>
      <c r="N29" s="70" t="inlineStr">
        <is>
          <t xml:space="preserve"> PITTSBURGH</t>
        </is>
      </c>
      <c r="O29" s="70" t="inlineStr">
        <is>
          <t xml:space="preserve"> WASHINGTON</t>
        </is>
      </c>
      <c r="P29" s="70" t="inlineStr">
        <is>
          <t xml:space="preserve"> LOS ANGELES CHARGERS</t>
        </is>
      </c>
      <c r="Q29" s="70" t="inlineStr">
        <is>
          <t xml:space="preserve"> detroit</t>
        </is>
      </c>
      <c r="R29" s="70" t="inlineStr">
        <is>
          <t xml:space="preserve"> SEATTLE</t>
        </is>
      </c>
      <c r="S29" s="73" t="inlineStr">
        <is>
          <t xml:space="preserve"> ATLANTA</t>
        </is>
      </c>
      <c r="T29" s="69" t="inlineStr">
        <is>
          <t xml:space="preserve"> LOS ANGELES RAMS</t>
        </is>
      </c>
      <c r="U29" s="69" t="inlineStr">
        <is>
          <t xml:space="preserve"> Tampa Bay</t>
        </is>
      </c>
      <c r="V29" s="68" t="inlineStr">
        <is>
          <t xml:space="preserve"> Miami</t>
        </is>
      </c>
      <c r="W29" s="69" t="inlineStr">
        <is>
          <t xml:space="preserve"> Baltimore</t>
        </is>
      </c>
      <c r="X29" s="68" t="inlineStr">
        <is>
          <t xml:space="preserve"> DEAD</t>
        </is>
      </c>
      <c r="Y29" s="12" t="n"/>
      <c r="Z29" s="1">
        <f>IFERROR(COUNTIF(F29:U29,"W")/COUNTA(F29:U29),0)</f>
        <v/>
      </c>
      <c r="AA29">
        <f>MAX($B$10:$B$44)-B29</f>
        <v/>
      </c>
      <c r="AB29" s="1">
        <f>IFERROR(B29/16,0)</f>
        <v/>
      </c>
      <c r="AD29" s="76">
        <f>MAX($B$7:$B$141)-B29</f>
        <v/>
      </c>
    </row>
    <row r="30">
      <c r="A30" s="2">
        <f>IF(AD30=0,$AD$46, " ")</f>
        <v/>
      </c>
      <c r="B30">
        <f>SUM(V30:X30)+C30</f>
        <v/>
      </c>
      <c r="C30">
        <f>COUNTA(F30:U30)</f>
        <v/>
      </c>
      <c r="D30">
        <f>_xlfn.RANK.EQ(B30,$B$10:$B$44,0)</f>
        <v/>
      </c>
      <c r="E30" s="71" t="inlineStr">
        <is>
          <t>Gr8granpa</t>
        </is>
      </c>
      <c r="F30" s="70" t="inlineStr">
        <is>
          <t xml:space="preserve">DALLAS </t>
        </is>
      </c>
      <c r="G30" s="70" t="inlineStr">
        <is>
          <t xml:space="preserve"> JACKSONVILLE </t>
        </is>
      </c>
      <c r="H30" s="70" t="inlineStr">
        <is>
          <t xml:space="preserve"> chicago</t>
        </is>
      </c>
      <c r="I30" s="70" t="inlineStr">
        <is>
          <t xml:space="preserve"> houston </t>
        </is>
      </c>
      <c r="J30" s="70" t="inlineStr">
        <is>
          <t xml:space="preserve"> cincinnati </t>
        </is>
      </c>
      <c r="K30" s="70" t="inlineStr">
        <is>
          <t xml:space="preserve"> NEW ENGLAND</t>
        </is>
      </c>
      <c r="L30" s="70" t="inlineStr">
        <is>
          <t xml:space="preserve"> minnesota</t>
        </is>
      </c>
      <c r="M30" s="70" t="inlineStr">
        <is>
          <t xml:space="preserve"> NEW YORK JETS</t>
        </is>
      </c>
      <c r="N30" s="70" t="inlineStr">
        <is>
          <t xml:space="preserve"> PITTSBURGH</t>
        </is>
      </c>
      <c r="O30" s="70" t="inlineStr">
        <is>
          <t xml:space="preserve"> WASHINGTON</t>
        </is>
      </c>
      <c r="P30" s="70" t="inlineStr">
        <is>
          <t xml:space="preserve"> denver</t>
        </is>
      </c>
      <c r="Q30" s="70" t="inlineStr">
        <is>
          <t xml:space="preserve"> detroit</t>
        </is>
      </c>
      <c r="R30" s="70" t="inlineStr">
        <is>
          <t xml:space="preserve"> SEATTLE</t>
        </is>
      </c>
      <c r="S30" s="73" t="inlineStr">
        <is>
          <t xml:space="preserve"> ATLANTA</t>
        </is>
      </c>
      <c r="T30" s="69" t="inlineStr">
        <is>
          <t xml:space="preserve"> LOS ANGELES RAMS</t>
        </is>
      </c>
      <c r="U30" s="69" t="inlineStr">
        <is>
          <t xml:space="preserve"> Philadelphia</t>
        </is>
      </c>
      <c r="V30" s="68" t="inlineStr">
        <is>
          <t xml:space="preserve"> Miami</t>
        </is>
      </c>
      <c r="W30" s="69" t="inlineStr">
        <is>
          <t xml:space="preserve"> Tampa Bay</t>
        </is>
      </c>
      <c r="X30" s="68" t="inlineStr">
        <is>
          <t xml:space="preserve"> Detroit</t>
        </is>
      </c>
      <c r="Y30" s="12" t="n"/>
      <c r="Z30" s="1">
        <f>IFERROR(COUNTIF(F30:U30,"W")/COUNTA(F30:U30),0)</f>
        <v/>
      </c>
      <c r="AA30">
        <f>MAX($B$10:$B$44)-B30</f>
        <v/>
      </c>
      <c r="AB30" s="1">
        <f>IFERROR(B30/16,0)</f>
        <v/>
      </c>
      <c r="AD30" s="76">
        <f>MAX($B$7:$B$141)-B30</f>
        <v/>
      </c>
    </row>
    <row r="31">
      <c r="A31" s="2">
        <f>IF(AD31=0,$AD$46, " ")</f>
        <v/>
      </c>
      <c r="B31">
        <f>SUM(V31:X31)+C31</f>
        <v/>
      </c>
      <c r="C31">
        <f>COUNTA(F31:U31)</f>
        <v/>
      </c>
      <c r="D31">
        <f>_xlfn.RANK.EQ(B31,$B$10:$B$44,0)</f>
        <v/>
      </c>
      <c r="E31" s="71" t="inlineStr">
        <is>
          <t>Navygolfer</t>
        </is>
      </c>
      <c r="F31" s="70" t="inlineStr">
        <is>
          <t xml:space="preserve">DALLAS </t>
        </is>
      </c>
      <c r="G31" s="70" t="inlineStr">
        <is>
          <t xml:space="preserve"> JACKSONVILLE </t>
        </is>
      </c>
      <c r="H31" s="70" t="inlineStr">
        <is>
          <t xml:space="preserve"> chicago</t>
        </is>
      </c>
      <c r="I31" s="70" t="inlineStr">
        <is>
          <t xml:space="preserve"> houston </t>
        </is>
      </c>
      <c r="J31" s="70" t="inlineStr">
        <is>
          <t xml:space="preserve"> cincinnati </t>
        </is>
      </c>
      <c r="K31" s="70" t="inlineStr">
        <is>
          <t xml:space="preserve"> NEW ENGLAND</t>
        </is>
      </c>
      <c r="L31" s="70" t="inlineStr">
        <is>
          <t xml:space="preserve"> minnesota</t>
        </is>
      </c>
      <c r="M31" s="70" t="inlineStr">
        <is>
          <t xml:space="preserve"> NEW YORK JETS</t>
        </is>
      </c>
      <c r="N31" s="70" t="inlineStr">
        <is>
          <t xml:space="preserve"> PITTSBURGH</t>
        </is>
      </c>
      <c r="O31" s="70" t="inlineStr">
        <is>
          <t xml:space="preserve"> new york giants</t>
        </is>
      </c>
      <c r="P31" s="70" t="inlineStr">
        <is>
          <t xml:space="preserve"> denver</t>
        </is>
      </c>
      <c r="Q31" s="70" t="inlineStr">
        <is>
          <t xml:space="preserve"> detroit</t>
        </is>
      </c>
      <c r="R31" s="70" t="inlineStr">
        <is>
          <t xml:space="preserve"> san francisco</t>
        </is>
      </c>
      <c r="S31" s="73" t="inlineStr">
        <is>
          <t xml:space="preserve"> ATLANTA</t>
        </is>
      </c>
      <c r="T31" s="69" t="inlineStr">
        <is>
          <t xml:space="preserve"> LOS ANGELES RAMS</t>
        </is>
      </c>
      <c r="U31" s="69" t="inlineStr">
        <is>
          <t xml:space="preserve"> Miami</t>
        </is>
      </c>
      <c r="V31" s="68" t="inlineStr">
        <is>
          <t xml:space="preserve"> Tampa Bay</t>
        </is>
      </c>
      <c r="W31" s="69" t="inlineStr">
        <is>
          <t xml:space="preserve"> Washington</t>
        </is>
      </c>
      <c r="X31" s="68" t="inlineStr">
        <is>
          <t xml:space="preserve"> DEAD</t>
        </is>
      </c>
      <c r="Y31" s="12" t="n"/>
      <c r="Z31" s="1">
        <f>IFERROR(COUNTIF(F31:U31,"W")/COUNTA(F31:U31),0)</f>
        <v/>
      </c>
      <c r="AA31">
        <f>MAX($B$10:$B$44)-B31</f>
        <v/>
      </c>
      <c r="AB31" s="1">
        <f>IFERROR(B31/16,0)</f>
        <v/>
      </c>
      <c r="AD31" s="76">
        <f>MAX($B$7:$B$141)-B31</f>
        <v/>
      </c>
    </row>
    <row r="32">
      <c r="A32" s="2">
        <f>IF(AD32=0,$AD$46, " ")</f>
        <v/>
      </c>
      <c r="B32">
        <f>SUM(V32:X32)+C32</f>
        <v/>
      </c>
      <c r="C32">
        <f>COUNTA(F32:U32)</f>
        <v/>
      </c>
      <c r="D32">
        <f>_xlfn.RANK.EQ(B32,$B$10:$B$44,0)</f>
        <v/>
      </c>
      <c r="E32" s="71" t="inlineStr">
        <is>
          <t>Vonasek Family</t>
        </is>
      </c>
      <c r="F32" s="70" t="inlineStr">
        <is>
          <t>tampa bay</t>
        </is>
      </c>
      <c r="G32" s="70" t="inlineStr">
        <is>
          <t xml:space="preserve"> JACKSONVILLE </t>
        </is>
      </c>
      <c r="H32" s="70" t="inlineStr">
        <is>
          <t xml:space="preserve"> GREEN BAY</t>
        </is>
      </c>
      <c r="I32" s="70" t="inlineStr">
        <is>
          <t xml:space="preserve"> houston </t>
        </is>
      </c>
      <c r="J32" s="70" t="inlineStr">
        <is>
          <t xml:space="preserve"> MIAMI</t>
        </is>
      </c>
      <c r="K32" s="70" t="inlineStr">
        <is>
          <t xml:space="preserve"> las vegas</t>
        </is>
      </c>
      <c r="L32" s="70" t="inlineStr">
        <is>
          <t xml:space="preserve"> minnesota</t>
        </is>
      </c>
      <c r="M32" s="70" t="inlineStr">
        <is>
          <t xml:space="preserve"> NEW YORK JETS</t>
        </is>
      </c>
      <c r="N32" s="70" t="inlineStr">
        <is>
          <t xml:space="preserve"> PITTSBURGH</t>
        </is>
      </c>
      <c r="O32" s="70" t="inlineStr">
        <is>
          <t xml:space="preserve"> new york giants</t>
        </is>
      </c>
      <c r="P32" s="70" t="inlineStr">
        <is>
          <t xml:space="preserve"> denver</t>
        </is>
      </c>
      <c r="Q32" s="70" t="inlineStr">
        <is>
          <t xml:space="preserve"> detroit</t>
        </is>
      </c>
      <c r="R32" s="70" t="inlineStr">
        <is>
          <t xml:space="preserve"> SEATTLE</t>
        </is>
      </c>
      <c r="S32" s="73" t="inlineStr">
        <is>
          <t xml:space="preserve"> baltimore</t>
        </is>
      </c>
      <c r="T32" s="69" t="inlineStr">
        <is>
          <t xml:space="preserve"> LOS ANGELES RAMS</t>
        </is>
      </c>
      <c r="U32" s="69" t="inlineStr">
        <is>
          <t xml:space="preserve"> Arizona</t>
        </is>
      </c>
      <c r="V32" s="68" t="inlineStr">
        <is>
          <t xml:space="preserve"> Washington</t>
        </is>
      </c>
      <c r="W32" s="69" t="inlineStr">
        <is>
          <t xml:space="preserve"> Tennessee</t>
        </is>
      </c>
      <c r="X32" s="68" t="inlineStr">
        <is>
          <t xml:space="preserve"> DEAD</t>
        </is>
      </c>
      <c r="Y32" s="12" t="n"/>
      <c r="Z32" s="1">
        <f>IFERROR(COUNTIF(F32:U32,"W")/COUNTA(F32:U32),0)</f>
        <v/>
      </c>
      <c r="AA32">
        <f>MAX($B$10:$B$44)-B32</f>
        <v/>
      </c>
      <c r="AB32" s="1">
        <f>IFERROR(B32/16,0)</f>
        <v/>
      </c>
      <c r="AD32" s="76">
        <f>MAX($B$7:$B$141)-B32</f>
        <v/>
      </c>
    </row>
    <row r="33">
      <c r="A33" s="2">
        <f>IF(AD33=0,$AD$46, " ")</f>
        <v/>
      </c>
      <c r="B33">
        <f>SUM(V33:X33)+C33</f>
        <v/>
      </c>
      <c r="C33">
        <f>COUNTA(F33:U33)</f>
        <v/>
      </c>
      <c r="D33">
        <f>_xlfn.RANK.EQ(B33,$B$10:$B$44,0)</f>
        <v/>
      </c>
      <c r="E33" s="71" t="inlineStr">
        <is>
          <t>Bob h</t>
        </is>
      </c>
      <c r="F33" s="70" t="inlineStr">
        <is>
          <t xml:space="preserve">DALLAS </t>
        </is>
      </c>
      <c r="G33" s="70" t="inlineStr">
        <is>
          <t xml:space="preserve"> philadelphia</t>
        </is>
      </c>
      <c r="H33" s="70" t="inlineStr">
        <is>
          <t xml:space="preserve"> chicago</t>
        </is>
      </c>
      <c r="I33" s="70" t="inlineStr">
        <is>
          <t xml:space="preserve"> houston </t>
        </is>
      </c>
      <c r="J33" s="70" t="inlineStr">
        <is>
          <t xml:space="preserve"> cincinnati </t>
        </is>
      </c>
      <c r="K33" s="70" t="inlineStr">
        <is>
          <t xml:space="preserve"> NEW ENGLAND</t>
        </is>
      </c>
      <c r="L33" s="70" t="inlineStr">
        <is>
          <t xml:space="preserve"> minnesota</t>
        </is>
      </c>
      <c r="M33" s="70" t="inlineStr">
        <is>
          <t xml:space="preserve"> NEW YORK JETS</t>
        </is>
      </c>
      <c r="N33" s="70" t="inlineStr">
        <is>
          <t xml:space="preserve"> indianapolis</t>
        </is>
      </c>
      <c r="O33" s="70" t="inlineStr">
        <is>
          <t xml:space="preserve"> WASHINGTON</t>
        </is>
      </c>
      <c r="P33" s="70" t="inlineStr">
        <is>
          <t xml:space="preserve"> denver</t>
        </is>
      </c>
      <c r="Q33" s="70" t="inlineStr">
        <is>
          <t xml:space="preserve"> detroit</t>
        </is>
      </c>
      <c r="R33" s="70" t="inlineStr">
        <is>
          <t xml:space="preserve"> san francisco</t>
        </is>
      </c>
      <c r="S33" s="73" t="inlineStr">
        <is>
          <t xml:space="preserve"> baltimore</t>
        </is>
      </c>
      <c r="T33" s="69" t="inlineStr">
        <is>
          <t xml:space="preserve"> LOS ANGELES RAMS</t>
        </is>
      </c>
      <c r="U33" s="69" t="inlineStr">
        <is>
          <t xml:space="preserve"> Arizona</t>
        </is>
      </c>
      <c r="V33" s="68" t="inlineStr">
        <is>
          <t xml:space="preserve"> Los Angeles Chargers</t>
        </is>
      </c>
      <c r="W33" s="69" t="inlineStr">
        <is>
          <t xml:space="preserve"> Green Bay</t>
        </is>
      </c>
      <c r="X33" s="68" t="inlineStr">
        <is>
          <t xml:space="preserve"> DEAD</t>
        </is>
      </c>
      <c r="Y33" s="12" t="n"/>
      <c r="Z33" s="1">
        <f>IFERROR(COUNTIF(F33:U33,"W")/COUNTA(F33:U33),0)</f>
        <v/>
      </c>
      <c r="AA33">
        <f>MAX($B$10:$B$44)-B33</f>
        <v/>
      </c>
      <c r="AB33" s="1">
        <f>IFERROR(B33/16,0)</f>
        <v/>
      </c>
      <c r="AD33" s="76">
        <f>MAX($B$7:$B$141)-B33</f>
        <v/>
      </c>
    </row>
    <row r="34">
      <c r="A34" s="2">
        <f>IF(AD34=0,$AD$46, " ")</f>
        <v/>
      </c>
      <c r="B34">
        <f>SUM(V34:X34)+C34</f>
        <v/>
      </c>
      <c r="C34">
        <f>COUNTA(F34:U34)</f>
        <v/>
      </c>
      <c r="D34">
        <f>_xlfn.RANK.EQ(B34,$B$10:$B$44,0)</f>
        <v/>
      </c>
      <c r="E34" s="71" t="inlineStr">
        <is>
          <t>cuetop</t>
        </is>
      </c>
      <c r="F34" s="70" t="inlineStr">
        <is>
          <t xml:space="preserve">DALLAS </t>
        </is>
      </c>
      <c r="G34" s="67" t="inlineStr">
        <is>
          <t xml:space="preserve"> JACKSONVILLE </t>
        </is>
      </c>
      <c r="H34" s="67" t="inlineStr">
        <is>
          <t xml:space="preserve"> chicago</t>
        </is>
      </c>
      <c r="I34" s="67" t="inlineStr">
        <is>
          <t xml:space="preserve"> houston </t>
        </is>
      </c>
      <c r="J34" s="67" t="inlineStr">
        <is>
          <t xml:space="preserve"> cincinnati </t>
        </is>
      </c>
      <c r="K34" s="67" t="inlineStr">
        <is>
          <t xml:space="preserve"> NEW ENGLAND</t>
        </is>
      </c>
      <c r="L34" s="67" t="inlineStr">
        <is>
          <t xml:space="preserve"> minnesota</t>
        </is>
      </c>
      <c r="M34" s="67" t="inlineStr">
        <is>
          <t xml:space="preserve"> cleveland</t>
        </is>
      </c>
      <c r="N34" s="67" t="inlineStr">
        <is>
          <t xml:space="preserve"> indianapolis</t>
        </is>
      </c>
      <c r="O34" s="67" t="inlineStr">
        <is>
          <t xml:space="preserve"> new york giants</t>
        </is>
      </c>
      <c r="P34" s="67" t="inlineStr">
        <is>
          <t xml:space="preserve"> denver</t>
        </is>
      </c>
      <c r="Q34" s="67" t="inlineStr">
        <is>
          <t xml:space="preserve"> detroit</t>
        </is>
      </c>
      <c r="R34" s="67" t="inlineStr">
        <is>
          <t xml:space="preserve"> san francisco</t>
        </is>
      </c>
      <c r="S34" s="73" t="inlineStr">
        <is>
          <t xml:space="preserve"> baltimore</t>
        </is>
      </c>
      <c r="T34" s="69" t="inlineStr">
        <is>
          <t xml:space="preserve"> LOS ANGELES RAMS</t>
        </is>
      </c>
      <c r="U34" s="69" t="inlineStr">
        <is>
          <t xml:space="preserve"> Miami</t>
        </is>
      </c>
      <c r="V34" s="68" t="inlineStr">
        <is>
          <t xml:space="preserve"> Los Angeles Rams Chargers</t>
        </is>
      </c>
      <c r="W34" s="69" t="inlineStr">
        <is>
          <t xml:space="preserve"> Tampa Bay</t>
        </is>
      </c>
      <c r="X34" s="68" t="inlineStr">
        <is>
          <t xml:space="preserve"> DEAD</t>
        </is>
      </c>
      <c r="Y34" s="12" t="n"/>
      <c r="Z34" s="1">
        <f>IFERROR(COUNTIF(F34:U34,"W")/COUNTA(F34:U34),0)</f>
        <v/>
      </c>
      <c r="AA34">
        <f>MAX($B$10:$B$44)-B34</f>
        <v/>
      </c>
      <c r="AB34" s="1">
        <f>IFERROR(B34/16,0)</f>
        <v/>
      </c>
      <c r="AD34" s="76">
        <f>MAX($B$7:$B$141)-B34</f>
        <v/>
      </c>
    </row>
    <row r="35">
      <c r="A35" s="2">
        <f>IF(AD35=0,$AD$46, " ")</f>
        <v/>
      </c>
      <c r="B35">
        <f>SUM(V35:X35)+C35</f>
        <v/>
      </c>
      <c r="C35">
        <f>COUNTA(F35:U35)</f>
        <v/>
      </c>
      <c r="D35">
        <f>_xlfn.RANK.EQ(B35,$B$10:$B$44,0)</f>
        <v/>
      </c>
      <c r="E35" s="71" t="inlineStr">
        <is>
          <t>Mrp4real</t>
        </is>
      </c>
      <c r="F35" s="67" t="inlineStr">
        <is>
          <t xml:space="preserve">DALLAS </t>
        </is>
      </c>
      <c r="G35" s="67" t="inlineStr">
        <is>
          <t xml:space="preserve"> JACKSONVILLE </t>
        </is>
      </c>
      <c r="H35" s="67" t="inlineStr">
        <is>
          <t xml:space="preserve"> chicago</t>
        </is>
      </c>
      <c r="I35" s="67" t="inlineStr">
        <is>
          <t xml:space="preserve"> houston </t>
        </is>
      </c>
      <c r="J35" s="67" t="inlineStr">
        <is>
          <t xml:space="preserve"> cincinnati </t>
        </is>
      </c>
      <c r="K35" s="67" t="inlineStr">
        <is>
          <t xml:space="preserve"> NEW ENGLAND</t>
        </is>
      </c>
      <c r="L35" s="67" t="inlineStr">
        <is>
          <t xml:space="preserve"> minnesota</t>
        </is>
      </c>
      <c r="M35" s="67" t="inlineStr">
        <is>
          <t xml:space="preserve"> cleveland</t>
        </is>
      </c>
      <c r="N35" s="67" t="inlineStr">
        <is>
          <t xml:space="preserve"> indianapolis</t>
        </is>
      </c>
      <c r="O35" s="67" t="inlineStr">
        <is>
          <t xml:space="preserve"> WASHINGTON</t>
        </is>
      </c>
      <c r="P35" s="67" t="inlineStr">
        <is>
          <t xml:space="preserve"> denver</t>
        </is>
      </c>
      <c r="Q35" s="67" t="inlineStr">
        <is>
          <t xml:space="preserve"> detroit</t>
        </is>
      </c>
      <c r="R35" s="67" t="inlineStr">
        <is>
          <t xml:space="preserve"> SEATTLE</t>
        </is>
      </c>
      <c r="S35" s="73" t="inlineStr">
        <is>
          <t xml:space="preserve"> baltimore</t>
        </is>
      </c>
      <c r="T35" s="69" t="inlineStr">
        <is>
          <t xml:space="preserve"> buffalo</t>
        </is>
      </c>
      <c r="U35" s="69" t="inlineStr">
        <is>
          <t xml:space="preserve"> New York Jets</t>
        </is>
      </c>
      <c r="V35" s="68" t="inlineStr">
        <is>
          <t xml:space="preserve"> Tampa Bay</t>
        </is>
      </c>
      <c r="W35" s="69" t="inlineStr">
        <is>
          <t xml:space="preserve"> Arizona</t>
        </is>
      </c>
      <c r="X35" s="68" t="inlineStr">
        <is>
          <t xml:space="preserve"> DEAD</t>
        </is>
      </c>
      <c r="Y35" s="12" t="n"/>
      <c r="Z35" s="1">
        <f>IFERROR(COUNTIF(F35:U35,"W")/COUNTA(F35:U35),0)</f>
        <v/>
      </c>
      <c r="AA35">
        <f>MAX($B$10:$B$44)-B35</f>
        <v/>
      </c>
      <c r="AB35" s="1">
        <f>IFERROR(B35/16,0)</f>
        <v/>
      </c>
      <c r="AD35" s="76">
        <f>MAX($B$7:$B$141)-B35</f>
        <v/>
      </c>
    </row>
    <row r="36">
      <c r="A36" s="2">
        <f>IF(AD36=0,$AD$46, " ")</f>
        <v/>
      </c>
      <c r="B36">
        <f>SUM(V36:X36)+C36</f>
        <v/>
      </c>
      <c r="C36">
        <f>COUNTA(F36:U36)</f>
        <v/>
      </c>
      <c r="D36">
        <f>_xlfn.RANK.EQ(B36,$B$10:$B$44,0)</f>
        <v/>
      </c>
      <c r="E36" s="71" t="inlineStr">
        <is>
          <t>Ddupuy</t>
        </is>
      </c>
      <c r="F36" s="67" t="inlineStr">
        <is>
          <t xml:space="preserve">DALLAS </t>
        </is>
      </c>
      <c r="G36" s="67" t="inlineStr">
        <is>
          <t xml:space="preserve"> JACKSONVILLE </t>
        </is>
      </c>
      <c r="H36" s="67" t="inlineStr">
        <is>
          <t xml:space="preserve"> chicago</t>
        </is>
      </c>
      <c r="I36" s="67" t="inlineStr">
        <is>
          <t xml:space="preserve"> TENNESSEE</t>
        </is>
      </c>
      <c r="J36" s="67" t="inlineStr">
        <is>
          <t xml:space="preserve"> cincinnati </t>
        </is>
      </c>
      <c r="K36" s="70" t="inlineStr">
        <is>
          <t xml:space="preserve"> las vegas</t>
        </is>
      </c>
      <c r="L36" s="67" t="inlineStr">
        <is>
          <t xml:space="preserve"> NEW ORLEANS</t>
        </is>
      </c>
      <c r="M36" s="67" t="inlineStr">
        <is>
          <t xml:space="preserve"> cleveland</t>
        </is>
      </c>
      <c r="N36" s="67" t="inlineStr">
        <is>
          <t xml:space="preserve"> PITTSBURGH</t>
        </is>
      </c>
      <c r="O36" s="67" t="inlineStr">
        <is>
          <t xml:space="preserve"> new york giants</t>
        </is>
      </c>
      <c r="P36" s="67" t="inlineStr">
        <is>
          <t xml:space="preserve"> denver</t>
        </is>
      </c>
      <c r="Q36" s="67" t="inlineStr">
        <is>
          <t xml:space="preserve"> detroit</t>
        </is>
      </c>
      <c r="R36" s="67" t="inlineStr">
        <is>
          <t xml:space="preserve"> san francisco</t>
        </is>
      </c>
      <c r="S36" s="73" t="inlineStr">
        <is>
          <t xml:space="preserve"> baltimore</t>
        </is>
      </c>
      <c r="T36" s="69" t="inlineStr">
        <is>
          <t xml:space="preserve"> buffalo</t>
        </is>
      </c>
      <c r="U36" s="69" t="inlineStr">
        <is>
          <t xml:space="preserve"> Tampa Bay</t>
        </is>
      </c>
      <c r="V36" s="68" t="inlineStr">
        <is>
          <t xml:space="preserve"> Miami</t>
        </is>
      </c>
      <c r="W36" s="69" t="inlineStr">
        <is>
          <t xml:space="preserve"> Los Angeles Chargers</t>
        </is>
      </c>
      <c r="X36" s="68" t="inlineStr">
        <is>
          <t xml:space="preserve"> DEAD</t>
        </is>
      </c>
      <c r="Y36" s="12" t="n"/>
      <c r="Z36" s="1">
        <f>IFERROR(COUNTIF(F36:U36,"W")/COUNTA(F36:U36),0)</f>
        <v/>
      </c>
      <c r="AA36">
        <f>MAX($B$10:$B$44)-B36</f>
        <v/>
      </c>
      <c r="AB36" s="1">
        <f>IFERROR(B36/16,0)</f>
        <v/>
      </c>
      <c r="AD36" s="76">
        <f>MAX($B$7:$B$141)-B36</f>
        <v/>
      </c>
    </row>
    <row r="37">
      <c r="A37" s="2">
        <f>IF(AD37=0,$AD$46, " ")</f>
        <v/>
      </c>
      <c r="B37">
        <f>SUM(V37:X37)+C37</f>
        <v/>
      </c>
      <c r="C37">
        <f>COUNTA(F37:U37)</f>
        <v/>
      </c>
      <c r="D37">
        <f>_xlfn.RANK.EQ(B37,$B$10:$B$44,0)</f>
        <v/>
      </c>
      <c r="E37" s="71" t="inlineStr">
        <is>
          <t>Kit</t>
        </is>
      </c>
      <c r="F37" s="70" t="inlineStr">
        <is>
          <t>tampa bay</t>
        </is>
      </c>
      <c r="G37" s="70" t="inlineStr">
        <is>
          <t xml:space="preserve"> philadelphia</t>
        </is>
      </c>
      <c r="H37" s="70" t="inlineStr">
        <is>
          <t xml:space="preserve"> GREEN BAY</t>
        </is>
      </c>
      <c r="I37" s="70" t="inlineStr">
        <is>
          <t xml:space="preserve"> houston </t>
        </is>
      </c>
      <c r="J37" s="70" t="inlineStr">
        <is>
          <t xml:space="preserve"> cincinnati </t>
        </is>
      </c>
      <c r="K37" s="70" t="inlineStr">
        <is>
          <t xml:space="preserve"> NEW ENGLAND</t>
        </is>
      </c>
      <c r="L37" s="70" t="inlineStr">
        <is>
          <t xml:space="preserve"> minnesota</t>
        </is>
      </c>
      <c r="M37" s="70" t="inlineStr">
        <is>
          <t xml:space="preserve"> cleveland</t>
        </is>
      </c>
      <c r="N37" s="70" t="inlineStr">
        <is>
          <t xml:space="preserve"> PITTSBURGH</t>
        </is>
      </c>
      <c r="O37" s="70" t="inlineStr">
        <is>
          <t xml:space="preserve"> WASHINGTON</t>
        </is>
      </c>
      <c r="P37" s="70" t="inlineStr">
        <is>
          <t xml:space="preserve"> denver</t>
        </is>
      </c>
      <c r="Q37" s="70" t="inlineStr">
        <is>
          <t xml:space="preserve"> detroit</t>
        </is>
      </c>
      <c r="R37" s="70" t="inlineStr">
        <is>
          <t xml:space="preserve"> san francisco</t>
        </is>
      </c>
      <c r="S37" s="73" t="inlineStr">
        <is>
          <t xml:space="preserve"> ATLANTA</t>
        </is>
      </c>
      <c r="T37" s="69" t="inlineStr">
        <is>
          <t xml:space="preserve"> buffalo</t>
        </is>
      </c>
      <c r="U37" s="69" t="inlineStr">
        <is>
          <t xml:space="preserve"> Tennessee</t>
        </is>
      </c>
      <c r="V37" s="68" t="inlineStr">
        <is>
          <t xml:space="preserve"> Dallas</t>
        </is>
      </c>
      <c r="W37" s="69" t="inlineStr">
        <is>
          <t xml:space="preserve"> Arizona</t>
        </is>
      </c>
      <c r="X37" s="68" t="inlineStr">
        <is>
          <t xml:space="preserve"> DEAD</t>
        </is>
      </c>
      <c r="Y37" s="12" t="n"/>
      <c r="Z37" s="1">
        <f>IFERROR(COUNTIF(F37:U37,"W")/COUNTA(F37:U37),0)</f>
        <v/>
      </c>
      <c r="AA37">
        <f>MAX($B$10:$B$44)-B37</f>
        <v/>
      </c>
      <c r="AB37" s="1">
        <f>IFERROR(B37/16,0)</f>
        <v/>
      </c>
      <c r="AD37" s="76">
        <f>MAX($B$7:$B$141)-B37</f>
        <v/>
      </c>
    </row>
    <row r="38">
      <c r="A38" s="2">
        <f>IF(AD38=0,$AD$46, " ")</f>
        <v/>
      </c>
      <c r="B38">
        <f>SUM(V38:X38)+C38</f>
        <v/>
      </c>
      <c r="C38">
        <f>COUNTA(F38:U38)</f>
        <v/>
      </c>
      <c r="D38">
        <f>_xlfn.RANK.EQ(B38,$B$10:$B$44,0)</f>
        <v/>
      </c>
      <c r="E38" s="72" t="inlineStr">
        <is>
          <t>CraneGuy936</t>
        </is>
      </c>
      <c r="F38" s="70" t="inlineStr">
        <is>
          <t xml:space="preserve">DALLAS </t>
        </is>
      </c>
      <c r="G38" s="70" t="inlineStr">
        <is>
          <t xml:space="preserve"> JACKSONVILLE </t>
        </is>
      </c>
      <c r="H38" s="70" t="inlineStr">
        <is>
          <t xml:space="preserve"> chicago</t>
        </is>
      </c>
      <c r="I38" s="70" t="inlineStr">
        <is>
          <t xml:space="preserve"> houston </t>
        </is>
      </c>
      <c r="J38" s="70" t="inlineStr">
        <is>
          <t xml:space="preserve"> cincinnati </t>
        </is>
      </c>
      <c r="K38" s="70" t="inlineStr">
        <is>
          <t xml:space="preserve"> NEW ENGLAND</t>
        </is>
      </c>
      <c r="L38" s="70" t="inlineStr">
        <is>
          <t xml:space="preserve"> minnesota</t>
        </is>
      </c>
      <c r="M38" s="70" t="inlineStr">
        <is>
          <t xml:space="preserve"> cleveland</t>
        </is>
      </c>
      <c r="N38" s="70" t="inlineStr">
        <is>
          <t xml:space="preserve"> PITTSBURGH</t>
        </is>
      </c>
      <c r="O38" s="70" t="inlineStr">
        <is>
          <t xml:space="preserve"> WASHINGTON</t>
        </is>
      </c>
      <c r="P38" s="70" t="inlineStr">
        <is>
          <t xml:space="preserve"> denver</t>
        </is>
      </c>
      <c r="Q38" s="70" t="inlineStr">
        <is>
          <t xml:space="preserve"> detroit</t>
        </is>
      </c>
      <c r="R38" s="70" t="inlineStr">
        <is>
          <t xml:space="preserve"> SEATTLE</t>
        </is>
      </c>
      <c r="S38" s="73" t="inlineStr">
        <is>
          <t xml:space="preserve"> ATLANTA</t>
        </is>
      </c>
      <c r="T38" s="69" t="inlineStr">
        <is>
          <t xml:space="preserve"> LOS ANGELES RAMS</t>
        </is>
      </c>
      <c r="U38" s="69" t="inlineStr">
        <is>
          <t xml:space="preserve"> Tampa Bay</t>
        </is>
      </c>
      <c r="V38" s="68" t="inlineStr">
        <is>
          <t xml:space="preserve"> Miami</t>
        </is>
      </c>
      <c r="W38" s="69" t="inlineStr">
        <is>
          <t xml:space="preserve"> New Orleans</t>
        </is>
      </c>
      <c r="X38" s="68" t="inlineStr">
        <is>
          <t xml:space="preserve"> DEAD</t>
        </is>
      </c>
      <c r="Y38" s="12" t="n"/>
      <c r="Z38" s="1">
        <f>IFERROR(COUNTIF(F38:U38,"W")/COUNTA(F38:U38),0)</f>
        <v/>
      </c>
      <c r="AA38">
        <f>MAX($B$10:$B$44)-B38</f>
        <v/>
      </c>
      <c r="AB38" s="1">
        <f>IFERROR(B38/16,0)</f>
        <v/>
      </c>
      <c r="AD38" s="76">
        <f>MAX($B$7:$B$141)-B38</f>
        <v/>
      </c>
    </row>
    <row r="39">
      <c r="A39" s="2">
        <f>IF(AD39=0,$AD$46, " ")</f>
        <v/>
      </c>
      <c r="B39">
        <f>SUM(V39:X39)+C39</f>
        <v/>
      </c>
      <c r="C39">
        <f>COUNTA(F39:U39)</f>
        <v/>
      </c>
      <c r="D39">
        <f>_xlfn.RANK.EQ(B39,$B$10:$B$44,0)</f>
        <v/>
      </c>
      <c r="E39" s="72" t="inlineStr">
        <is>
          <t>Ian</t>
        </is>
      </c>
      <c r="F39" s="74" t="inlineStr">
        <is>
          <t xml:space="preserve">DALLAS </t>
        </is>
      </c>
      <c r="G39" s="74" t="inlineStr">
        <is>
          <t xml:space="preserve"> JACKSONVILLE </t>
        </is>
      </c>
      <c r="H39" s="74" t="inlineStr">
        <is>
          <t xml:space="preserve"> chicago</t>
        </is>
      </c>
      <c r="I39" s="74" t="inlineStr">
        <is>
          <t xml:space="preserve"> TENNESSEE</t>
        </is>
      </c>
      <c r="J39" s="74" t="inlineStr">
        <is>
          <t xml:space="preserve"> cincinnati </t>
        </is>
      </c>
      <c r="K39" s="74" t="inlineStr">
        <is>
          <t xml:space="preserve"> las vegas</t>
        </is>
      </c>
      <c r="L39" s="74" t="inlineStr">
        <is>
          <t xml:space="preserve"> minnesota</t>
        </is>
      </c>
      <c r="M39" s="74" t="inlineStr">
        <is>
          <t xml:space="preserve"> cleveland</t>
        </is>
      </c>
      <c r="N39" s="74" t="inlineStr">
        <is>
          <t xml:space="preserve"> PITTSBURGH</t>
        </is>
      </c>
      <c r="O39" s="74" t="inlineStr">
        <is>
          <t xml:space="preserve"> new york giants</t>
        </is>
      </c>
      <c r="P39" s="74" t="inlineStr">
        <is>
          <t xml:space="preserve"> denver</t>
        </is>
      </c>
      <c r="Q39" s="74" t="inlineStr">
        <is>
          <t xml:space="preserve"> ARIZONA</t>
        </is>
      </c>
      <c r="R39" s="74" t="inlineStr">
        <is>
          <t xml:space="preserve"> san francisco</t>
        </is>
      </c>
      <c r="S39" s="73" t="inlineStr">
        <is>
          <t xml:space="preserve"> baltimore</t>
        </is>
      </c>
      <c r="T39" s="69" t="inlineStr">
        <is>
          <t xml:space="preserve"> buffalo</t>
        </is>
      </c>
      <c r="U39" s="69" t="inlineStr">
        <is>
          <t xml:space="preserve"> Miami</t>
        </is>
      </c>
      <c r="V39" s="73" t="inlineStr">
        <is>
          <t xml:space="preserve"> Houston</t>
        </is>
      </c>
      <c r="W39" s="69" t="inlineStr">
        <is>
          <t xml:space="preserve"> Los Angeles Chargers</t>
        </is>
      </c>
      <c r="X39" s="73" t="inlineStr">
        <is>
          <t xml:space="preserve"> DEAD</t>
        </is>
      </c>
      <c r="Y39" s="12" t="n"/>
      <c r="Z39" s="1">
        <f>IFERROR(COUNTIF(F39:U39,"W")/COUNTA(F39:U39),0)</f>
        <v/>
      </c>
      <c r="AA39">
        <f>MAX($B$10:$B$44)-B39</f>
        <v/>
      </c>
      <c r="AB39" s="1">
        <f>IFERROR(B39/16,0)</f>
        <v/>
      </c>
      <c r="AD39" s="76">
        <f>MAX($B$7:$B$141)-B39</f>
        <v/>
      </c>
    </row>
    <row r="40">
      <c r="A40" s="2">
        <f>IF(AD40=0,$AD$46, " ")</f>
        <v/>
      </c>
      <c r="B40">
        <f>SUM(V40:X40)+C40</f>
        <v/>
      </c>
      <c r="C40">
        <f>COUNTA(F40:U40)</f>
        <v/>
      </c>
      <c r="D40">
        <f>_xlfn.RANK.EQ(B40,$B$10:$B$44,0)</f>
        <v/>
      </c>
      <c r="E40" s="72" t="inlineStr">
        <is>
          <t>MayeDay! MayeDay!</t>
        </is>
      </c>
      <c r="F40" s="69" t="inlineStr">
        <is>
          <t>tampa bay</t>
        </is>
      </c>
      <c r="G40" s="69" t="inlineStr">
        <is>
          <t xml:space="preserve"> philadelphia</t>
        </is>
      </c>
      <c r="H40" s="69" t="inlineStr">
        <is>
          <t xml:space="preserve"> chicago</t>
        </is>
      </c>
      <c r="I40" s="69" t="inlineStr">
        <is>
          <t xml:space="preserve"> TENNESSEE</t>
        </is>
      </c>
      <c r="J40" s="69" t="inlineStr">
        <is>
          <t xml:space="preserve"> MIAMI</t>
        </is>
      </c>
      <c r="K40" s="69" t="inlineStr">
        <is>
          <t xml:space="preserve"> NEW ENGLAND</t>
        </is>
      </c>
      <c r="L40" s="69" t="inlineStr">
        <is>
          <t xml:space="preserve"> minnesota</t>
        </is>
      </c>
      <c r="M40" s="69" t="inlineStr">
        <is>
          <t xml:space="preserve"> NEW YORK JETS</t>
        </is>
      </c>
      <c r="N40" s="69" t="inlineStr">
        <is>
          <t xml:space="preserve"> PITTSBURGH</t>
        </is>
      </c>
      <c r="O40" s="69" t="inlineStr">
        <is>
          <t xml:space="preserve"> WASHINGTON</t>
        </is>
      </c>
      <c r="P40" s="69" t="inlineStr">
        <is>
          <t xml:space="preserve"> denver</t>
        </is>
      </c>
      <c r="Q40" s="69" t="inlineStr">
        <is>
          <t xml:space="preserve"> detroit</t>
        </is>
      </c>
      <c r="R40" s="69" t="inlineStr">
        <is>
          <t xml:space="preserve"> SEATTLE</t>
        </is>
      </c>
      <c r="S40" s="73" t="inlineStr">
        <is>
          <t xml:space="preserve"> ATLANTA</t>
        </is>
      </c>
      <c r="T40" s="69" t="inlineStr">
        <is>
          <t xml:space="preserve"> LOS ANGELES RAMS</t>
        </is>
      </c>
      <c r="U40" s="69" t="inlineStr">
        <is>
          <t xml:space="preserve"> Baltimore</t>
        </is>
      </c>
      <c r="V40" s="68" t="inlineStr">
        <is>
          <t xml:space="preserve"> Arizona</t>
        </is>
      </c>
      <c r="W40" s="69" t="inlineStr">
        <is>
          <t xml:space="preserve"> Los Angeles Chargers</t>
        </is>
      </c>
      <c r="X40" s="68" t="inlineStr">
        <is>
          <t xml:space="preserve"> DEAD</t>
        </is>
      </c>
      <c r="Y40" s="12" t="n"/>
      <c r="Z40" s="1">
        <f>IFERROR(COUNTIF(F40:U40,"W")/COUNTA(F40:U40),0)</f>
        <v/>
      </c>
      <c r="AA40">
        <f>MAX($B$10:$B$44)-B40</f>
        <v/>
      </c>
      <c r="AB40" s="1">
        <f>IFERROR(B40/16,0)</f>
        <v/>
      </c>
      <c r="AD40" s="76">
        <f>MAX($B$7:$B$141)-B40</f>
        <v/>
      </c>
    </row>
    <row r="41">
      <c r="A41" s="2">
        <f>IF(AD41=0,$AD$46, " ")</f>
        <v/>
      </c>
      <c r="B41">
        <f>SUM(V41:X41)+C41</f>
        <v/>
      </c>
      <c r="C41">
        <f>COUNTA(F41:U41)</f>
        <v/>
      </c>
      <c r="D41">
        <f>_xlfn.RANK.EQ(B41,$B$10:$B$44,0)</f>
        <v/>
      </c>
      <c r="E41" s="72" t="inlineStr">
        <is>
          <t>Rusted Ox</t>
        </is>
      </c>
      <c r="F41" s="69" t="inlineStr">
        <is>
          <t xml:space="preserve">DALLAS </t>
        </is>
      </c>
      <c r="G41" s="69" t="inlineStr">
        <is>
          <t xml:space="preserve"> philadelphia</t>
        </is>
      </c>
      <c r="H41" s="69" t="inlineStr">
        <is>
          <t xml:space="preserve"> chicago</t>
        </is>
      </c>
      <c r="I41" s="69" t="inlineStr">
        <is>
          <t xml:space="preserve"> TENNESSEE</t>
        </is>
      </c>
      <c r="J41" s="69" t="inlineStr">
        <is>
          <t xml:space="preserve"> cincinnati </t>
        </is>
      </c>
      <c r="K41" s="69" t="inlineStr">
        <is>
          <t xml:space="preserve"> NEW ENGLAND</t>
        </is>
      </c>
      <c r="L41" s="69" t="inlineStr">
        <is>
          <t xml:space="preserve"> minnesota</t>
        </is>
      </c>
      <c r="M41" s="69" t="inlineStr">
        <is>
          <t xml:space="preserve"> NEW YORK JETS</t>
        </is>
      </c>
      <c r="N41" s="69" t="inlineStr">
        <is>
          <t xml:space="preserve"> PITTSBURGH</t>
        </is>
      </c>
      <c r="O41" s="69" t="inlineStr">
        <is>
          <t xml:space="preserve"> new york giants</t>
        </is>
      </c>
      <c r="P41" s="69" t="inlineStr">
        <is>
          <t xml:space="preserve"> denver</t>
        </is>
      </c>
      <c r="Q41" s="69" t="inlineStr">
        <is>
          <t xml:space="preserve"> detroit</t>
        </is>
      </c>
      <c r="R41" s="69" t="inlineStr">
        <is>
          <t xml:space="preserve"> SEATTLE</t>
        </is>
      </c>
      <c r="S41" s="73" t="inlineStr">
        <is>
          <t xml:space="preserve"> ATLANTA</t>
        </is>
      </c>
      <c r="T41" s="69" t="inlineStr">
        <is>
          <t xml:space="preserve"> LOS ANGELES RAMS</t>
        </is>
      </c>
      <c r="U41" s="69" t="inlineStr">
        <is>
          <t xml:space="preserve"> Tampa Bay</t>
        </is>
      </c>
      <c r="V41" s="73" t="inlineStr">
        <is>
          <t xml:space="preserve"> Miami</t>
        </is>
      </c>
      <c r="W41" s="69" t="inlineStr">
        <is>
          <t xml:space="preserve"> Baltimore</t>
        </is>
      </c>
      <c r="X41" s="73" t="inlineStr">
        <is>
          <t xml:space="preserve"> DEAD</t>
        </is>
      </c>
      <c r="Y41" s="12" t="n"/>
      <c r="Z41" s="1">
        <f>IFERROR(COUNTIF(F41:U41,"W")/COUNTA(F41:U41),0)</f>
        <v/>
      </c>
      <c r="AA41">
        <f>MAX($B$10:$B$44)-B41</f>
        <v/>
      </c>
      <c r="AB41" s="1">
        <f>IFERROR(B41/16,0)</f>
        <v/>
      </c>
      <c r="AD41" s="76">
        <f>MAX($B$7:$B$141)-B41</f>
        <v/>
      </c>
    </row>
    <row r="42">
      <c r="A42" s="2">
        <f>IF(AD42=0,$AD$46, " ")</f>
        <v/>
      </c>
      <c r="B42">
        <f>SUM(V42:X42)+C42</f>
        <v/>
      </c>
      <c r="C42">
        <f>COUNTA(F42:U42)</f>
        <v/>
      </c>
      <c r="D42">
        <f>_xlfn.RANK.EQ(B42,$B$10:$B$44,0)</f>
        <v/>
      </c>
      <c r="E42" s="72" t="inlineStr">
        <is>
          <t>TheDogfather</t>
        </is>
      </c>
      <c r="F42" s="69" t="inlineStr">
        <is>
          <t xml:space="preserve">DALLAS </t>
        </is>
      </c>
      <c r="G42" s="69" t="inlineStr">
        <is>
          <t xml:space="preserve"> JACKSONVILLE </t>
        </is>
      </c>
      <c r="H42" s="69" t="inlineStr">
        <is>
          <t xml:space="preserve"> GREEN BAY</t>
        </is>
      </c>
      <c r="I42" s="69" t="inlineStr">
        <is>
          <t xml:space="preserve"> houston </t>
        </is>
      </c>
      <c r="J42" s="69" t="inlineStr">
        <is>
          <t xml:space="preserve"> cincinnati </t>
        </is>
      </c>
      <c r="K42" s="69" t="inlineStr">
        <is>
          <t xml:space="preserve"> las vegas</t>
        </is>
      </c>
      <c r="L42" s="69" t="inlineStr">
        <is>
          <t xml:space="preserve"> minnesota</t>
        </is>
      </c>
      <c r="M42" s="69" t="inlineStr">
        <is>
          <t xml:space="preserve"> cleveland</t>
        </is>
      </c>
      <c r="N42" s="69" t="inlineStr">
        <is>
          <t xml:space="preserve"> PITTSBURGH</t>
        </is>
      </c>
      <c r="O42" s="69" t="inlineStr">
        <is>
          <t xml:space="preserve"> new york giants</t>
        </is>
      </c>
      <c r="P42" s="69" t="inlineStr">
        <is>
          <t xml:space="preserve"> denver</t>
        </is>
      </c>
      <c r="Q42" s="69" t="inlineStr">
        <is>
          <t xml:space="preserve"> detroit</t>
        </is>
      </c>
      <c r="R42" s="69" t="inlineStr">
        <is>
          <t xml:space="preserve"> san francisco</t>
        </is>
      </c>
      <c r="S42" s="73" t="inlineStr">
        <is>
          <t xml:space="preserve"> baltimore</t>
        </is>
      </c>
      <c r="T42" s="69" t="inlineStr">
        <is>
          <t xml:space="preserve"> buffalo</t>
        </is>
      </c>
      <c r="U42" s="69" t="inlineStr">
        <is>
          <t xml:space="preserve"> Arizona</t>
        </is>
      </c>
      <c r="V42" s="73" t="inlineStr">
        <is>
          <t xml:space="preserve"> New York Jets</t>
        </is>
      </c>
      <c r="W42" s="69" t="inlineStr">
        <is>
          <t xml:space="preserve"> New Orleans</t>
        </is>
      </c>
      <c r="X42" s="73" t="inlineStr">
        <is>
          <t xml:space="preserve"> DEAD</t>
        </is>
      </c>
      <c r="Y42" s="12" t="n"/>
      <c r="Z42" s="1">
        <f>IFERROR(COUNTIF(F42:U42,"W")/COUNTA(F42:U42),0)</f>
        <v/>
      </c>
      <c r="AA42">
        <f>MAX($B$10:$B$44)-B42</f>
        <v/>
      </c>
      <c r="AB42" s="1">
        <f>IFERROR(B42/16,0)</f>
        <v/>
      </c>
      <c r="AD42" s="76">
        <f>MAX($B$7:$B$141)-B42</f>
        <v/>
      </c>
    </row>
    <row r="43">
      <c r="A43" s="2">
        <f>IF(AD43=0,$AD$46, " ")</f>
        <v/>
      </c>
      <c r="B43">
        <f>SUM(V43:X43)+C43</f>
        <v/>
      </c>
      <c r="C43">
        <f>COUNTA(F43:U43)</f>
        <v/>
      </c>
      <c r="D43">
        <f>_xlfn.RANK.EQ(B43,$B$10:$B$44,0)</f>
        <v/>
      </c>
      <c r="E43" s="72" t="inlineStr">
        <is>
          <t>Ryan S</t>
        </is>
      </c>
      <c r="F43" s="69" t="inlineStr">
        <is>
          <t>tampa bay</t>
        </is>
      </c>
      <c r="G43" s="69" t="inlineStr">
        <is>
          <t xml:space="preserve"> JACKSONVILLE </t>
        </is>
      </c>
      <c r="H43" s="69" t="inlineStr">
        <is>
          <t xml:space="preserve"> GREEN BAY</t>
        </is>
      </c>
      <c r="I43" s="69" t="inlineStr">
        <is>
          <t xml:space="preserve"> houston </t>
        </is>
      </c>
      <c r="J43" s="69" t="inlineStr">
        <is>
          <t xml:space="preserve"> cincinnati </t>
        </is>
      </c>
      <c r="K43" s="69" t="inlineStr">
        <is>
          <t xml:space="preserve"> NEW ENGLAND</t>
        </is>
      </c>
      <c r="L43" s="69" t="inlineStr">
        <is>
          <t xml:space="preserve"> NEW ORLEANS</t>
        </is>
      </c>
      <c r="M43" s="69" t="inlineStr">
        <is>
          <t xml:space="preserve"> cleveland</t>
        </is>
      </c>
      <c r="N43" s="69" t="inlineStr">
        <is>
          <t xml:space="preserve"> PITTSBURGH</t>
        </is>
      </c>
      <c r="O43" s="69" t="inlineStr">
        <is>
          <t xml:space="preserve"> WASHINGTON</t>
        </is>
      </c>
      <c r="P43" s="69" t="inlineStr">
        <is>
          <t xml:space="preserve"> denver</t>
        </is>
      </c>
      <c r="Q43" s="69" t="inlineStr">
        <is>
          <t xml:space="preserve"> detroit</t>
        </is>
      </c>
      <c r="R43" s="69" t="inlineStr">
        <is>
          <t xml:space="preserve"> SEATTLE</t>
        </is>
      </c>
      <c r="S43" s="73" t="inlineStr">
        <is>
          <t xml:space="preserve"> ATLANTA</t>
        </is>
      </c>
      <c r="T43" s="69" t="inlineStr">
        <is>
          <t xml:space="preserve"> buffalo</t>
        </is>
      </c>
      <c r="U43" s="69" t="inlineStr">
        <is>
          <t xml:space="preserve"> Baltimore</t>
        </is>
      </c>
      <c r="V43" s="73" t="inlineStr">
        <is>
          <t xml:space="preserve"> Philadelphia</t>
        </is>
      </c>
      <c r="W43" s="69" t="inlineStr">
        <is>
          <t xml:space="preserve"> Miami</t>
        </is>
      </c>
      <c r="X43" s="73" t="inlineStr">
        <is>
          <t xml:space="preserve"> DEAD</t>
        </is>
      </c>
      <c r="Y43" s="12" t="n"/>
      <c r="Z43" s="1">
        <f>IFERROR(COUNTIF(F43:U43,"W")/COUNTA(F43:U43),0)</f>
        <v/>
      </c>
      <c r="AA43">
        <f>MAX($B$10:$B$44)-B43</f>
        <v/>
      </c>
      <c r="AB43" s="1">
        <f>IFERROR(B43/16,0)</f>
        <v/>
      </c>
      <c r="AD43" s="76">
        <f>MAX($B$7:$B$141)-B43</f>
        <v/>
      </c>
    </row>
    <row r="44">
      <c r="A44" s="2">
        <f>IF(AD44=0,$AD$46, " ")</f>
        <v/>
      </c>
      <c r="B44">
        <f>SUM(V44:X44)+C44</f>
        <v/>
      </c>
      <c r="C44">
        <f>COUNTA(F44:U44)</f>
        <v/>
      </c>
      <c r="D44">
        <f>_xlfn.RANK.EQ(B44,$B$10:$B$44,0)</f>
        <v/>
      </c>
      <c r="E44" s="72" t="inlineStr">
        <is>
          <t>Brick_Hauss</t>
        </is>
      </c>
      <c r="F44" s="69" t="inlineStr">
        <is>
          <t xml:space="preserve">DALLAS </t>
        </is>
      </c>
      <c r="G44" s="69" t="inlineStr">
        <is>
          <t xml:space="preserve"> philadelphia</t>
        </is>
      </c>
      <c r="H44" s="69" t="inlineStr">
        <is>
          <t xml:space="preserve"> chicago</t>
        </is>
      </c>
      <c r="I44" s="69" t="inlineStr">
        <is>
          <t xml:space="preserve"> TENNESSEE</t>
        </is>
      </c>
      <c r="J44" s="69" t="inlineStr">
        <is>
          <t xml:space="preserve"> cincinnati </t>
        </is>
      </c>
      <c r="K44" s="69" t="inlineStr">
        <is>
          <t xml:space="preserve"> las vegas</t>
        </is>
      </c>
      <c r="L44" s="69" t="inlineStr">
        <is>
          <t xml:space="preserve"> minnesota</t>
        </is>
      </c>
      <c r="M44" s="69" t="inlineStr">
        <is>
          <t xml:space="preserve"> cleveland</t>
        </is>
      </c>
      <c r="N44" s="69" t="inlineStr">
        <is>
          <t xml:space="preserve"> indianapolis</t>
        </is>
      </c>
      <c r="O44" s="69" t="inlineStr">
        <is>
          <t xml:space="preserve"> new york giants</t>
        </is>
      </c>
      <c r="P44" s="69" t="inlineStr">
        <is>
          <t xml:space="preserve"> denver</t>
        </is>
      </c>
      <c r="Q44" s="69" t="inlineStr">
        <is>
          <t xml:space="preserve"> ARIZONA</t>
        </is>
      </c>
      <c r="R44" s="69" t="inlineStr">
        <is>
          <t xml:space="preserve"> SEATTLE</t>
        </is>
      </c>
      <c r="S44" s="73" t="inlineStr">
        <is>
          <t xml:space="preserve"> baltimore</t>
        </is>
      </c>
      <c r="T44" s="69" t="inlineStr">
        <is>
          <t xml:space="preserve"> buffalo</t>
        </is>
      </c>
      <c r="U44" s="69" t="inlineStr">
        <is>
          <t xml:space="preserve"> Miami</t>
        </is>
      </c>
      <c r="V44" s="73" t="inlineStr">
        <is>
          <t xml:space="preserve"> Tampa Bay</t>
        </is>
      </c>
      <c r="W44" s="69" t="inlineStr">
        <is>
          <t xml:space="preserve"> Green Bay</t>
        </is>
      </c>
      <c r="X44" s="73" t="inlineStr">
        <is>
          <t xml:space="preserve"> DEAD</t>
        </is>
      </c>
      <c r="Y44" s="12" t="n"/>
      <c r="Z44" s="1">
        <f>IFERROR(COUNTIF(F44:U44,"W")/COUNTA(F44:U44),0)</f>
        <v/>
      </c>
      <c r="AA44">
        <f>MAX($B$10:$B$44)-B44</f>
        <v/>
      </c>
      <c r="AB44" s="1">
        <f>IFERROR(B44/16,0)</f>
        <v/>
      </c>
      <c r="AD44" s="76">
        <f>MAX($B$7:$B$141)-B44</f>
        <v/>
      </c>
    </row>
    <row r="45">
      <c r="AD45" s="10">
        <f>COUNTIF(AD10:AD44,0)</f>
        <v/>
      </c>
    </row>
    <row r="46">
      <c r="AD46" s="76">
        <f>SUM(AD10:AD44)/AD45</f>
        <v/>
      </c>
    </row>
  </sheetData>
  <mergeCells count="1">
    <mergeCell ref="A1:Y2"/>
  </mergeCells>
  <conditionalFormatting sqref="B10:B4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:D4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0:U44">
    <cfRule type="cellIs" priority="4" operator="equal" dxfId="2">
      <formula>"W"</formula>
    </cfRule>
    <cfRule type="cellIs" priority="5" operator="equal" dxfId="1">
      <formula>"L"</formula>
    </cfRule>
  </conditionalFormatting>
  <conditionalFormatting sqref="AD10:AD46">
    <cfRule type="cellIs" priority="1" operator="equal" dxfId="0" stopIfTrue="1">
      <formula>0</formula>
    </cfRule>
  </conditionalFormatting>
  <dataValidations count="2">
    <dataValidation sqref="F6:U6" showDropDown="0" showInputMessage="0" showErrorMessage="0" allowBlank="1" type="list">
      <formula1>"Seattle,Los Angeles Rams,Cincinnati,Detroit,Tennessee,Indianapolis,Pittsburgh,Carolina,Jacksonville,Houston,Las Vegas,Minnesota,Philadelphia,Los Angeles Chargers,New York Giants,Kansas City"</formula1>
    </dataValidation>
    <dataValidation sqref="F10:U44" showDropDown="0" showInputMessage="0" showErrorMessage="0" allowBlank="1" type="list">
      <formula1>"W,L"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6"/>
  <sheetViews>
    <sheetView workbookViewId="0">
      <selection activeCell="A1" sqref="A1:XFD1048576"/>
    </sheetView>
  </sheetViews>
  <sheetFormatPr baseColWidth="8" defaultColWidth="9.109375" defaultRowHeight="14.4"/>
  <cols>
    <col width="11" customWidth="1" style="54" min="1" max="1"/>
    <col width="8" customWidth="1" style="54" min="2" max="4"/>
    <col width="22" customWidth="1" style="54" min="5" max="5"/>
    <col width="17.6640625" customWidth="1" style="54" min="6" max="18"/>
    <col width="23.5546875" bestFit="1" customWidth="1" style="54" min="19" max="19"/>
    <col width="17.6640625" customWidth="1" style="54" min="20" max="21"/>
    <col width="17" customWidth="1" style="54" min="22" max="25"/>
    <col width="12" customWidth="1" style="54" min="26" max="27"/>
    <col width="10" customWidth="1" style="54" min="28" max="28"/>
    <col width="9.109375" customWidth="1" style="54" min="29" max="34"/>
    <col width="9.109375" customWidth="1" style="54" min="35" max="16384"/>
  </cols>
  <sheetData>
    <row r="1">
      <c r="A1" s="63" t="inlineStr">
        <is>
          <t>🏈 WEEK 3 — ACQL</t>
        </is>
      </c>
    </row>
    <row r="2"/>
    <row r="4">
      <c r="A4" s="5" t="inlineStr">
        <is>
          <t>Home Team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inlineStr">
        <is>
          <t>Away Team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6" t="inlineStr">
        <is>
          <t>Result / Winner →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</row>
    <row r="7">
      <c r="A7" s="8" t="inlineStr">
        <is>
          <t>Picked Home %</t>
        </is>
      </c>
      <c r="B7" s="8" t="n"/>
      <c r="C7" s="8" t="n"/>
      <c r="D7" s="8" t="n"/>
      <c r="E7" s="8" t="n"/>
      <c r="F7" s="8">
        <f>IFERROR(COUNTIF(F10:F44, F$4)/COUNTA(B10:B44),0)</f>
        <v/>
      </c>
      <c r="G7" s="8">
        <f>IFERROR(COUNTIF(G10:G44, G$4)/COUNTA(C10:C44),0)</f>
        <v/>
      </c>
      <c r="H7" s="8">
        <f>IFERROR(COUNTIF(H10:H44, H$4)/COUNTA(D10:D44),0)</f>
        <v/>
      </c>
      <c r="I7" s="8">
        <f>IFERROR(COUNTIF(I10:I44, I$4)/COUNTA(E10:E44),0)</f>
        <v/>
      </c>
      <c r="J7" s="8">
        <f>IFERROR(COUNTIF(J10:J44, J$4)/COUNTA(F10:F44),0)</f>
        <v/>
      </c>
      <c r="K7" s="8">
        <f>IFERROR(COUNTIF(K10:K44, K$4)/COUNTA(G10:G44),0)</f>
        <v/>
      </c>
      <c r="L7" s="8">
        <f>IFERROR(COUNTIF(L10:L44, L$4)/COUNTA(H10:H44),0)</f>
        <v/>
      </c>
      <c r="M7" s="8">
        <f>IFERROR(COUNTIF(M10:M44, M$4)/COUNTA(I10:I44),0)</f>
        <v/>
      </c>
      <c r="N7" s="8">
        <f>IFERROR(COUNTIF(N10:N44, N$4)/COUNTA(J10:J44),0)</f>
        <v/>
      </c>
      <c r="O7" s="8">
        <f>IFERROR(COUNTIF(O10:O44, O$4)/COUNTA(K10:K44),0)</f>
        <v/>
      </c>
      <c r="P7" s="8">
        <f>IFERROR(COUNTIF(P10:P44, P$4)/COUNTA(L10:L44),0)</f>
        <v/>
      </c>
      <c r="Q7" s="8">
        <f>IFERROR(COUNTIF(Q10:Q44, Q$4)/COUNTA(M10:M44),0)</f>
        <v/>
      </c>
      <c r="R7" s="8">
        <f>IFERROR(COUNTIF(R10:R44, R$4)/COUNTA(N10:N44),0)</f>
        <v/>
      </c>
      <c r="S7" s="8">
        <f>IFERROR(COUNTIF(S10:S44, S$4)/COUNTA(O10:O44),0)</f>
        <v/>
      </c>
      <c r="T7" s="8">
        <f>IFERROR(COUNTIF(T10:T44, T$4)/COUNTA(P10:P44),0)</f>
        <v/>
      </c>
      <c r="U7" s="8">
        <f>IFERROR(COUNTIF(U10:U44, U$4)/COUNTA(Q10:Q44),0)</f>
        <v/>
      </c>
      <c r="V7" s="7" t="n"/>
      <c r="W7" s="7" t="n"/>
      <c r="X7" s="7" t="n"/>
      <c r="Y7" s="7" t="n"/>
    </row>
    <row r="9" ht="28.8" customHeight="1" s="54">
      <c r="A9" s="9" t="inlineStr">
        <is>
          <t>Entry Fee</t>
        </is>
      </c>
      <c r="B9" s="9" t="inlineStr">
        <is>
          <t>Wins</t>
        </is>
      </c>
      <c r="C9" s="9" t="inlineStr">
        <is>
          <t>Wins</t>
        </is>
      </c>
      <c r="D9" s="9" t="inlineStr">
        <is>
          <t>Rank</t>
        </is>
      </c>
      <c r="E9" s="9" t="inlineStr">
        <is>
          <t>Player</t>
        </is>
      </c>
      <c r="F9" s="9" t="inlineStr">
        <is>
          <t>G1</t>
        </is>
      </c>
      <c r="G9" s="9" t="inlineStr">
        <is>
          <t>G2</t>
        </is>
      </c>
      <c r="H9" s="9" t="inlineStr">
        <is>
          <t>G3</t>
        </is>
      </c>
      <c r="I9" s="9" t="inlineStr">
        <is>
          <t>G4</t>
        </is>
      </c>
      <c r="J9" s="9" t="inlineStr">
        <is>
          <t>G5</t>
        </is>
      </c>
      <c r="K9" s="9" t="inlineStr">
        <is>
          <t>G6</t>
        </is>
      </c>
      <c r="L9" s="9" t="inlineStr">
        <is>
          <t>G7</t>
        </is>
      </c>
      <c r="M9" s="9" t="inlineStr">
        <is>
          <t>G8</t>
        </is>
      </c>
      <c r="N9" s="9" t="inlineStr">
        <is>
          <t>G9</t>
        </is>
      </c>
      <c r="O9" s="9" t="inlineStr">
        <is>
          <t>G10</t>
        </is>
      </c>
      <c r="P9" s="9" t="inlineStr">
        <is>
          <t>G11</t>
        </is>
      </c>
      <c r="Q9" s="9" t="inlineStr">
        <is>
          <t>G12</t>
        </is>
      </c>
      <c r="R9" s="9" t="inlineStr">
        <is>
          <t>G13</t>
        </is>
      </c>
      <c r="S9" s="9" t="inlineStr">
        <is>
          <t>G14</t>
        </is>
      </c>
      <c r="T9" s="9" t="inlineStr">
        <is>
          <t>G15</t>
        </is>
      </c>
      <c r="U9" s="9" t="inlineStr">
        <is>
          <t>G16</t>
        </is>
      </c>
      <c r="V9" s="9" t="inlineStr">
        <is>
          <t>Loser 1</t>
        </is>
      </c>
      <c r="W9" s="9" t="inlineStr">
        <is>
          <t>Loser 2</t>
        </is>
      </c>
      <c r="X9" s="9" t="inlineStr">
        <is>
          <t>Loser 3</t>
        </is>
      </c>
      <c r="Y9" s="9" t="inlineStr">
        <is>
          <t>Suicide</t>
        </is>
      </c>
      <c r="Z9" s="9" t="inlineStr">
        <is>
          <t>Home Team %</t>
        </is>
      </c>
      <c r="AA9" s="9" t="inlineStr">
        <is>
          <t>$ Owed</t>
        </is>
      </c>
      <c r="AB9" s="9" t="inlineStr">
        <is>
          <t>Games Behind</t>
        </is>
      </c>
      <c r="AC9" s="9" t="inlineStr">
        <is>
          <t>Win %</t>
        </is>
      </c>
    </row>
    <row r="10">
      <c r="A10" s="2">
        <f>IF(AD10=0,$AD$46, " ")</f>
        <v/>
      </c>
      <c r="B10">
        <f>SUM(V10:X10)+C10</f>
        <v/>
      </c>
      <c r="C10">
        <f>COUNTA(F10:U10)</f>
        <v/>
      </c>
      <c r="D10">
        <f>_xlfn.RANK.EQ(B10,$B$10:$B$44,0)</f>
        <v/>
      </c>
      <c r="V10" s="11" t="n"/>
      <c r="Y10" s="11" t="n"/>
      <c r="Z10" s="1">
        <f>IFERROR(COUNTIF(F10:U10,"W")/COUNTA(F10:U10),0)</f>
        <v/>
      </c>
      <c r="AA10">
        <f>MAX($B$10:$B$44)-B10</f>
        <v/>
      </c>
      <c r="AB10" s="1">
        <f>IFERROR(B10/16,0)</f>
        <v/>
      </c>
      <c r="AD10" s="76">
        <f>MAX($B$7:$B$141)-B10</f>
        <v/>
      </c>
    </row>
    <row r="11">
      <c r="A11" s="2">
        <f>IF(AD11=0,$AD$46, " ")</f>
        <v/>
      </c>
      <c r="B11">
        <f>SUM(V11:X11)+C11</f>
        <v/>
      </c>
      <c r="C11">
        <f>COUNTA(F11:U11)</f>
        <v/>
      </c>
      <c r="D11">
        <f>_xlfn.RANK.EQ(B11,$B$10:$B$44,0)</f>
        <v/>
      </c>
      <c r="V11" s="12" t="n"/>
      <c r="Y11" s="12" t="n"/>
      <c r="Z11" s="1">
        <f>IFERROR(COUNTIF(F11:U11,"W")/COUNTA(F11:U11),0)</f>
        <v/>
      </c>
      <c r="AA11">
        <f>MAX($B$10:$B$44)-B11</f>
        <v/>
      </c>
      <c r="AB11" s="1">
        <f>IFERROR(B11/16,0)</f>
        <v/>
      </c>
      <c r="AD11" s="76">
        <f>MAX($B$7:$B$141)-B11</f>
        <v/>
      </c>
    </row>
    <row r="12">
      <c r="A12" s="2">
        <f>IF(AD12=0,$AD$46, " ")</f>
        <v/>
      </c>
      <c r="B12">
        <f>SUM(V12:X12)+C12</f>
        <v/>
      </c>
      <c r="C12">
        <f>COUNTA(F12:U12)</f>
        <v/>
      </c>
      <c r="D12">
        <f>_xlfn.RANK.EQ(B12,$B$10:$B$44,0)</f>
        <v/>
      </c>
      <c r="V12" s="12" t="n"/>
      <c r="Y12" s="12" t="n"/>
      <c r="Z12" s="1">
        <f>IFERROR(COUNTIF(F12:U12,"W")/COUNTA(F12:U12),0)</f>
        <v/>
      </c>
      <c r="AA12">
        <f>MAX($B$10:$B$44)-B12</f>
        <v/>
      </c>
      <c r="AB12" s="1">
        <f>IFERROR(B12/16,0)</f>
        <v/>
      </c>
      <c r="AD12" s="76">
        <f>MAX($B$7:$B$141)-B12</f>
        <v/>
      </c>
    </row>
    <row r="13">
      <c r="A13" s="2">
        <f>IF(AD13=0,$AD$46, " ")</f>
        <v/>
      </c>
      <c r="B13">
        <f>SUM(V13:X13)+C13</f>
        <v/>
      </c>
      <c r="C13">
        <f>COUNTA(F13:U13)</f>
        <v/>
      </c>
      <c r="D13">
        <f>_xlfn.RANK.EQ(B13,$B$10:$B$44,0)</f>
        <v/>
      </c>
      <c r="V13" s="12" t="n"/>
      <c r="Y13" s="12" t="n"/>
      <c r="Z13" s="1">
        <f>IFERROR(COUNTIF(F13:U13,"W")/COUNTA(F13:U13),0)</f>
        <v/>
      </c>
      <c r="AA13">
        <f>MAX($B$10:$B$44)-B13</f>
        <v/>
      </c>
      <c r="AB13" s="1">
        <f>IFERROR(B13/16,0)</f>
        <v/>
      </c>
      <c r="AD13" s="76">
        <f>MAX($B$7:$B$141)-B13</f>
        <v/>
      </c>
    </row>
    <row r="14">
      <c r="A14" s="2">
        <f>IF(AD14=0,$AD$46, " ")</f>
        <v/>
      </c>
      <c r="B14">
        <f>SUM(V14:X14)+C14</f>
        <v/>
      </c>
      <c r="C14">
        <f>COUNTA(F14:U14)</f>
        <v/>
      </c>
      <c r="D14">
        <f>_xlfn.RANK.EQ(B14,$B$10:$B$44,0)</f>
        <v/>
      </c>
      <c r="V14" s="12" t="n"/>
      <c r="Y14" s="12" t="n"/>
      <c r="Z14" s="1">
        <f>IFERROR(COUNTIF(F14:U14,"W")/COUNTA(F14:U14),0)</f>
        <v/>
      </c>
      <c r="AA14">
        <f>MAX($B$10:$B$44)-B14</f>
        <v/>
      </c>
      <c r="AB14" s="1">
        <f>IFERROR(B14/16,0)</f>
        <v/>
      </c>
      <c r="AD14" s="76">
        <f>MAX($B$7:$B$141)-B14</f>
        <v/>
      </c>
    </row>
    <row r="15">
      <c r="A15" s="2">
        <f>IF(AD15=0,$AD$46, " ")</f>
        <v/>
      </c>
      <c r="B15">
        <f>SUM(V15:X15)+C15</f>
        <v/>
      </c>
      <c r="C15">
        <f>COUNTA(F15:U15)</f>
        <v/>
      </c>
      <c r="D15">
        <f>_xlfn.RANK.EQ(B15,$B$10:$B$44,0)</f>
        <v/>
      </c>
      <c r="V15" s="12" t="n"/>
      <c r="Y15" s="12" t="n"/>
      <c r="Z15" s="1">
        <f>IFERROR(COUNTIF(F15:U15,"W")/COUNTA(F15:U15),0)</f>
        <v/>
      </c>
      <c r="AA15">
        <f>MAX($B$10:$B$44)-B15</f>
        <v/>
      </c>
      <c r="AB15" s="1">
        <f>IFERROR(B15/16,0)</f>
        <v/>
      </c>
      <c r="AD15" s="76">
        <f>MAX($B$7:$B$141)-B15</f>
        <v/>
      </c>
    </row>
    <row r="16">
      <c r="A16" s="2">
        <f>IF(AD16=0,$AD$46, " ")</f>
        <v/>
      </c>
      <c r="B16">
        <f>SUM(V16:X16)+C16</f>
        <v/>
      </c>
      <c r="C16">
        <f>COUNTA(F16:U16)</f>
        <v/>
      </c>
      <c r="D16">
        <f>_xlfn.RANK.EQ(B16,$B$10:$B$44,0)</f>
        <v/>
      </c>
      <c r="V16" s="12" t="n"/>
      <c r="Y16" s="12" t="n"/>
      <c r="Z16" s="1">
        <f>IFERROR(COUNTIF(F16:U16,"W")/COUNTA(F16:U16),0)</f>
        <v/>
      </c>
      <c r="AA16">
        <f>MAX($B$10:$B$44)-B16</f>
        <v/>
      </c>
      <c r="AB16" s="1">
        <f>IFERROR(B16/16,0)</f>
        <v/>
      </c>
      <c r="AD16" s="76">
        <f>MAX($B$7:$B$141)-B16</f>
        <v/>
      </c>
    </row>
    <row r="17">
      <c r="A17" s="2">
        <f>IF(AD17=0,$AD$46, " ")</f>
        <v/>
      </c>
      <c r="B17">
        <f>SUM(V17:X17)+C17</f>
        <v/>
      </c>
      <c r="C17">
        <f>COUNTA(F17:U17)</f>
        <v/>
      </c>
      <c r="D17">
        <f>_xlfn.RANK.EQ(B17,$B$10:$B$44,0)</f>
        <v/>
      </c>
      <c r="V17" s="12" t="n"/>
      <c r="Y17" s="12" t="n"/>
      <c r="Z17" s="1">
        <f>IFERROR(COUNTIF(F17:U17,"W")/COUNTA(F17:U17),0)</f>
        <v/>
      </c>
      <c r="AA17">
        <f>MAX($B$10:$B$44)-B17</f>
        <v/>
      </c>
      <c r="AB17" s="1">
        <f>IFERROR(B17/16,0)</f>
        <v/>
      </c>
      <c r="AD17" s="76">
        <f>MAX($B$7:$B$141)-B17</f>
        <v/>
      </c>
    </row>
    <row r="18">
      <c r="A18" s="2">
        <f>IF(AD18=0,$AD$46, " ")</f>
        <v/>
      </c>
      <c r="B18">
        <f>SUM(V18:X18)+C18</f>
        <v/>
      </c>
      <c r="C18">
        <f>COUNTA(F18:U18)</f>
        <v/>
      </c>
      <c r="D18">
        <f>_xlfn.RANK.EQ(B18,$B$10:$B$44,0)</f>
        <v/>
      </c>
      <c r="V18" s="12" t="n"/>
      <c r="Y18" s="12" t="n"/>
      <c r="Z18" s="1">
        <f>IFERROR(COUNTIF(F18:U18,"W")/COUNTA(F18:U18),0)</f>
        <v/>
      </c>
      <c r="AA18">
        <f>MAX($B$10:$B$44)-B18</f>
        <v/>
      </c>
      <c r="AB18" s="1">
        <f>IFERROR(B18/16,0)</f>
        <v/>
      </c>
      <c r="AD18" s="76">
        <f>MAX($B$7:$B$141)-B18</f>
        <v/>
      </c>
    </row>
    <row r="19">
      <c r="A19" s="2">
        <f>IF(AD19=0,$AD$46, " ")</f>
        <v/>
      </c>
      <c r="B19">
        <f>SUM(V19:X19)+C19</f>
        <v/>
      </c>
      <c r="C19">
        <f>COUNTA(F19:U19)</f>
        <v/>
      </c>
      <c r="D19">
        <f>_xlfn.RANK.EQ(B19,$B$10:$B$44,0)</f>
        <v/>
      </c>
      <c r="V19" s="12" t="n"/>
      <c r="Y19" s="12" t="n"/>
      <c r="Z19" s="1">
        <f>IFERROR(COUNTIF(F19:U19,"W")/COUNTA(F19:U19),0)</f>
        <v/>
      </c>
      <c r="AA19">
        <f>MAX($B$10:$B$44)-B19</f>
        <v/>
      </c>
      <c r="AB19" s="1">
        <f>IFERROR(B19/16,0)</f>
        <v/>
      </c>
      <c r="AD19" s="76">
        <f>MAX($B$7:$B$141)-B19</f>
        <v/>
      </c>
    </row>
    <row r="20">
      <c r="A20" s="2">
        <f>IF(AD20=0,$AD$46, " ")</f>
        <v/>
      </c>
      <c r="B20">
        <f>SUM(V20:X20)+C20</f>
        <v/>
      </c>
      <c r="C20">
        <f>COUNTA(F20:U20)</f>
        <v/>
      </c>
      <c r="D20">
        <f>_xlfn.RANK.EQ(B20,$B$10:$B$44,0)</f>
        <v/>
      </c>
      <c r="V20" s="12" t="n"/>
      <c r="Y20" s="12" t="n"/>
      <c r="Z20" s="1">
        <f>IFERROR(COUNTIF(F20:U20,"W")/COUNTA(F20:U20),0)</f>
        <v/>
      </c>
      <c r="AA20">
        <f>MAX($B$10:$B$44)-B20</f>
        <v/>
      </c>
      <c r="AB20" s="1">
        <f>IFERROR(B20/16,0)</f>
        <v/>
      </c>
      <c r="AD20" s="76">
        <f>MAX($B$7:$B$141)-B20</f>
        <v/>
      </c>
    </row>
    <row r="21">
      <c r="A21" s="2">
        <f>IF(AD21=0,$AD$46, " ")</f>
        <v/>
      </c>
      <c r="B21">
        <f>SUM(V21:X21)+C21</f>
        <v/>
      </c>
      <c r="C21">
        <f>COUNTA(F21:U21)</f>
        <v/>
      </c>
      <c r="D21">
        <f>_xlfn.RANK.EQ(B21,$B$10:$B$44,0)</f>
        <v/>
      </c>
      <c r="V21" s="12" t="n"/>
      <c r="Y21" s="12" t="n"/>
      <c r="Z21" s="1">
        <f>IFERROR(COUNTIF(F21:U21,"W")/COUNTA(F21:U21),0)</f>
        <v/>
      </c>
      <c r="AA21">
        <f>MAX($B$10:$B$44)-B21</f>
        <v/>
      </c>
      <c r="AB21" s="1">
        <f>IFERROR(B21/16,0)</f>
        <v/>
      </c>
      <c r="AD21" s="76">
        <f>MAX($B$7:$B$141)-B21</f>
        <v/>
      </c>
    </row>
    <row r="22">
      <c r="A22" s="2">
        <f>IF(AD22=0,$AD$46, " ")</f>
        <v/>
      </c>
      <c r="B22">
        <f>SUM(V22:X22)+C22</f>
        <v/>
      </c>
      <c r="C22">
        <f>COUNTA(F22:U22)</f>
        <v/>
      </c>
      <c r="D22">
        <f>_xlfn.RANK.EQ(B22,$B$10:$B$44,0)</f>
        <v/>
      </c>
      <c r="V22" s="12" t="n"/>
      <c r="Y22" s="12" t="n"/>
      <c r="Z22" s="1">
        <f>IFERROR(COUNTIF(F22:U22,"W")/COUNTA(F22:U22),0)</f>
        <v/>
      </c>
      <c r="AA22">
        <f>MAX($B$10:$B$44)-B22</f>
        <v/>
      </c>
      <c r="AB22" s="1">
        <f>IFERROR(B22/16,0)</f>
        <v/>
      </c>
      <c r="AD22" s="76">
        <f>MAX($B$7:$B$141)-B22</f>
        <v/>
      </c>
    </row>
    <row r="23">
      <c r="A23" s="2">
        <f>IF(AD23=0,$AD$46, " ")</f>
        <v/>
      </c>
      <c r="B23">
        <f>SUM(V23:X23)+C23</f>
        <v/>
      </c>
      <c r="C23">
        <f>COUNTA(F23:U23)</f>
        <v/>
      </c>
      <c r="D23">
        <f>_xlfn.RANK.EQ(B23,$B$10:$B$44,0)</f>
        <v/>
      </c>
      <c r="V23" s="12" t="n"/>
      <c r="Y23" s="12" t="n"/>
      <c r="Z23" s="1">
        <f>IFERROR(COUNTIF(F23:U23,"W")/COUNTA(F23:U23),0)</f>
        <v/>
      </c>
      <c r="AA23">
        <f>MAX($B$10:$B$44)-B23</f>
        <v/>
      </c>
      <c r="AB23" s="1">
        <f>IFERROR(B23/16,0)</f>
        <v/>
      </c>
      <c r="AD23" s="76">
        <f>MAX($B$7:$B$141)-B23</f>
        <v/>
      </c>
    </row>
    <row r="24">
      <c r="A24" s="2">
        <f>IF(AD24=0,$AD$46, " ")</f>
        <v/>
      </c>
      <c r="B24">
        <f>SUM(V24:X24)+C24</f>
        <v/>
      </c>
      <c r="C24">
        <f>COUNTA(F24:U24)</f>
        <v/>
      </c>
      <c r="D24">
        <f>_xlfn.RANK.EQ(B24,$B$10:$B$44,0)</f>
        <v/>
      </c>
      <c r="V24" s="12" t="n"/>
      <c r="Y24" s="12" t="n"/>
      <c r="Z24" s="1">
        <f>IFERROR(COUNTIF(F24:U24,"W")/COUNTA(F24:U24),0)</f>
        <v/>
      </c>
      <c r="AA24">
        <f>MAX($B$10:$B$44)-B24</f>
        <v/>
      </c>
      <c r="AB24" s="1">
        <f>IFERROR(B24/16,0)</f>
        <v/>
      </c>
      <c r="AD24" s="76">
        <f>MAX($B$7:$B$141)-B24</f>
        <v/>
      </c>
    </row>
    <row r="25">
      <c r="A25" s="2">
        <f>IF(AD25=0,$AD$46, " ")</f>
        <v/>
      </c>
      <c r="B25">
        <f>SUM(V25:X25)+C25</f>
        <v/>
      </c>
      <c r="C25">
        <f>COUNTA(F25:U25)</f>
        <v/>
      </c>
      <c r="D25">
        <f>_xlfn.RANK.EQ(B25,$B$10:$B$44,0)</f>
        <v/>
      </c>
      <c r="V25" s="12" t="n"/>
      <c r="Y25" s="12" t="n"/>
      <c r="Z25" s="1">
        <f>IFERROR(COUNTIF(F25:U25,"W")/COUNTA(F25:U25),0)</f>
        <v/>
      </c>
      <c r="AA25">
        <f>MAX($B$10:$B$44)-B25</f>
        <v/>
      </c>
      <c r="AB25" s="1">
        <f>IFERROR(B25/16,0)</f>
        <v/>
      </c>
      <c r="AD25" s="76">
        <f>MAX($B$7:$B$141)-B25</f>
        <v/>
      </c>
    </row>
    <row r="26">
      <c r="A26" s="2">
        <f>IF(AD26=0,$AD$46, " ")</f>
        <v/>
      </c>
      <c r="B26">
        <f>SUM(V26:X26)+C26</f>
        <v/>
      </c>
      <c r="C26">
        <f>COUNTA(F26:U26)</f>
        <v/>
      </c>
      <c r="D26">
        <f>_xlfn.RANK.EQ(B26,$B$10:$B$44,0)</f>
        <v/>
      </c>
      <c r="V26" s="12" t="n"/>
      <c r="Y26" s="12" t="n"/>
      <c r="Z26" s="1">
        <f>IFERROR(COUNTIF(F26:U26,"W")/COUNTA(F26:U26),0)</f>
        <v/>
      </c>
      <c r="AA26">
        <f>MAX($B$10:$B$44)-B26</f>
        <v/>
      </c>
      <c r="AB26" s="1">
        <f>IFERROR(B26/16,0)</f>
        <v/>
      </c>
      <c r="AD26" s="76">
        <f>MAX($B$7:$B$141)-B26</f>
        <v/>
      </c>
    </row>
    <row r="27">
      <c r="A27" s="2">
        <f>IF(AD27=0,$AD$46, " ")</f>
        <v/>
      </c>
      <c r="B27">
        <f>SUM(V27:X27)+C27</f>
        <v/>
      </c>
      <c r="C27">
        <f>COUNTA(F27:U27)</f>
        <v/>
      </c>
      <c r="D27">
        <f>_xlfn.RANK.EQ(B27,$B$10:$B$44,0)</f>
        <v/>
      </c>
      <c r="V27" s="12" t="n"/>
      <c r="Y27" s="12" t="n"/>
      <c r="Z27" s="1">
        <f>IFERROR(COUNTIF(F27:U27,"W")/COUNTA(F27:U27),0)</f>
        <v/>
      </c>
      <c r="AA27">
        <f>MAX($B$10:$B$44)-B27</f>
        <v/>
      </c>
      <c r="AB27" s="1">
        <f>IFERROR(B27/16,0)</f>
        <v/>
      </c>
      <c r="AD27" s="76">
        <f>MAX($B$7:$B$141)-B27</f>
        <v/>
      </c>
    </row>
    <row r="28">
      <c r="A28" s="2">
        <f>IF(AD28=0,$AD$46, " ")</f>
        <v/>
      </c>
      <c r="B28">
        <f>SUM(V28:X28)+C28</f>
        <v/>
      </c>
      <c r="C28">
        <f>COUNTA(F28:U28)</f>
        <v/>
      </c>
      <c r="D28">
        <f>_xlfn.RANK.EQ(B28,$B$10:$B$44,0)</f>
        <v/>
      </c>
      <c r="V28" s="12" t="n"/>
      <c r="Y28" s="12" t="n"/>
      <c r="Z28" s="1">
        <f>IFERROR(COUNTIF(F28:U28,"W")/COUNTA(F28:U28),0)</f>
        <v/>
      </c>
      <c r="AA28">
        <f>MAX($B$10:$B$44)-B28</f>
        <v/>
      </c>
      <c r="AB28" s="1">
        <f>IFERROR(B28/16,0)</f>
        <v/>
      </c>
      <c r="AD28" s="76">
        <f>MAX($B$7:$B$141)-B28</f>
        <v/>
      </c>
    </row>
    <row r="29">
      <c r="A29" s="2">
        <f>IF(AD29=0,$AD$46, " ")</f>
        <v/>
      </c>
      <c r="B29">
        <f>SUM(V29:X29)+C29</f>
        <v/>
      </c>
      <c r="C29">
        <f>COUNTA(F29:U29)</f>
        <v/>
      </c>
      <c r="D29">
        <f>_xlfn.RANK.EQ(B29,$B$10:$B$44,0)</f>
        <v/>
      </c>
      <c r="V29" s="12" t="n"/>
      <c r="Y29" s="12" t="n"/>
      <c r="Z29" s="1">
        <f>IFERROR(COUNTIF(F29:U29,"W")/COUNTA(F29:U29),0)</f>
        <v/>
      </c>
      <c r="AA29">
        <f>MAX($B$10:$B$44)-B29</f>
        <v/>
      </c>
      <c r="AB29" s="1">
        <f>IFERROR(B29/16,0)</f>
        <v/>
      </c>
      <c r="AD29" s="76">
        <f>MAX($B$7:$B$141)-B29</f>
        <v/>
      </c>
    </row>
    <row r="30">
      <c r="A30" s="2">
        <f>IF(AD30=0,$AD$46, " ")</f>
        <v/>
      </c>
      <c r="B30">
        <f>SUM(V30:X30)+C30</f>
        <v/>
      </c>
      <c r="C30">
        <f>COUNTA(F30:U30)</f>
        <v/>
      </c>
      <c r="D30">
        <f>_xlfn.RANK.EQ(B30,$B$10:$B$44,0)</f>
        <v/>
      </c>
      <c r="V30" s="12" t="n"/>
      <c r="Y30" s="12" t="n"/>
      <c r="Z30" s="1">
        <f>IFERROR(COUNTIF(F30:U30,"W")/COUNTA(F30:U30),0)</f>
        <v/>
      </c>
      <c r="AA30">
        <f>MAX($B$10:$B$44)-B30</f>
        <v/>
      </c>
      <c r="AB30" s="1">
        <f>IFERROR(B30/16,0)</f>
        <v/>
      </c>
      <c r="AD30" s="76">
        <f>MAX($B$7:$B$141)-B30</f>
        <v/>
      </c>
    </row>
    <row r="31">
      <c r="A31" s="2">
        <f>IF(AD31=0,$AD$46, " ")</f>
        <v/>
      </c>
      <c r="B31">
        <f>SUM(V31:X31)+C31</f>
        <v/>
      </c>
      <c r="C31">
        <f>COUNTA(F31:U31)</f>
        <v/>
      </c>
      <c r="D31">
        <f>_xlfn.RANK.EQ(B31,$B$10:$B$44,0)</f>
        <v/>
      </c>
      <c r="V31" s="12" t="n"/>
      <c r="Y31" s="12" t="n"/>
      <c r="Z31" s="1">
        <f>IFERROR(COUNTIF(F31:U31,"W")/COUNTA(F31:U31),0)</f>
        <v/>
      </c>
      <c r="AA31">
        <f>MAX($B$10:$B$44)-B31</f>
        <v/>
      </c>
      <c r="AB31" s="1">
        <f>IFERROR(B31/16,0)</f>
        <v/>
      </c>
      <c r="AD31" s="76">
        <f>MAX($B$7:$B$141)-B31</f>
        <v/>
      </c>
    </row>
    <row r="32">
      <c r="A32" s="2">
        <f>IF(AD32=0,$AD$46, " ")</f>
        <v/>
      </c>
      <c r="B32">
        <f>SUM(V32:X32)+C32</f>
        <v/>
      </c>
      <c r="C32">
        <f>COUNTA(F32:U32)</f>
        <v/>
      </c>
      <c r="D32">
        <f>_xlfn.RANK.EQ(B32,$B$10:$B$44,0)</f>
        <v/>
      </c>
      <c r="V32" s="12" t="n"/>
      <c r="Y32" s="12" t="n"/>
      <c r="Z32" s="1">
        <f>IFERROR(COUNTIF(F32:U32,"W")/COUNTA(F32:U32),0)</f>
        <v/>
      </c>
      <c r="AA32">
        <f>MAX($B$10:$B$44)-B32</f>
        <v/>
      </c>
      <c r="AB32" s="1">
        <f>IFERROR(B32/16,0)</f>
        <v/>
      </c>
      <c r="AD32" s="76">
        <f>MAX($B$7:$B$141)-B32</f>
        <v/>
      </c>
    </row>
    <row r="33">
      <c r="A33" s="2">
        <f>IF(AD33=0,$AD$46, " ")</f>
        <v/>
      </c>
      <c r="B33">
        <f>SUM(V33:X33)+C33</f>
        <v/>
      </c>
      <c r="C33">
        <f>COUNTA(F33:U33)</f>
        <v/>
      </c>
      <c r="D33">
        <f>_xlfn.RANK.EQ(B33,$B$10:$B$44,0)</f>
        <v/>
      </c>
      <c r="V33" s="12" t="n"/>
      <c r="Y33" s="12" t="n"/>
      <c r="Z33" s="1">
        <f>IFERROR(COUNTIF(F33:U33,"W")/COUNTA(F33:U33),0)</f>
        <v/>
      </c>
      <c r="AA33">
        <f>MAX($B$10:$B$44)-B33</f>
        <v/>
      </c>
      <c r="AB33" s="1">
        <f>IFERROR(B33/16,0)</f>
        <v/>
      </c>
      <c r="AD33" s="76">
        <f>MAX($B$7:$B$141)-B33</f>
        <v/>
      </c>
    </row>
    <row r="34">
      <c r="A34" s="2">
        <f>IF(AD34=0,$AD$46, " ")</f>
        <v/>
      </c>
      <c r="B34">
        <f>SUM(V34:X34)+C34</f>
        <v/>
      </c>
      <c r="C34">
        <f>COUNTA(F34:U34)</f>
        <v/>
      </c>
      <c r="D34">
        <f>_xlfn.RANK.EQ(B34,$B$10:$B$44,0)</f>
        <v/>
      </c>
      <c r="V34" s="12" t="n"/>
      <c r="Y34" s="12" t="n"/>
      <c r="Z34" s="1">
        <f>IFERROR(COUNTIF(F34:U34,"W")/COUNTA(F34:U34),0)</f>
        <v/>
      </c>
      <c r="AA34">
        <f>MAX($B$10:$B$44)-B34</f>
        <v/>
      </c>
      <c r="AB34" s="1">
        <f>IFERROR(B34/16,0)</f>
        <v/>
      </c>
      <c r="AD34" s="76">
        <f>MAX($B$7:$B$141)-B34</f>
        <v/>
      </c>
    </row>
    <row r="35">
      <c r="A35" s="2">
        <f>IF(AD35=0,$AD$46, " ")</f>
        <v/>
      </c>
      <c r="B35">
        <f>SUM(V35:X35)+C35</f>
        <v/>
      </c>
      <c r="C35">
        <f>COUNTA(F35:U35)</f>
        <v/>
      </c>
      <c r="D35">
        <f>_xlfn.RANK.EQ(B35,$B$10:$B$44,0)</f>
        <v/>
      </c>
      <c r="V35" s="12" t="n"/>
      <c r="Y35" s="12" t="n"/>
      <c r="Z35" s="1">
        <f>IFERROR(COUNTIF(F35:U35,"W")/COUNTA(F35:U35),0)</f>
        <v/>
      </c>
      <c r="AA35">
        <f>MAX($B$10:$B$44)-B35</f>
        <v/>
      </c>
      <c r="AB35" s="1">
        <f>IFERROR(B35/16,0)</f>
        <v/>
      </c>
      <c r="AD35" s="76">
        <f>MAX($B$7:$B$141)-B35</f>
        <v/>
      </c>
    </row>
    <row r="36">
      <c r="A36" s="2">
        <f>IF(AD36=0,$AD$46, " ")</f>
        <v/>
      </c>
      <c r="B36">
        <f>SUM(V36:X36)+C36</f>
        <v/>
      </c>
      <c r="C36">
        <f>COUNTA(F36:U36)</f>
        <v/>
      </c>
      <c r="D36">
        <f>_xlfn.RANK.EQ(B36,$B$10:$B$44,0)</f>
        <v/>
      </c>
      <c r="V36" s="12" t="n"/>
      <c r="Y36" s="12" t="n"/>
      <c r="Z36" s="1">
        <f>IFERROR(COUNTIF(F36:U36,"W")/COUNTA(F36:U36),0)</f>
        <v/>
      </c>
      <c r="AA36">
        <f>MAX($B$10:$B$44)-B36</f>
        <v/>
      </c>
      <c r="AB36" s="1">
        <f>IFERROR(B36/16,0)</f>
        <v/>
      </c>
      <c r="AD36" s="76">
        <f>MAX($B$7:$B$141)-B36</f>
        <v/>
      </c>
    </row>
    <row r="37">
      <c r="A37" s="2">
        <f>IF(AD37=0,$AD$46, " ")</f>
        <v/>
      </c>
      <c r="B37">
        <f>SUM(V37:X37)+C37</f>
        <v/>
      </c>
      <c r="C37">
        <f>COUNTA(F37:U37)</f>
        <v/>
      </c>
      <c r="D37">
        <f>_xlfn.RANK.EQ(B37,$B$10:$B$44,0)</f>
        <v/>
      </c>
      <c r="V37" s="12" t="n"/>
      <c r="Y37" s="12" t="n"/>
      <c r="Z37" s="1">
        <f>IFERROR(COUNTIF(F37:U37,"W")/COUNTA(F37:U37),0)</f>
        <v/>
      </c>
      <c r="AA37">
        <f>MAX($B$10:$B$44)-B37</f>
        <v/>
      </c>
      <c r="AB37" s="1">
        <f>IFERROR(B37/16,0)</f>
        <v/>
      </c>
      <c r="AD37" s="76">
        <f>MAX($B$7:$B$141)-B37</f>
        <v/>
      </c>
    </row>
    <row r="38">
      <c r="A38" s="2">
        <f>IF(AD38=0,$AD$46, " ")</f>
        <v/>
      </c>
      <c r="B38">
        <f>SUM(V38:X38)+C38</f>
        <v/>
      </c>
      <c r="C38">
        <f>COUNTA(F38:U38)</f>
        <v/>
      </c>
      <c r="D38">
        <f>_xlfn.RANK.EQ(B38,$B$10:$B$44,0)</f>
        <v/>
      </c>
      <c r="V38" s="12" t="n"/>
      <c r="Y38" s="12" t="n"/>
      <c r="Z38" s="1">
        <f>IFERROR(COUNTIF(F38:U38,"W")/COUNTA(F38:U38),0)</f>
        <v/>
      </c>
      <c r="AA38">
        <f>MAX($B$10:$B$44)-B38</f>
        <v/>
      </c>
      <c r="AB38" s="1">
        <f>IFERROR(B38/16,0)</f>
        <v/>
      </c>
      <c r="AD38" s="76">
        <f>MAX($B$7:$B$141)-B38</f>
        <v/>
      </c>
    </row>
    <row r="39">
      <c r="A39" s="2">
        <f>IF(AD39=0,$AD$46, " ")</f>
        <v/>
      </c>
      <c r="B39">
        <f>SUM(V39:X39)+C39</f>
        <v/>
      </c>
      <c r="C39">
        <f>COUNTA(F39:U39)</f>
        <v/>
      </c>
      <c r="D39">
        <f>_xlfn.RANK.EQ(B39,$B$10:$B$44,0)</f>
        <v/>
      </c>
      <c r="V39" s="12" t="n"/>
      <c r="Y39" s="12" t="n"/>
      <c r="Z39" s="1">
        <f>IFERROR(COUNTIF(F39:U39,"W")/COUNTA(F39:U39),0)</f>
        <v/>
      </c>
      <c r="AA39">
        <f>MAX($B$10:$B$44)-B39</f>
        <v/>
      </c>
      <c r="AB39" s="1">
        <f>IFERROR(B39/16,0)</f>
        <v/>
      </c>
      <c r="AD39" s="76">
        <f>MAX($B$7:$B$141)-B39</f>
        <v/>
      </c>
    </row>
    <row r="40">
      <c r="A40" s="2">
        <f>IF(AD40=0,$AD$46, " ")</f>
        <v/>
      </c>
      <c r="B40">
        <f>SUM(V40:X40)+C40</f>
        <v/>
      </c>
      <c r="C40">
        <f>COUNTA(F40:U40)</f>
        <v/>
      </c>
      <c r="D40">
        <f>_xlfn.RANK.EQ(B40,$B$10:$B$44,0)</f>
        <v/>
      </c>
      <c r="V40" s="12" t="n"/>
      <c r="Y40" s="12" t="n"/>
      <c r="Z40" s="1">
        <f>IFERROR(COUNTIF(F40:U40,"W")/COUNTA(F40:U40),0)</f>
        <v/>
      </c>
      <c r="AA40">
        <f>MAX($B$10:$B$44)-B40</f>
        <v/>
      </c>
      <c r="AB40" s="1">
        <f>IFERROR(B40/16,0)</f>
        <v/>
      </c>
      <c r="AD40" s="76">
        <f>MAX($B$7:$B$141)-B40</f>
        <v/>
      </c>
    </row>
    <row r="41">
      <c r="A41" s="2">
        <f>IF(AD41=0,$AD$46, " ")</f>
        <v/>
      </c>
      <c r="B41">
        <f>SUM(V41:X41)+C41</f>
        <v/>
      </c>
      <c r="C41">
        <f>COUNTA(F41:U41)</f>
        <v/>
      </c>
      <c r="D41">
        <f>_xlfn.RANK.EQ(B41,$B$10:$B$44,0)</f>
        <v/>
      </c>
      <c r="V41" s="12" t="n"/>
      <c r="Y41" s="12" t="n"/>
      <c r="Z41" s="1">
        <f>IFERROR(COUNTIF(F41:U41,"W")/COUNTA(F41:U41),0)</f>
        <v/>
      </c>
      <c r="AA41">
        <f>MAX($B$10:$B$44)-B41</f>
        <v/>
      </c>
      <c r="AB41" s="1">
        <f>IFERROR(B41/16,0)</f>
        <v/>
      </c>
      <c r="AD41" s="76">
        <f>MAX($B$7:$B$141)-B41</f>
        <v/>
      </c>
    </row>
    <row r="42">
      <c r="A42" s="2">
        <f>IF(AD42=0,$AD$46, " ")</f>
        <v/>
      </c>
      <c r="B42">
        <f>SUM(V42:X42)+C42</f>
        <v/>
      </c>
      <c r="C42">
        <f>COUNTA(F42:U42)</f>
        <v/>
      </c>
      <c r="D42">
        <f>_xlfn.RANK.EQ(B42,$B$10:$B$44,0)</f>
        <v/>
      </c>
      <c r="V42" s="12" t="n"/>
      <c r="Y42" s="12" t="n"/>
      <c r="Z42" s="1">
        <f>IFERROR(COUNTIF(F42:U42,"W")/COUNTA(F42:U42),0)</f>
        <v/>
      </c>
      <c r="AA42">
        <f>MAX($B$10:$B$44)-B42</f>
        <v/>
      </c>
      <c r="AB42" s="1">
        <f>IFERROR(B42/16,0)</f>
        <v/>
      </c>
      <c r="AD42" s="76">
        <f>MAX($B$7:$B$141)-B42</f>
        <v/>
      </c>
    </row>
    <row r="43">
      <c r="A43" s="2">
        <f>IF(AD43=0,$AD$46, " ")</f>
        <v/>
      </c>
      <c r="B43">
        <f>SUM(V43:X43)+C43</f>
        <v/>
      </c>
      <c r="C43">
        <f>COUNTA(F43:U43)</f>
        <v/>
      </c>
      <c r="D43">
        <f>_xlfn.RANK.EQ(B43,$B$10:$B$44,0)</f>
        <v/>
      </c>
      <c r="V43" s="12" t="n"/>
      <c r="Y43" s="12" t="n"/>
      <c r="Z43" s="1">
        <f>IFERROR(COUNTIF(F43:U43,"W")/COUNTA(F43:U43),0)</f>
        <v/>
      </c>
      <c r="AA43">
        <f>MAX($B$10:$B$44)-B43</f>
        <v/>
      </c>
      <c r="AB43" s="1">
        <f>IFERROR(B43/16,0)</f>
        <v/>
      </c>
      <c r="AD43" s="76">
        <f>MAX($B$7:$B$141)-B43</f>
        <v/>
      </c>
    </row>
    <row r="44">
      <c r="A44" s="2">
        <f>IF(AD44=0,$AD$46, " ")</f>
        <v/>
      </c>
      <c r="B44">
        <f>SUM(V44:X44)+C44</f>
        <v/>
      </c>
      <c r="C44">
        <f>COUNTA(F44:U44)</f>
        <v/>
      </c>
      <c r="D44">
        <f>_xlfn.RANK.EQ(B44,$B$10:$B$44,0)</f>
        <v/>
      </c>
      <c r="V44" s="12" t="n"/>
      <c r="Y44" s="12" t="n"/>
      <c r="Z44" s="1">
        <f>IFERROR(COUNTIF(F44:U44,"W")/COUNTA(F44:U44),0)</f>
        <v/>
      </c>
      <c r="AA44">
        <f>MAX($B$10:$B$44)-B44</f>
        <v/>
      </c>
      <c r="AB44" s="1">
        <f>IFERROR(B44/16,0)</f>
        <v/>
      </c>
      <c r="AD44" s="76">
        <f>MAX($B$7:$B$141)-B44</f>
        <v/>
      </c>
    </row>
    <row r="45">
      <c r="AD45" s="10">
        <f>COUNTIF(AD10:AD44,0)</f>
        <v/>
      </c>
    </row>
    <row r="46">
      <c r="AD46" s="76">
        <f>SUM(AD10:AD44)/AD45</f>
        <v/>
      </c>
    </row>
  </sheetData>
  <mergeCells count="1">
    <mergeCell ref="A1:Y2"/>
  </mergeCells>
  <conditionalFormatting sqref="B10:B4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:D4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0:U44">
    <cfRule type="cellIs" priority="4" operator="equal" dxfId="2">
      <formula>"W"</formula>
    </cfRule>
    <cfRule type="cellIs" priority="5" operator="equal" dxfId="1">
      <formula>"L"</formula>
    </cfRule>
  </conditionalFormatting>
  <conditionalFormatting sqref="AD10:AD46">
    <cfRule type="cellIs" priority="1" operator="equal" dxfId="0" stopIfTrue="1">
      <formula>0</formula>
    </cfRule>
  </conditionalFormatting>
  <dataValidations count="2">
    <dataValidation sqref="F6:U6" showDropDown="0" showInputMessage="0" showErrorMessage="0" allowBlank="1" type="list">
      <formula1>"Seattle,Los Angeles Rams,Cincinnati,Detroit,Tennessee,Indianapolis,Pittsburgh,Carolina,Jacksonville,Houston,Las Vegas,Minnesota,Philadelphia,Los Angeles Chargers,New York Giants,Kansas City"</formula1>
    </dataValidation>
    <dataValidation sqref="F10:U44" showDropDown="0" showInputMessage="0" showErrorMessage="0" allowBlank="1" type="list">
      <formula1>"W,L"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46"/>
  <sheetViews>
    <sheetView workbookViewId="0">
      <selection activeCell="A1" sqref="A1:XFD1048576"/>
    </sheetView>
  </sheetViews>
  <sheetFormatPr baseColWidth="8" defaultColWidth="9.109375" defaultRowHeight="14.4"/>
  <cols>
    <col width="11" customWidth="1" style="54" min="1" max="1"/>
    <col width="8" customWidth="1" style="54" min="2" max="4"/>
    <col width="22" customWidth="1" style="54" min="5" max="5"/>
    <col width="17.6640625" customWidth="1" style="54" min="6" max="18"/>
    <col width="23.5546875" bestFit="1" customWidth="1" style="54" min="19" max="19"/>
    <col width="17.6640625" customWidth="1" style="54" min="20" max="21"/>
    <col width="17" customWidth="1" style="54" min="22" max="25"/>
    <col width="12" customWidth="1" style="54" min="26" max="27"/>
    <col width="10" customWidth="1" style="54" min="28" max="28"/>
    <col width="9.109375" customWidth="1" style="54" min="29" max="34"/>
    <col width="9.109375" customWidth="1" style="54" min="35" max="16384"/>
  </cols>
  <sheetData>
    <row r="1">
      <c r="A1" s="63" t="inlineStr">
        <is>
          <t>🏈 WEEK 3 — ACQL</t>
        </is>
      </c>
    </row>
    <row r="2"/>
    <row r="4">
      <c r="A4" s="5" t="inlineStr">
        <is>
          <t>Home Team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inlineStr">
        <is>
          <t>Away Team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6" t="inlineStr">
        <is>
          <t>Result / Winner →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</row>
    <row r="7">
      <c r="A7" s="8" t="inlineStr">
        <is>
          <t>Picked Home %</t>
        </is>
      </c>
      <c r="B7" s="8" t="n"/>
      <c r="C7" s="8" t="n"/>
      <c r="D7" s="8" t="n"/>
      <c r="E7" s="8" t="n"/>
      <c r="F7" s="8">
        <f>IFERROR(COUNTIF(F10:F44, F$4)/COUNTA(B10:B44),0)</f>
        <v/>
      </c>
      <c r="G7" s="8">
        <f>IFERROR(COUNTIF(G10:G44, G$4)/COUNTA(C10:C44),0)</f>
        <v/>
      </c>
      <c r="H7" s="8">
        <f>IFERROR(COUNTIF(H10:H44, H$4)/COUNTA(D10:D44),0)</f>
        <v/>
      </c>
      <c r="I7" s="8">
        <f>IFERROR(COUNTIF(I10:I44, I$4)/COUNTA(E10:E44),0)</f>
        <v/>
      </c>
      <c r="J7" s="8">
        <f>IFERROR(COUNTIF(J10:J44, J$4)/COUNTA(F10:F44),0)</f>
        <v/>
      </c>
      <c r="K7" s="8">
        <f>IFERROR(COUNTIF(K10:K44, K$4)/COUNTA(G10:G44),0)</f>
        <v/>
      </c>
      <c r="L7" s="8">
        <f>IFERROR(COUNTIF(L10:L44, L$4)/COUNTA(H10:H44),0)</f>
        <v/>
      </c>
      <c r="M7" s="8">
        <f>IFERROR(COUNTIF(M10:M44, M$4)/COUNTA(I10:I44),0)</f>
        <v/>
      </c>
      <c r="N7" s="8">
        <f>IFERROR(COUNTIF(N10:N44, N$4)/COUNTA(J10:J44),0)</f>
        <v/>
      </c>
      <c r="O7" s="8">
        <f>IFERROR(COUNTIF(O10:O44, O$4)/COUNTA(K10:K44),0)</f>
        <v/>
      </c>
      <c r="P7" s="8">
        <f>IFERROR(COUNTIF(P10:P44, P$4)/COUNTA(L10:L44),0)</f>
        <v/>
      </c>
      <c r="Q7" s="8">
        <f>IFERROR(COUNTIF(Q10:Q44, Q$4)/COUNTA(M10:M44),0)</f>
        <v/>
      </c>
      <c r="R7" s="8">
        <f>IFERROR(COUNTIF(R10:R44, R$4)/COUNTA(N10:N44),0)</f>
        <v/>
      </c>
      <c r="S7" s="8">
        <f>IFERROR(COUNTIF(S10:S44, S$4)/COUNTA(O10:O44),0)</f>
        <v/>
      </c>
      <c r="T7" s="8">
        <f>IFERROR(COUNTIF(T10:T44, T$4)/COUNTA(P10:P44),0)</f>
        <v/>
      </c>
      <c r="U7" s="8">
        <f>IFERROR(COUNTIF(U10:U44, U$4)/COUNTA(Q10:Q44),0)</f>
        <v/>
      </c>
      <c r="V7" s="7" t="n"/>
      <c r="W7" s="7" t="n"/>
      <c r="X7" s="7" t="n"/>
      <c r="Y7" s="7" t="n"/>
    </row>
    <row r="9" ht="28.8" customHeight="1" s="54">
      <c r="A9" s="9" t="inlineStr">
        <is>
          <t>Entry Fee</t>
        </is>
      </c>
      <c r="B9" s="9" t="inlineStr">
        <is>
          <t>Wins</t>
        </is>
      </c>
      <c r="C9" s="9" t="inlineStr">
        <is>
          <t>Wins</t>
        </is>
      </c>
      <c r="D9" s="9" t="inlineStr">
        <is>
          <t>Rank</t>
        </is>
      </c>
      <c r="E9" s="9" t="inlineStr">
        <is>
          <t>Player</t>
        </is>
      </c>
      <c r="F9" s="9" t="inlineStr">
        <is>
          <t>G1</t>
        </is>
      </c>
      <c r="G9" s="9" t="inlineStr">
        <is>
          <t>G2</t>
        </is>
      </c>
      <c r="H9" s="9" t="inlineStr">
        <is>
          <t>G3</t>
        </is>
      </c>
      <c r="I9" s="9" t="inlineStr">
        <is>
          <t>G4</t>
        </is>
      </c>
      <c r="J9" s="9" t="inlineStr">
        <is>
          <t>G5</t>
        </is>
      </c>
      <c r="K9" s="9" t="inlineStr">
        <is>
          <t>G6</t>
        </is>
      </c>
      <c r="L9" s="9" t="inlineStr">
        <is>
          <t>G7</t>
        </is>
      </c>
      <c r="M9" s="9" t="inlineStr">
        <is>
          <t>G8</t>
        </is>
      </c>
      <c r="N9" s="9" t="inlineStr">
        <is>
          <t>G9</t>
        </is>
      </c>
      <c r="O9" s="9" t="inlineStr">
        <is>
          <t>G10</t>
        </is>
      </c>
      <c r="P9" s="9" t="inlineStr">
        <is>
          <t>G11</t>
        </is>
      </c>
      <c r="Q9" s="9" t="inlineStr">
        <is>
          <t>G12</t>
        </is>
      </c>
      <c r="R9" s="9" t="inlineStr">
        <is>
          <t>G13</t>
        </is>
      </c>
      <c r="S9" s="9" t="inlineStr">
        <is>
          <t>G14</t>
        </is>
      </c>
      <c r="T9" s="9" t="inlineStr">
        <is>
          <t>G15</t>
        </is>
      </c>
      <c r="U9" s="9" t="inlineStr">
        <is>
          <t>G16</t>
        </is>
      </c>
      <c r="V9" s="9" t="inlineStr">
        <is>
          <t>Loser 1</t>
        </is>
      </c>
      <c r="W9" s="9" t="inlineStr">
        <is>
          <t>Loser 2</t>
        </is>
      </c>
      <c r="X9" s="9" t="inlineStr">
        <is>
          <t>Loser 3</t>
        </is>
      </c>
      <c r="Y9" s="9" t="inlineStr">
        <is>
          <t>Suicide</t>
        </is>
      </c>
      <c r="Z9" s="9" t="inlineStr">
        <is>
          <t>Home Team %</t>
        </is>
      </c>
      <c r="AA9" s="9" t="inlineStr">
        <is>
          <t>$ Owed</t>
        </is>
      </c>
      <c r="AB9" s="9" t="inlineStr">
        <is>
          <t>Games Behind</t>
        </is>
      </c>
      <c r="AC9" s="9" t="inlineStr">
        <is>
          <t>Win %</t>
        </is>
      </c>
    </row>
    <row r="10">
      <c r="A10" s="2">
        <f>IF(AD10=0,$AD$46, " ")</f>
        <v/>
      </c>
      <c r="B10">
        <f>SUM(V10:X10)+C10</f>
        <v/>
      </c>
      <c r="C10">
        <f>COUNTA(F10:U10)</f>
        <v/>
      </c>
      <c r="D10">
        <f>_xlfn.RANK.EQ(B10,$B$10:$B$44,0)</f>
        <v/>
      </c>
      <c r="V10" s="11" t="n"/>
      <c r="Y10" s="11" t="n"/>
      <c r="Z10" s="1">
        <f>IFERROR(COUNTIF(F10:U10,"W")/COUNTA(F10:U10),0)</f>
        <v/>
      </c>
      <c r="AA10">
        <f>MAX($B$10:$B$44)-B10</f>
        <v/>
      </c>
      <c r="AB10" s="1">
        <f>IFERROR(B10/16,0)</f>
        <v/>
      </c>
      <c r="AD10" s="76">
        <f>MAX($B$7:$B$141)-B10</f>
        <v/>
      </c>
    </row>
    <row r="11">
      <c r="A11" s="2">
        <f>IF(AD11=0,$AD$46, " ")</f>
        <v/>
      </c>
      <c r="B11">
        <f>SUM(V11:X11)+C11</f>
        <v/>
      </c>
      <c r="C11">
        <f>COUNTA(F11:U11)</f>
        <v/>
      </c>
      <c r="D11">
        <f>_xlfn.RANK.EQ(B11,$B$10:$B$44,0)</f>
        <v/>
      </c>
      <c r="V11" s="12" t="n"/>
      <c r="Y11" s="12" t="n"/>
      <c r="Z11" s="1">
        <f>IFERROR(COUNTIF(F11:U11,"W")/COUNTA(F11:U11),0)</f>
        <v/>
      </c>
      <c r="AA11">
        <f>MAX($B$10:$B$44)-B11</f>
        <v/>
      </c>
      <c r="AB11" s="1">
        <f>IFERROR(B11/16,0)</f>
        <v/>
      </c>
      <c r="AD11" s="76">
        <f>MAX($B$7:$B$141)-B11</f>
        <v/>
      </c>
    </row>
    <row r="12">
      <c r="A12" s="2">
        <f>IF(AD12=0,$AD$46, " ")</f>
        <v/>
      </c>
      <c r="B12">
        <f>SUM(V12:X12)+C12</f>
        <v/>
      </c>
      <c r="C12">
        <f>COUNTA(F12:U12)</f>
        <v/>
      </c>
      <c r="D12">
        <f>_xlfn.RANK.EQ(B12,$B$10:$B$44,0)</f>
        <v/>
      </c>
      <c r="V12" s="12" t="n"/>
      <c r="Y12" s="12" t="n"/>
      <c r="Z12" s="1">
        <f>IFERROR(COUNTIF(F12:U12,"W")/COUNTA(F12:U12),0)</f>
        <v/>
      </c>
      <c r="AA12">
        <f>MAX($B$10:$B$44)-B12</f>
        <v/>
      </c>
      <c r="AB12" s="1">
        <f>IFERROR(B12/16,0)</f>
        <v/>
      </c>
      <c r="AD12" s="76">
        <f>MAX($B$7:$B$141)-B12</f>
        <v/>
      </c>
    </row>
    <row r="13">
      <c r="A13" s="2">
        <f>IF(AD13=0,$AD$46, " ")</f>
        <v/>
      </c>
      <c r="B13">
        <f>SUM(V13:X13)+C13</f>
        <v/>
      </c>
      <c r="C13">
        <f>COUNTA(F13:U13)</f>
        <v/>
      </c>
      <c r="D13">
        <f>_xlfn.RANK.EQ(B13,$B$10:$B$44,0)</f>
        <v/>
      </c>
      <c r="V13" s="12" t="n"/>
      <c r="Y13" s="12" t="n"/>
      <c r="Z13" s="1">
        <f>IFERROR(COUNTIF(F13:U13,"W")/COUNTA(F13:U13),0)</f>
        <v/>
      </c>
      <c r="AA13">
        <f>MAX($B$10:$B$44)-B13</f>
        <v/>
      </c>
      <c r="AB13" s="1">
        <f>IFERROR(B13/16,0)</f>
        <v/>
      </c>
      <c r="AD13" s="76">
        <f>MAX($B$7:$B$141)-B13</f>
        <v/>
      </c>
    </row>
    <row r="14">
      <c r="A14" s="2">
        <f>IF(AD14=0,$AD$46, " ")</f>
        <v/>
      </c>
      <c r="B14">
        <f>SUM(V14:X14)+C14</f>
        <v/>
      </c>
      <c r="C14">
        <f>COUNTA(F14:U14)</f>
        <v/>
      </c>
      <c r="D14">
        <f>_xlfn.RANK.EQ(B14,$B$10:$B$44,0)</f>
        <v/>
      </c>
      <c r="V14" s="12" t="n"/>
      <c r="Y14" s="12" t="n"/>
      <c r="Z14" s="1">
        <f>IFERROR(COUNTIF(F14:U14,"W")/COUNTA(F14:U14),0)</f>
        <v/>
      </c>
      <c r="AA14">
        <f>MAX($B$10:$B$44)-B14</f>
        <v/>
      </c>
      <c r="AB14" s="1">
        <f>IFERROR(B14/16,0)</f>
        <v/>
      </c>
      <c r="AD14" s="76">
        <f>MAX($B$7:$B$141)-B14</f>
        <v/>
      </c>
    </row>
    <row r="15">
      <c r="A15" s="2">
        <f>IF(AD15=0,$AD$46, " ")</f>
        <v/>
      </c>
      <c r="B15">
        <f>SUM(V15:X15)+C15</f>
        <v/>
      </c>
      <c r="C15">
        <f>COUNTA(F15:U15)</f>
        <v/>
      </c>
      <c r="D15">
        <f>_xlfn.RANK.EQ(B15,$B$10:$B$44,0)</f>
        <v/>
      </c>
      <c r="V15" s="12" t="n"/>
      <c r="Y15" s="12" t="n"/>
      <c r="Z15" s="1">
        <f>IFERROR(COUNTIF(F15:U15,"W")/COUNTA(F15:U15),0)</f>
        <v/>
      </c>
      <c r="AA15">
        <f>MAX($B$10:$B$44)-B15</f>
        <v/>
      </c>
      <c r="AB15" s="1">
        <f>IFERROR(B15/16,0)</f>
        <v/>
      </c>
      <c r="AD15" s="76">
        <f>MAX($B$7:$B$141)-B15</f>
        <v/>
      </c>
    </row>
    <row r="16">
      <c r="A16" s="2">
        <f>IF(AD16=0,$AD$46, " ")</f>
        <v/>
      </c>
      <c r="B16">
        <f>SUM(V16:X16)+C16</f>
        <v/>
      </c>
      <c r="C16">
        <f>COUNTA(F16:U16)</f>
        <v/>
      </c>
      <c r="D16">
        <f>_xlfn.RANK.EQ(B16,$B$10:$B$44,0)</f>
        <v/>
      </c>
      <c r="V16" s="12" t="n"/>
      <c r="Y16" s="12" t="n"/>
      <c r="Z16" s="1">
        <f>IFERROR(COUNTIF(F16:U16,"W")/COUNTA(F16:U16),0)</f>
        <v/>
      </c>
      <c r="AA16">
        <f>MAX($B$10:$B$44)-B16</f>
        <v/>
      </c>
      <c r="AB16" s="1">
        <f>IFERROR(B16/16,0)</f>
        <v/>
      </c>
      <c r="AD16" s="76">
        <f>MAX($B$7:$B$141)-B16</f>
        <v/>
      </c>
    </row>
    <row r="17">
      <c r="A17" s="2">
        <f>IF(AD17=0,$AD$46, " ")</f>
        <v/>
      </c>
      <c r="B17">
        <f>SUM(V17:X17)+C17</f>
        <v/>
      </c>
      <c r="C17">
        <f>COUNTA(F17:U17)</f>
        <v/>
      </c>
      <c r="D17">
        <f>_xlfn.RANK.EQ(B17,$B$10:$B$44,0)</f>
        <v/>
      </c>
      <c r="V17" s="12" t="n"/>
      <c r="Y17" s="12" t="n"/>
      <c r="Z17" s="1">
        <f>IFERROR(COUNTIF(F17:U17,"W")/COUNTA(F17:U17),0)</f>
        <v/>
      </c>
      <c r="AA17">
        <f>MAX($B$10:$B$44)-B17</f>
        <v/>
      </c>
      <c r="AB17" s="1">
        <f>IFERROR(B17/16,0)</f>
        <v/>
      </c>
      <c r="AD17" s="76">
        <f>MAX($B$7:$B$141)-B17</f>
        <v/>
      </c>
    </row>
    <row r="18">
      <c r="A18" s="2">
        <f>IF(AD18=0,$AD$46, " ")</f>
        <v/>
      </c>
      <c r="B18">
        <f>SUM(V18:X18)+C18</f>
        <v/>
      </c>
      <c r="C18">
        <f>COUNTA(F18:U18)</f>
        <v/>
      </c>
      <c r="D18">
        <f>_xlfn.RANK.EQ(B18,$B$10:$B$44,0)</f>
        <v/>
      </c>
      <c r="V18" s="12" t="n"/>
      <c r="Y18" s="12" t="n"/>
      <c r="Z18" s="1">
        <f>IFERROR(COUNTIF(F18:U18,"W")/COUNTA(F18:U18),0)</f>
        <v/>
      </c>
      <c r="AA18">
        <f>MAX($B$10:$B$44)-B18</f>
        <v/>
      </c>
      <c r="AB18" s="1">
        <f>IFERROR(B18/16,0)</f>
        <v/>
      </c>
      <c r="AD18" s="76">
        <f>MAX($B$7:$B$141)-B18</f>
        <v/>
      </c>
    </row>
    <row r="19">
      <c r="A19" s="2">
        <f>IF(AD19=0,$AD$46, " ")</f>
        <v/>
      </c>
      <c r="B19">
        <f>SUM(V19:X19)+C19</f>
        <v/>
      </c>
      <c r="C19">
        <f>COUNTA(F19:U19)</f>
        <v/>
      </c>
      <c r="D19">
        <f>_xlfn.RANK.EQ(B19,$B$10:$B$44,0)</f>
        <v/>
      </c>
      <c r="V19" s="12" t="n"/>
      <c r="Y19" s="12" t="n"/>
      <c r="Z19" s="1">
        <f>IFERROR(COUNTIF(F19:U19,"W")/COUNTA(F19:U19),0)</f>
        <v/>
      </c>
      <c r="AA19">
        <f>MAX($B$10:$B$44)-B19</f>
        <v/>
      </c>
      <c r="AB19" s="1">
        <f>IFERROR(B19/16,0)</f>
        <v/>
      </c>
      <c r="AD19" s="76">
        <f>MAX($B$7:$B$141)-B19</f>
        <v/>
      </c>
    </row>
    <row r="20">
      <c r="A20" s="2">
        <f>IF(AD20=0,$AD$46, " ")</f>
        <v/>
      </c>
      <c r="B20">
        <f>SUM(V20:X20)+C20</f>
        <v/>
      </c>
      <c r="C20">
        <f>COUNTA(F20:U20)</f>
        <v/>
      </c>
      <c r="D20">
        <f>_xlfn.RANK.EQ(B20,$B$10:$B$44,0)</f>
        <v/>
      </c>
      <c r="V20" s="12" t="n"/>
      <c r="Y20" s="12" t="n"/>
      <c r="Z20" s="1">
        <f>IFERROR(COUNTIF(F20:U20,"W")/COUNTA(F20:U20),0)</f>
        <v/>
      </c>
      <c r="AA20">
        <f>MAX($B$10:$B$44)-B20</f>
        <v/>
      </c>
      <c r="AB20" s="1">
        <f>IFERROR(B20/16,0)</f>
        <v/>
      </c>
      <c r="AD20" s="76">
        <f>MAX($B$7:$B$141)-B20</f>
        <v/>
      </c>
    </row>
    <row r="21">
      <c r="A21" s="2">
        <f>IF(AD21=0,$AD$46, " ")</f>
        <v/>
      </c>
      <c r="B21">
        <f>SUM(V21:X21)+C21</f>
        <v/>
      </c>
      <c r="C21">
        <f>COUNTA(F21:U21)</f>
        <v/>
      </c>
      <c r="D21">
        <f>_xlfn.RANK.EQ(B21,$B$10:$B$44,0)</f>
        <v/>
      </c>
      <c r="V21" s="12" t="n"/>
      <c r="Y21" s="12" t="n"/>
      <c r="Z21" s="1">
        <f>IFERROR(COUNTIF(F21:U21,"W")/COUNTA(F21:U21),0)</f>
        <v/>
      </c>
      <c r="AA21">
        <f>MAX($B$10:$B$44)-B21</f>
        <v/>
      </c>
      <c r="AB21" s="1">
        <f>IFERROR(B21/16,0)</f>
        <v/>
      </c>
      <c r="AD21" s="76">
        <f>MAX($B$7:$B$141)-B21</f>
        <v/>
      </c>
    </row>
    <row r="22">
      <c r="A22" s="2">
        <f>IF(AD22=0,$AD$46, " ")</f>
        <v/>
      </c>
      <c r="B22">
        <f>SUM(V22:X22)+C22</f>
        <v/>
      </c>
      <c r="C22">
        <f>COUNTA(F22:U22)</f>
        <v/>
      </c>
      <c r="D22">
        <f>_xlfn.RANK.EQ(B22,$B$10:$B$44,0)</f>
        <v/>
      </c>
      <c r="V22" s="12" t="n"/>
      <c r="Y22" s="12" t="n"/>
      <c r="Z22" s="1">
        <f>IFERROR(COUNTIF(F22:U22,"W")/COUNTA(F22:U22),0)</f>
        <v/>
      </c>
      <c r="AA22">
        <f>MAX($B$10:$B$44)-B22</f>
        <v/>
      </c>
      <c r="AB22" s="1">
        <f>IFERROR(B22/16,0)</f>
        <v/>
      </c>
      <c r="AD22" s="76">
        <f>MAX($B$7:$B$141)-B22</f>
        <v/>
      </c>
    </row>
    <row r="23">
      <c r="A23" s="2">
        <f>IF(AD23=0,$AD$46, " ")</f>
        <v/>
      </c>
      <c r="B23">
        <f>SUM(V23:X23)+C23</f>
        <v/>
      </c>
      <c r="C23">
        <f>COUNTA(F23:U23)</f>
        <v/>
      </c>
      <c r="D23">
        <f>_xlfn.RANK.EQ(B23,$B$10:$B$44,0)</f>
        <v/>
      </c>
      <c r="V23" s="12" t="n"/>
      <c r="Y23" s="12" t="n"/>
      <c r="Z23" s="1">
        <f>IFERROR(COUNTIF(F23:U23,"W")/COUNTA(F23:U23),0)</f>
        <v/>
      </c>
      <c r="AA23">
        <f>MAX($B$10:$B$44)-B23</f>
        <v/>
      </c>
      <c r="AB23" s="1">
        <f>IFERROR(B23/16,0)</f>
        <v/>
      </c>
      <c r="AD23" s="76">
        <f>MAX($B$7:$B$141)-B23</f>
        <v/>
      </c>
    </row>
    <row r="24">
      <c r="A24" s="2">
        <f>IF(AD24=0,$AD$46, " ")</f>
        <v/>
      </c>
      <c r="B24">
        <f>SUM(V24:X24)+C24</f>
        <v/>
      </c>
      <c r="C24">
        <f>COUNTA(F24:U24)</f>
        <v/>
      </c>
      <c r="D24">
        <f>_xlfn.RANK.EQ(B24,$B$10:$B$44,0)</f>
        <v/>
      </c>
      <c r="V24" s="12" t="n"/>
      <c r="Y24" s="12" t="n"/>
      <c r="Z24" s="1">
        <f>IFERROR(COUNTIF(F24:U24,"W")/COUNTA(F24:U24),0)</f>
        <v/>
      </c>
      <c r="AA24">
        <f>MAX($B$10:$B$44)-B24</f>
        <v/>
      </c>
      <c r="AB24" s="1">
        <f>IFERROR(B24/16,0)</f>
        <v/>
      </c>
      <c r="AD24" s="76">
        <f>MAX($B$7:$B$141)-B24</f>
        <v/>
      </c>
    </row>
    <row r="25">
      <c r="A25" s="2">
        <f>IF(AD25=0,$AD$46, " ")</f>
        <v/>
      </c>
      <c r="B25">
        <f>SUM(V25:X25)+C25</f>
        <v/>
      </c>
      <c r="C25">
        <f>COUNTA(F25:U25)</f>
        <v/>
      </c>
      <c r="D25">
        <f>_xlfn.RANK.EQ(B25,$B$10:$B$44,0)</f>
        <v/>
      </c>
      <c r="V25" s="12" t="n"/>
      <c r="Y25" s="12" t="n"/>
      <c r="Z25" s="1">
        <f>IFERROR(COUNTIF(F25:U25,"W")/COUNTA(F25:U25),0)</f>
        <v/>
      </c>
      <c r="AA25">
        <f>MAX($B$10:$B$44)-B25</f>
        <v/>
      </c>
      <c r="AB25" s="1">
        <f>IFERROR(B25/16,0)</f>
        <v/>
      </c>
      <c r="AD25" s="76">
        <f>MAX($B$7:$B$141)-B25</f>
        <v/>
      </c>
    </row>
    <row r="26">
      <c r="A26" s="2">
        <f>IF(AD26=0,$AD$46, " ")</f>
        <v/>
      </c>
      <c r="B26">
        <f>SUM(V26:X26)+C26</f>
        <v/>
      </c>
      <c r="C26">
        <f>COUNTA(F26:U26)</f>
        <v/>
      </c>
      <c r="D26">
        <f>_xlfn.RANK.EQ(B26,$B$10:$B$44,0)</f>
        <v/>
      </c>
      <c r="V26" s="12" t="n"/>
      <c r="Y26" s="12" t="n"/>
      <c r="Z26" s="1">
        <f>IFERROR(COUNTIF(F26:U26,"W")/COUNTA(F26:U26),0)</f>
        <v/>
      </c>
      <c r="AA26">
        <f>MAX($B$10:$B$44)-B26</f>
        <v/>
      </c>
      <c r="AB26" s="1">
        <f>IFERROR(B26/16,0)</f>
        <v/>
      </c>
      <c r="AD26" s="76">
        <f>MAX($B$7:$B$141)-B26</f>
        <v/>
      </c>
    </row>
    <row r="27">
      <c r="A27" s="2">
        <f>IF(AD27=0,$AD$46, " ")</f>
        <v/>
      </c>
      <c r="B27">
        <f>SUM(V27:X27)+C27</f>
        <v/>
      </c>
      <c r="C27">
        <f>COUNTA(F27:U27)</f>
        <v/>
      </c>
      <c r="D27">
        <f>_xlfn.RANK.EQ(B27,$B$10:$B$44,0)</f>
        <v/>
      </c>
      <c r="V27" s="12" t="n"/>
      <c r="Y27" s="12" t="n"/>
      <c r="Z27" s="1">
        <f>IFERROR(COUNTIF(F27:U27,"W")/COUNTA(F27:U27),0)</f>
        <v/>
      </c>
      <c r="AA27">
        <f>MAX($B$10:$B$44)-B27</f>
        <v/>
      </c>
      <c r="AB27" s="1">
        <f>IFERROR(B27/16,0)</f>
        <v/>
      </c>
      <c r="AD27" s="76">
        <f>MAX($B$7:$B$141)-B27</f>
        <v/>
      </c>
    </row>
    <row r="28">
      <c r="A28" s="2">
        <f>IF(AD28=0,$AD$46, " ")</f>
        <v/>
      </c>
      <c r="B28">
        <f>SUM(V28:X28)+C28</f>
        <v/>
      </c>
      <c r="C28">
        <f>COUNTA(F28:U28)</f>
        <v/>
      </c>
      <c r="D28">
        <f>_xlfn.RANK.EQ(B28,$B$10:$B$44,0)</f>
        <v/>
      </c>
      <c r="V28" s="12" t="n"/>
      <c r="Y28" s="12" t="n"/>
      <c r="Z28" s="1">
        <f>IFERROR(COUNTIF(F28:U28,"W")/COUNTA(F28:U28),0)</f>
        <v/>
      </c>
      <c r="AA28">
        <f>MAX($B$10:$B$44)-B28</f>
        <v/>
      </c>
      <c r="AB28" s="1">
        <f>IFERROR(B28/16,0)</f>
        <v/>
      </c>
      <c r="AD28" s="76">
        <f>MAX($B$7:$B$141)-B28</f>
        <v/>
      </c>
    </row>
    <row r="29">
      <c r="A29" s="2">
        <f>IF(AD29=0,$AD$46, " ")</f>
        <v/>
      </c>
      <c r="B29">
        <f>SUM(V29:X29)+C29</f>
        <v/>
      </c>
      <c r="C29">
        <f>COUNTA(F29:U29)</f>
        <v/>
      </c>
      <c r="D29">
        <f>_xlfn.RANK.EQ(B29,$B$10:$B$44,0)</f>
        <v/>
      </c>
      <c r="V29" s="12" t="n"/>
      <c r="Y29" s="12" t="n"/>
      <c r="Z29" s="1">
        <f>IFERROR(COUNTIF(F29:U29,"W")/COUNTA(F29:U29),0)</f>
        <v/>
      </c>
      <c r="AA29">
        <f>MAX($B$10:$B$44)-B29</f>
        <v/>
      </c>
      <c r="AB29" s="1">
        <f>IFERROR(B29/16,0)</f>
        <v/>
      </c>
      <c r="AD29" s="76">
        <f>MAX($B$7:$B$141)-B29</f>
        <v/>
      </c>
    </row>
    <row r="30">
      <c r="A30" s="2">
        <f>IF(AD30=0,$AD$46, " ")</f>
        <v/>
      </c>
      <c r="B30">
        <f>SUM(V30:X30)+C30</f>
        <v/>
      </c>
      <c r="C30">
        <f>COUNTA(F30:U30)</f>
        <v/>
      </c>
      <c r="D30">
        <f>_xlfn.RANK.EQ(B30,$B$10:$B$44,0)</f>
        <v/>
      </c>
      <c r="V30" s="12" t="n"/>
      <c r="Y30" s="12" t="n"/>
      <c r="Z30" s="1">
        <f>IFERROR(COUNTIF(F30:U30,"W")/COUNTA(F30:U30),0)</f>
        <v/>
      </c>
      <c r="AA30">
        <f>MAX($B$10:$B$44)-B30</f>
        <v/>
      </c>
      <c r="AB30" s="1">
        <f>IFERROR(B30/16,0)</f>
        <v/>
      </c>
      <c r="AD30" s="76">
        <f>MAX($B$7:$B$141)-B30</f>
        <v/>
      </c>
    </row>
    <row r="31">
      <c r="A31" s="2">
        <f>IF(AD31=0,$AD$46, " ")</f>
        <v/>
      </c>
      <c r="B31">
        <f>SUM(V31:X31)+C31</f>
        <v/>
      </c>
      <c r="C31">
        <f>COUNTA(F31:U31)</f>
        <v/>
      </c>
      <c r="D31">
        <f>_xlfn.RANK.EQ(B31,$B$10:$B$44,0)</f>
        <v/>
      </c>
      <c r="V31" s="12" t="n"/>
      <c r="Y31" s="12" t="n"/>
      <c r="Z31" s="1">
        <f>IFERROR(COUNTIF(F31:U31,"W")/COUNTA(F31:U31),0)</f>
        <v/>
      </c>
      <c r="AA31">
        <f>MAX($B$10:$B$44)-B31</f>
        <v/>
      </c>
      <c r="AB31" s="1">
        <f>IFERROR(B31/16,0)</f>
        <v/>
      </c>
      <c r="AD31" s="76">
        <f>MAX($B$7:$B$141)-B31</f>
        <v/>
      </c>
    </row>
    <row r="32">
      <c r="A32" s="2">
        <f>IF(AD32=0,$AD$46, " ")</f>
        <v/>
      </c>
      <c r="B32">
        <f>SUM(V32:X32)+C32</f>
        <v/>
      </c>
      <c r="C32">
        <f>COUNTA(F32:U32)</f>
        <v/>
      </c>
      <c r="D32">
        <f>_xlfn.RANK.EQ(B32,$B$10:$B$44,0)</f>
        <v/>
      </c>
      <c r="V32" s="12" t="n"/>
      <c r="Y32" s="12" t="n"/>
      <c r="Z32" s="1">
        <f>IFERROR(COUNTIF(F32:U32,"W")/COUNTA(F32:U32),0)</f>
        <v/>
      </c>
      <c r="AA32">
        <f>MAX($B$10:$B$44)-B32</f>
        <v/>
      </c>
      <c r="AB32" s="1">
        <f>IFERROR(B32/16,0)</f>
        <v/>
      </c>
      <c r="AD32" s="76">
        <f>MAX($B$7:$B$141)-B32</f>
        <v/>
      </c>
    </row>
    <row r="33">
      <c r="A33" s="2">
        <f>IF(AD33=0,$AD$46, " ")</f>
        <v/>
      </c>
      <c r="B33">
        <f>SUM(V33:X33)+C33</f>
        <v/>
      </c>
      <c r="C33">
        <f>COUNTA(F33:U33)</f>
        <v/>
      </c>
      <c r="D33">
        <f>_xlfn.RANK.EQ(B33,$B$10:$B$44,0)</f>
        <v/>
      </c>
      <c r="V33" s="12" t="n"/>
      <c r="Y33" s="12" t="n"/>
      <c r="Z33" s="1">
        <f>IFERROR(COUNTIF(F33:U33,"W")/COUNTA(F33:U33),0)</f>
        <v/>
      </c>
      <c r="AA33">
        <f>MAX($B$10:$B$44)-B33</f>
        <v/>
      </c>
      <c r="AB33" s="1">
        <f>IFERROR(B33/16,0)</f>
        <v/>
      </c>
      <c r="AD33" s="76">
        <f>MAX($B$7:$B$141)-B33</f>
        <v/>
      </c>
    </row>
    <row r="34">
      <c r="A34" s="2">
        <f>IF(AD34=0,$AD$46, " ")</f>
        <v/>
      </c>
      <c r="B34">
        <f>SUM(V34:X34)+C34</f>
        <v/>
      </c>
      <c r="C34">
        <f>COUNTA(F34:U34)</f>
        <v/>
      </c>
      <c r="D34">
        <f>_xlfn.RANK.EQ(B34,$B$10:$B$44,0)</f>
        <v/>
      </c>
      <c r="V34" s="12" t="n"/>
      <c r="Y34" s="12" t="n"/>
      <c r="Z34" s="1">
        <f>IFERROR(COUNTIF(F34:U34,"W")/COUNTA(F34:U34),0)</f>
        <v/>
      </c>
      <c r="AA34">
        <f>MAX($B$10:$B$44)-B34</f>
        <v/>
      </c>
      <c r="AB34" s="1">
        <f>IFERROR(B34/16,0)</f>
        <v/>
      </c>
      <c r="AD34" s="76">
        <f>MAX($B$7:$B$141)-B34</f>
        <v/>
      </c>
    </row>
    <row r="35">
      <c r="A35" s="2">
        <f>IF(AD35=0,$AD$46, " ")</f>
        <v/>
      </c>
      <c r="B35">
        <f>SUM(V35:X35)+C35</f>
        <v/>
      </c>
      <c r="C35">
        <f>COUNTA(F35:U35)</f>
        <v/>
      </c>
      <c r="D35">
        <f>_xlfn.RANK.EQ(B35,$B$10:$B$44,0)</f>
        <v/>
      </c>
      <c r="V35" s="12" t="n"/>
      <c r="Y35" s="12" t="n"/>
      <c r="Z35" s="1">
        <f>IFERROR(COUNTIF(F35:U35,"W")/COUNTA(F35:U35),0)</f>
        <v/>
      </c>
      <c r="AA35">
        <f>MAX($B$10:$B$44)-B35</f>
        <v/>
      </c>
      <c r="AB35" s="1">
        <f>IFERROR(B35/16,0)</f>
        <v/>
      </c>
      <c r="AD35" s="76">
        <f>MAX($B$7:$B$141)-B35</f>
        <v/>
      </c>
    </row>
    <row r="36">
      <c r="A36" s="2">
        <f>IF(AD36=0,$AD$46, " ")</f>
        <v/>
      </c>
      <c r="B36">
        <f>SUM(V36:X36)+C36</f>
        <v/>
      </c>
      <c r="C36">
        <f>COUNTA(F36:U36)</f>
        <v/>
      </c>
      <c r="D36">
        <f>_xlfn.RANK.EQ(B36,$B$10:$B$44,0)</f>
        <v/>
      </c>
      <c r="V36" s="12" t="n"/>
      <c r="Y36" s="12" t="n"/>
      <c r="Z36" s="1">
        <f>IFERROR(COUNTIF(F36:U36,"W")/COUNTA(F36:U36),0)</f>
        <v/>
      </c>
      <c r="AA36">
        <f>MAX($B$10:$B$44)-B36</f>
        <v/>
      </c>
      <c r="AB36" s="1">
        <f>IFERROR(B36/16,0)</f>
        <v/>
      </c>
      <c r="AD36" s="76">
        <f>MAX($B$7:$B$141)-B36</f>
        <v/>
      </c>
    </row>
    <row r="37">
      <c r="A37" s="2">
        <f>IF(AD37=0,$AD$46, " ")</f>
        <v/>
      </c>
      <c r="B37">
        <f>SUM(V37:X37)+C37</f>
        <v/>
      </c>
      <c r="C37">
        <f>COUNTA(F37:U37)</f>
        <v/>
      </c>
      <c r="D37">
        <f>_xlfn.RANK.EQ(B37,$B$10:$B$44,0)</f>
        <v/>
      </c>
      <c r="V37" s="12" t="n"/>
      <c r="Y37" s="12" t="n"/>
      <c r="Z37" s="1">
        <f>IFERROR(COUNTIF(F37:U37,"W")/COUNTA(F37:U37),0)</f>
        <v/>
      </c>
      <c r="AA37">
        <f>MAX($B$10:$B$44)-B37</f>
        <v/>
      </c>
      <c r="AB37" s="1">
        <f>IFERROR(B37/16,0)</f>
        <v/>
      </c>
      <c r="AD37" s="76">
        <f>MAX($B$7:$B$141)-B37</f>
        <v/>
      </c>
    </row>
    <row r="38">
      <c r="A38" s="2">
        <f>IF(AD38=0,$AD$46, " ")</f>
        <v/>
      </c>
      <c r="B38">
        <f>SUM(V38:X38)+C38</f>
        <v/>
      </c>
      <c r="C38">
        <f>COUNTA(F38:U38)</f>
        <v/>
      </c>
      <c r="D38">
        <f>_xlfn.RANK.EQ(B38,$B$10:$B$44,0)</f>
        <v/>
      </c>
      <c r="V38" s="12" t="n"/>
      <c r="Y38" s="12" t="n"/>
      <c r="Z38" s="1">
        <f>IFERROR(COUNTIF(F38:U38,"W")/COUNTA(F38:U38),0)</f>
        <v/>
      </c>
      <c r="AA38">
        <f>MAX($B$10:$B$44)-B38</f>
        <v/>
      </c>
      <c r="AB38" s="1">
        <f>IFERROR(B38/16,0)</f>
        <v/>
      </c>
      <c r="AD38" s="76">
        <f>MAX($B$7:$B$141)-B38</f>
        <v/>
      </c>
    </row>
    <row r="39">
      <c r="A39" s="2">
        <f>IF(AD39=0,$AD$46, " ")</f>
        <v/>
      </c>
      <c r="B39">
        <f>SUM(V39:X39)+C39</f>
        <v/>
      </c>
      <c r="C39">
        <f>COUNTA(F39:U39)</f>
        <v/>
      </c>
      <c r="D39">
        <f>_xlfn.RANK.EQ(B39,$B$10:$B$44,0)</f>
        <v/>
      </c>
      <c r="V39" s="12" t="n"/>
      <c r="Y39" s="12" t="n"/>
      <c r="Z39" s="1">
        <f>IFERROR(COUNTIF(F39:U39,"W")/COUNTA(F39:U39),0)</f>
        <v/>
      </c>
      <c r="AA39">
        <f>MAX($B$10:$B$44)-B39</f>
        <v/>
      </c>
      <c r="AB39" s="1">
        <f>IFERROR(B39/16,0)</f>
        <v/>
      </c>
      <c r="AD39" s="76">
        <f>MAX($B$7:$B$141)-B39</f>
        <v/>
      </c>
    </row>
    <row r="40">
      <c r="A40" s="2">
        <f>IF(AD40=0,$AD$46, " ")</f>
        <v/>
      </c>
      <c r="B40">
        <f>SUM(V40:X40)+C40</f>
        <v/>
      </c>
      <c r="C40">
        <f>COUNTA(F40:U40)</f>
        <v/>
      </c>
      <c r="D40">
        <f>_xlfn.RANK.EQ(B40,$B$10:$B$44,0)</f>
        <v/>
      </c>
      <c r="V40" s="12" t="n"/>
      <c r="Y40" s="12" t="n"/>
      <c r="Z40" s="1">
        <f>IFERROR(COUNTIF(F40:U40,"W")/COUNTA(F40:U40),0)</f>
        <v/>
      </c>
      <c r="AA40">
        <f>MAX($B$10:$B$44)-B40</f>
        <v/>
      </c>
      <c r="AB40" s="1">
        <f>IFERROR(B40/16,0)</f>
        <v/>
      </c>
      <c r="AD40" s="76">
        <f>MAX($B$7:$B$141)-B40</f>
        <v/>
      </c>
    </row>
    <row r="41">
      <c r="A41" s="2">
        <f>IF(AD41=0,$AD$46, " ")</f>
        <v/>
      </c>
      <c r="B41">
        <f>SUM(V41:X41)+C41</f>
        <v/>
      </c>
      <c r="C41">
        <f>COUNTA(F41:U41)</f>
        <v/>
      </c>
      <c r="D41">
        <f>_xlfn.RANK.EQ(B41,$B$10:$B$44,0)</f>
        <v/>
      </c>
      <c r="V41" s="12" t="n"/>
      <c r="Y41" s="12" t="n"/>
      <c r="Z41" s="1">
        <f>IFERROR(COUNTIF(F41:U41,"W")/COUNTA(F41:U41),0)</f>
        <v/>
      </c>
      <c r="AA41">
        <f>MAX($B$10:$B$44)-B41</f>
        <v/>
      </c>
      <c r="AB41" s="1">
        <f>IFERROR(B41/16,0)</f>
        <v/>
      </c>
      <c r="AD41" s="76">
        <f>MAX($B$7:$B$141)-B41</f>
        <v/>
      </c>
    </row>
    <row r="42">
      <c r="A42" s="2">
        <f>IF(AD42=0,$AD$46, " ")</f>
        <v/>
      </c>
      <c r="B42">
        <f>SUM(V42:X42)+C42</f>
        <v/>
      </c>
      <c r="C42">
        <f>COUNTA(F42:U42)</f>
        <v/>
      </c>
      <c r="D42">
        <f>_xlfn.RANK.EQ(B42,$B$10:$B$44,0)</f>
        <v/>
      </c>
      <c r="V42" s="12" t="n"/>
      <c r="Y42" s="12" t="n"/>
      <c r="Z42" s="1">
        <f>IFERROR(COUNTIF(F42:U42,"W")/COUNTA(F42:U42),0)</f>
        <v/>
      </c>
      <c r="AA42">
        <f>MAX($B$10:$B$44)-B42</f>
        <v/>
      </c>
      <c r="AB42" s="1">
        <f>IFERROR(B42/16,0)</f>
        <v/>
      </c>
      <c r="AD42" s="76">
        <f>MAX($B$7:$B$141)-B42</f>
        <v/>
      </c>
    </row>
    <row r="43">
      <c r="A43" s="2">
        <f>IF(AD43=0,$AD$46, " ")</f>
        <v/>
      </c>
      <c r="B43">
        <f>SUM(V43:X43)+C43</f>
        <v/>
      </c>
      <c r="C43">
        <f>COUNTA(F43:U43)</f>
        <v/>
      </c>
      <c r="D43">
        <f>_xlfn.RANK.EQ(B43,$B$10:$B$44,0)</f>
        <v/>
      </c>
      <c r="V43" s="12" t="n"/>
      <c r="Y43" s="12" t="n"/>
      <c r="Z43" s="1">
        <f>IFERROR(COUNTIF(F43:U43,"W")/COUNTA(F43:U43),0)</f>
        <v/>
      </c>
      <c r="AA43">
        <f>MAX($B$10:$B$44)-B43</f>
        <v/>
      </c>
      <c r="AB43" s="1">
        <f>IFERROR(B43/16,0)</f>
        <v/>
      </c>
      <c r="AD43" s="76">
        <f>MAX($B$7:$B$141)-B43</f>
        <v/>
      </c>
    </row>
    <row r="44">
      <c r="A44" s="2">
        <f>IF(AD44=0,$AD$46, " ")</f>
        <v/>
      </c>
      <c r="B44">
        <f>SUM(V44:X44)+C44</f>
        <v/>
      </c>
      <c r="C44">
        <f>COUNTA(F44:U44)</f>
        <v/>
      </c>
      <c r="D44">
        <f>_xlfn.RANK.EQ(B44,$B$10:$B$44,0)</f>
        <v/>
      </c>
      <c r="V44" s="12" t="n"/>
      <c r="Y44" s="12" t="n"/>
      <c r="Z44" s="1">
        <f>IFERROR(COUNTIF(F44:U44,"W")/COUNTA(F44:U44),0)</f>
        <v/>
      </c>
      <c r="AA44">
        <f>MAX($B$10:$B$44)-B44</f>
        <v/>
      </c>
      <c r="AB44" s="1">
        <f>IFERROR(B44/16,0)</f>
        <v/>
      </c>
      <c r="AD44" s="76">
        <f>MAX($B$7:$B$141)-B44</f>
        <v/>
      </c>
    </row>
    <row r="45">
      <c r="AD45" s="10">
        <f>COUNTIF(AD10:AD44,0)</f>
        <v/>
      </c>
    </row>
    <row r="46">
      <c r="AD46" s="76">
        <f>SUM(AD10:AD44)/AD45</f>
        <v/>
      </c>
    </row>
  </sheetData>
  <mergeCells count="1">
    <mergeCell ref="A1:Y2"/>
  </mergeCells>
  <conditionalFormatting sqref="B10:B4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:D4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0:U44">
    <cfRule type="cellIs" priority="4" operator="equal" dxfId="2">
      <formula>"W"</formula>
    </cfRule>
    <cfRule type="cellIs" priority="5" operator="equal" dxfId="1">
      <formula>"L"</formula>
    </cfRule>
  </conditionalFormatting>
  <conditionalFormatting sqref="AD10:AD46">
    <cfRule type="cellIs" priority="1" operator="equal" dxfId="0" stopIfTrue="1">
      <formula>0</formula>
    </cfRule>
  </conditionalFormatting>
  <dataValidations count="2">
    <dataValidation sqref="F6:U6" showDropDown="0" showInputMessage="0" showErrorMessage="0" allowBlank="1" type="list">
      <formula1>"Seattle,Los Angeles Rams,Cincinnati,Detroit,Tennessee,Indianapolis,Pittsburgh,Carolina,Jacksonville,Houston,Las Vegas,Minnesota,Philadelphia,Los Angeles Chargers,New York Giants,Kansas City"</formula1>
    </dataValidation>
    <dataValidation sqref="F10:U44" showDropDown="0" showInputMessage="0" showErrorMessage="0" allowBlank="1" type="list">
      <formula1>"W,L"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46"/>
  <sheetViews>
    <sheetView workbookViewId="0">
      <selection activeCell="A1" sqref="A1:XFD1048576"/>
    </sheetView>
  </sheetViews>
  <sheetFormatPr baseColWidth="8" defaultColWidth="9.109375" defaultRowHeight="14.4"/>
  <cols>
    <col width="11" customWidth="1" style="54" min="1" max="1"/>
    <col width="8" customWidth="1" style="54" min="2" max="4"/>
    <col width="22" customWidth="1" style="54" min="5" max="5"/>
    <col width="17.6640625" customWidth="1" style="54" min="6" max="18"/>
    <col width="23.5546875" bestFit="1" customWidth="1" style="54" min="19" max="19"/>
    <col width="17.6640625" customWidth="1" style="54" min="20" max="21"/>
    <col width="17" customWidth="1" style="54" min="22" max="25"/>
    <col width="12" customWidth="1" style="54" min="26" max="27"/>
    <col width="10" customWidth="1" style="54" min="28" max="28"/>
    <col width="9.109375" customWidth="1" style="54" min="29" max="34"/>
    <col width="9.109375" customWidth="1" style="54" min="35" max="16384"/>
  </cols>
  <sheetData>
    <row r="1">
      <c r="A1" s="63" t="inlineStr">
        <is>
          <t>🏈 WEEK 3 — ACQL</t>
        </is>
      </c>
    </row>
    <row r="2"/>
    <row r="4">
      <c r="A4" s="5" t="inlineStr">
        <is>
          <t>Home Team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inlineStr">
        <is>
          <t>Away Team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6" t="inlineStr">
        <is>
          <t>Result / Winner →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</row>
    <row r="7">
      <c r="A7" s="8" t="inlineStr">
        <is>
          <t>Picked Home %</t>
        </is>
      </c>
      <c r="B7" s="8" t="n"/>
      <c r="C7" s="8" t="n"/>
      <c r="D7" s="8" t="n"/>
      <c r="E7" s="8" t="n"/>
      <c r="F7" s="8">
        <f>IFERROR(COUNTIF(F10:F44, F$4)/COUNTA(B10:B44),0)</f>
        <v/>
      </c>
      <c r="G7" s="8">
        <f>IFERROR(COUNTIF(G10:G44, G$4)/COUNTA(C10:C44),0)</f>
        <v/>
      </c>
      <c r="H7" s="8">
        <f>IFERROR(COUNTIF(H10:H44, H$4)/COUNTA(D10:D44),0)</f>
        <v/>
      </c>
      <c r="I7" s="8">
        <f>IFERROR(COUNTIF(I10:I44, I$4)/COUNTA(E10:E44),0)</f>
        <v/>
      </c>
      <c r="J7" s="8">
        <f>IFERROR(COUNTIF(J10:J44, J$4)/COUNTA(F10:F44),0)</f>
        <v/>
      </c>
      <c r="K7" s="8">
        <f>IFERROR(COUNTIF(K10:K44, K$4)/COUNTA(G10:G44),0)</f>
        <v/>
      </c>
      <c r="L7" s="8">
        <f>IFERROR(COUNTIF(L10:L44, L$4)/COUNTA(H10:H44),0)</f>
        <v/>
      </c>
      <c r="M7" s="8">
        <f>IFERROR(COUNTIF(M10:M44, M$4)/COUNTA(I10:I44),0)</f>
        <v/>
      </c>
      <c r="N7" s="8">
        <f>IFERROR(COUNTIF(N10:N44, N$4)/COUNTA(J10:J44),0)</f>
        <v/>
      </c>
      <c r="O7" s="8">
        <f>IFERROR(COUNTIF(O10:O44, O$4)/COUNTA(K10:K44),0)</f>
        <v/>
      </c>
      <c r="P7" s="8">
        <f>IFERROR(COUNTIF(P10:P44, P$4)/COUNTA(L10:L44),0)</f>
        <v/>
      </c>
      <c r="Q7" s="8">
        <f>IFERROR(COUNTIF(Q10:Q44, Q$4)/COUNTA(M10:M44),0)</f>
        <v/>
      </c>
      <c r="R7" s="8">
        <f>IFERROR(COUNTIF(R10:R44, R$4)/COUNTA(N10:N44),0)</f>
        <v/>
      </c>
      <c r="S7" s="8">
        <f>IFERROR(COUNTIF(S10:S44, S$4)/COUNTA(O10:O44),0)</f>
        <v/>
      </c>
      <c r="T7" s="8">
        <f>IFERROR(COUNTIF(T10:T44, T$4)/COUNTA(P10:P44),0)</f>
        <v/>
      </c>
      <c r="U7" s="8">
        <f>IFERROR(COUNTIF(U10:U44, U$4)/COUNTA(Q10:Q44),0)</f>
        <v/>
      </c>
      <c r="V7" s="7" t="n"/>
      <c r="W7" s="7" t="n"/>
      <c r="X7" s="7" t="n"/>
      <c r="Y7" s="7" t="n"/>
    </row>
    <row r="9" ht="28.8" customHeight="1" s="54">
      <c r="A9" s="9" t="inlineStr">
        <is>
          <t>Entry Fee</t>
        </is>
      </c>
      <c r="B9" s="9" t="inlineStr">
        <is>
          <t>Wins</t>
        </is>
      </c>
      <c r="C9" s="9" t="inlineStr">
        <is>
          <t>Wins</t>
        </is>
      </c>
      <c r="D9" s="9" t="inlineStr">
        <is>
          <t>Rank</t>
        </is>
      </c>
      <c r="E9" s="9" t="inlineStr">
        <is>
          <t>Player</t>
        </is>
      </c>
      <c r="F9" s="9" t="inlineStr">
        <is>
          <t>G1</t>
        </is>
      </c>
      <c r="G9" s="9" t="inlineStr">
        <is>
          <t>G2</t>
        </is>
      </c>
      <c r="H9" s="9" t="inlineStr">
        <is>
          <t>G3</t>
        </is>
      </c>
      <c r="I9" s="9" t="inlineStr">
        <is>
          <t>G4</t>
        </is>
      </c>
      <c r="J9" s="9" t="inlineStr">
        <is>
          <t>G5</t>
        </is>
      </c>
      <c r="K9" s="9" t="inlineStr">
        <is>
          <t>G6</t>
        </is>
      </c>
      <c r="L9" s="9" t="inlineStr">
        <is>
          <t>G7</t>
        </is>
      </c>
      <c r="M9" s="9" t="inlineStr">
        <is>
          <t>G8</t>
        </is>
      </c>
      <c r="N9" s="9" t="inlineStr">
        <is>
          <t>G9</t>
        </is>
      </c>
      <c r="O9" s="9" t="inlineStr">
        <is>
          <t>G10</t>
        </is>
      </c>
      <c r="P9" s="9" t="inlineStr">
        <is>
          <t>G11</t>
        </is>
      </c>
      <c r="Q9" s="9" t="inlineStr">
        <is>
          <t>G12</t>
        </is>
      </c>
      <c r="R9" s="9" t="inlineStr">
        <is>
          <t>G13</t>
        </is>
      </c>
      <c r="S9" s="9" t="inlineStr">
        <is>
          <t>G14</t>
        </is>
      </c>
      <c r="T9" s="9" t="inlineStr">
        <is>
          <t>G15</t>
        </is>
      </c>
      <c r="U9" s="9" t="inlineStr">
        <is>
          <t>G16</t>
        </is>
      </c>
      <c r="V9" s="9" t="inlineStr">
        <is>
          <t>Loser 1</t>
        </is>
      </c>
      <c r="W9" s="9" t="inlineStr">
        <is>
          <t>Loser 2</t>
        </is>
      </c>
      <c r="X9" s="9" t="inlineStr">
        <is>
          <t>Loser 3</t>
        </is>
      </c>
      <c r="Y9" s="9" t="inlineStr">
        <is>
          <t>Suicide</t>
        </is>
      </c>
      <c r="Z9" s="9" t="inlineStr">
        <is>
          <t>Home Team %</t>
        </is>
      </c>
      <c r="AA9" s="9" t="inlineStr">
        <is>
          <t>$ Owed</t>
        </is>
      </c>
      <c r="AB9" s="9" t="inlineStr">
        <is>
          <t>Games Behind</t>
        </is>
      </c>
      <c r="AC9" s="9" t="inlineStr">
        <is>
          <t>Win %</t>
        </is>
      </c>
    </row>
    <row r="10">
      <c r="A10" s="2">
        <f>IF(AD10=0,$AD$46, " ")</f>
        <v/>
      </c>
      <c r="B10">
        <f>SUM(V10:X10)+C10</f>
        <v/>
      </c>
      <c r="C10">
        <f>COUNTA(F10:U10)</f>
        <v/>
      </c>
      <c r="D10">
        <f>_xlfn.RANK.EQ(B10,$B$10:$B$44,0)</f>
        <v/>
      </c>
      <c r="V10" s="11" t="n"/>
      <c r="Y10" s="11" t="n"/>
      <c r="Z10" s="1">
        <f>IFERROR(COUNTIF(F10:U10,"W")/COUNTA(F10:U10),0)</f>
        <v/>
      </c>
      <c r="AA10">
        <f>MAX($B$10:$B$44)-B10</f>
        <v/>
      </c>
      <c r="AB10" s="1">
        <f>IFERROR(B10/16,0)</f>
        <v/>
      </c>
      <c r="AD10" s="76">
        <f>MAX($B$7:$B$141)-B10</f>
        <v/>
      </c>
    </row>
    <row r="11">
      <c r="A11" s="2">
        <f>IF(AD11=0,$AD$46, " ")</f>
        <v/>
      </c>
      <c r="B11">
        <f>SUM(V11:X11)+C11</f>
        <v/>
      </c>
      <c r="C11">
        <f>COUNTA(F11:U11)</f>
        <v/>
      </c>
      <c r="D11">
        <f>_xlfn.RANK.EQ(B11,$B$10:$B$44,0)</f>
        <v/>
      </c>
      <c r="V11" s="12" t="n"/>
      <c r="Y11" s="12" t="n"/>
      <c r="Z11" s="1">
        <f>IFERROR(COUNTIF(F11:U11,"W")/COUNTA(F11:U11),0)</f>
        <v/>
      </c>
      <c r="AA11">
        <f>MAX($B$10:$B$44)-B11</f>
        <v/>
      </c>
      <c r="AB11" s="1">
        <f>IFERROR(B11/16,0)</f>
        <v/>
      </c>
      <c r="AD11" s="76">
        <f>MAX($B$7:$B$141)-B11</f>
        <v/>
      </c>
    </row>
    <row r="12">
      <c r="A12" s="2">
        <f>IF(AD12=0,$AD$46, " ")</f>
        <v/>
      </c>
      <c r="B12">
        <f>SUM(V12:X12)+C12</f>
        <v/>
      </c>
      <c r="C12">
        <f>COUNTA(F12:U12)</f>
        <v/>
      </c>
      <c r="D12">
        <f>_xlfn.RANK.EQ(B12,$B$10:$B$44,0)</f>
        <v/>
      </c>
      <c r="V12" s="12" t="n"/>
      <c r="Y12" s="12" t="n"/>
      <c r="Z12" s="1">
        <f>IFERROR(COUNTIF(F12:U12,"W")/COUNTA(F12:U12),0)</f>
        <v/>
      </c>
      <c r="AA12">
        <f>MAX($B$10:$B$44)-B12</f>
        <v/>
      </c>
      <c r="AB12" s="1">
        <f>IFERROR(B12/16,0)</f>
        <v/>
      </c>
      <c r="AD12" s="76">
        <f>MAX($B$7:$B$141)-B12</f>
        <v/>
      </c>
    </row>
    <row r="13">
      <c r="A13" s="2">
        <f>IF(AD13=0,$AD$46, " ")</f>
        <v/>
      </c>
      <c r="B13">
        <f>SUM(V13:X13)+C13</f>
        <v/>
      </c>
      <c r="C13">
        <f>COUNTA(F13:U13)</f>
        <v/>
      </c>
      <c r="D13">
        <f>_xlfn.RANK.EQ(B13,$B$10:$B$44,0)</f>
        <v/>
      </c>
      <c r="V13" s="12" t="n"/>
      <c r="Y13" s="12" t="n"/>
      <c r="Z13" s="1">
        <f>IFERROR(COUNTIF(F13:U13,"W")/COUNTA(F13:U13),0)</f>
        <v/>
      </c>
      <c r="AA13">
        <f>MAX($B$10:$B$44)-B13</f>
        <v/>
      </c>
      <c r="AB13" s="1">
        <f>IFERROR(B13/16,0)</f>
        <v/>
      </c>
      <c r="AD13" s="76">
        <f>MAX($B$7:$B$141)-B13</f>
        <v/>
      </c>
    </row>
    <row r="14">
      <c r="A14" s="2">
        <f>IF(AD14=0,$AD$46, " ")</f>
        <v/>
      </c>
      <c r="B14">
        <f>SUM(V14:X14)+C14</f>
        <v/>
      </c>
      <c r="C14">
        <f>COUNTA(F14:U14)</f>
        <v/>
      </c>
      <c r="D14">
        <f>_xlfn.RANK.EQ(B14,$B$10:$B$44,0)</f>
        <v/>
      </c>
      <c r="V14" s="12" t="n"/>
      <c r="Y14" s="12" t="n"/>
      <c r="Z14" s="1">
        <f>IFERROR(COUNTIF(F14:U14,"W")/COUNTA(F14:U14),0)</f>
        <v/>
      </c>
      <c r="AA14">
        <f>MAX($B$10:$B$44)-B14</f>
        <v/>
      </c>
      <c r="AB14" s="1">
        <f>IFERROR(B14/16,0)</f>
        <v/>
      </c>
      <c r="AD14" s="76">
        <f>MAX($B$7:$B$141)-B14</f>
        <v/>
      </c>
    </row>
    <row r="15">
      <c r="A15" s="2">
        <f>IF(AD15=0,$AD$46, " ")</f>
        <v/>
      </c>
      <c r="B15">
        <f>SUM(V15:X15)+C15</f>
        <v/>
      </c>
      <c r="C15">
        <f>COUNTA(F15:U15)</f>
        <v/>
      </c>
      <c r="D15">
        <f>_xlfn.RANK.EQ(B15,$B$10:$B$44,0)</f>
        <v/>
      </c>
      <c r="V15" s="12" t="n"/>
      <c r="Y15" s="12" t="n"/>
      <c r="Z15" s="1">
        <f>IFERROR(COUNTIF(F15:U15,"W")/COUNTA(F15:U15),0)</f>
        <v/>
      </c>
      <c r="AA15">
        <f>MAX($B$10:$B$44)-B15</f>
        <v/>
      </c>
      <c r="AB15" s="1">
        <f>IFERROR(B15/16,0)</f>
        <v/>
      </c>
      <c r="AD15" s="76">
        <f>MAX($B$7:$B$141)-B15</f>
        <v/>
      </c>
    </row>
    <row r="16">
      <c r="A16" s="2">
        <f>IF(AD16=0,$AD$46, " ")</f>
        <v/>
      </c>
      <c r="B16">
        <f>SUM(V16:X16)+C16</f>
        <v/>
      </c>
      <c r="C16">
        <f>COUNTA(F16:U16)</f>
        <v/>
      </c>
      <c r="D16">
        <f>_xlfn.RANK.EQ(B16,$B$10:$B$44,0)</f>
        <v/>
      </c>
      <c r="V16" s="12" t="n"/>
      <c r="Y16" s="12" t="n"/>
      <c r="Z16" s="1">
        <f>IFERROR(COUNTIF(F16:U16,"W")/COUNTA(F16:U16),0)</f>
        <v/>
      </c>
      <c r="AA16">
        <f>MAX($B$10:$B$44)-B16</f>
        <v/>
      </c>
      <c r="AB16" s="1">
        <f>IFERROR(B16/16,0)</f>
        <v/>
      </c>
      <c r="AD16" s="76">
        <f>MAX($B$7:$B$141)-B16</f>
        <v/>
      </c>
    </row>
    <row r="17">
      <c r="A17" s="2">
        <f>IF(AD17=0,$AD$46, " ")</f>
        <v/>
      </c>
      <c r="B17">
        <f>SUM(V17:X17)+C17</f>
        <v/>
      </c>
      <c r="C17">
        <f>COUNTA(F17:U17)</f>
        <v/>
      </c>
      <c r="D17">
        <f>_xlfn.RANK.EQ(B17,$B$10:$B$44,0)</f>
        <v/>
      </c>
      <c r="V17" s="12" t="n"/>
      <c r="Y17" s="12" t="n"/>
      <c r="Z17" s="1">
        <f>IFERROR(COUNTIF(F17:U17,"W")/COUNTA(F17:U17),0)</f>
        <v/>
      </c>
      <c r="AA17">
        <f>MAX($B$10:$B$44)-B17</f>
        <v/>
      </c>
      <c r="AB17" s="1">
        <f>IFERROR(B17/16,0)</f>
        <v/>
      </c>
      <c r="AD17" s="76">
        <f>MAX($B$7:$B$141)-B17</f>
        <v/>
      </c>
    </row>
    <row r="18">
      <c r="A18" s="2">
        <f>IF(AD18=0,$AD$46, " ")</f>
        <v/>
      </c>
      <c r="B18">
        <f>SUM(V18:X18)+C18</f>
        <v/>
      </c>
      <c r="C18">
        <f>COUNTA(F18:U18)</f>
        <v/>
      </c>
      <c r="D18">
        <f>_xlfn.RANK.EQ(B18,$B$10:$B$44,0)</f>
        <v/>
      </c>
      <c r="V18" s="12" t="n"/>
      <c r="Y18" s="12" t="n"/>
      <c r="Z18" s="1">
        <f>IFERROR(COUNTIF(F18:U18,"W")/COUNTA(F18:U18),0)</f>
        <v/>
      </c>
      <c r="AA18">
        <f>MAX($B$10:$B$44)-B18</f>
        <v/>
      </c>
      <c r="AB18" s="1">
        <f>IFERROR(B18/16,0)</f>
        <v/>
      </c>
      <c r="AD18" s="76">
        <f>MAX($B$7:$B$141)-B18</f>
        <v/>
      </c>
    </row>
    <row r="19">
      <c r="A19" s="2">
        <f>IF(AD19=0,$AD$46, " ")</f>
        <v/>
      </c>
      <c r="B19">
        <f>SUM(V19:X19)+C19</f>
        <v/>
      </c>
      <c r="C19">
        <f>COUNTA(F19:U19)</f>
        <v/>
      </c>
      <c r="D19">
        <f>_xlfn.RANK.EQ(B19,$B$10:$B$44,0)</f>
        <v/>
      </c>
      <c r="V19" s="12" t="n"/>
      <c r="Y19" s="12" t="n"/>
      <c r="Z19" s="1">
        <f>IFERROR(COUNTIF(F19:U19,"W")/COUNTA(F19:U19),0)</f>
        <v/>
      </c>
      <c r="AA19">
        <f>MAX($B$10:$B$44)-B19</f>
        <v/>
      </c>
      <c r="AB19" s="1">
        <f>IFERROR(B19/16,0)</f>
        <v/>
      </c>
      <c r="AD19" s="76">
        <f>MAX($B$7:$B$141)-B19</f>
        <v/>
      </c>
    </row>
    <row r="20">
      <c r="A20" s="2">
        <f>IF(AD20=0,$AD$46, " ")</f>
        <v/>
      </c>
      <c r="B20">
        <f>SUM(V20:X20)+C20</f>
        <v/>
      </c>
      <c r="C20">
        <f>COUNTA(F20:U20)</f>
        <v/>
      </c>
      <c r="D20">
        <f>_xlfn.RANK.EQ(B20,$B$10:$B$44,0)</f>
        <v/>
      </c>
      <c r="V20" s="12" t="n"/>
      <c r="Y20" s="12" t="n"/>
      <c r="Z20" s="1">
        <f>IFERROR(COUNTIF(F20:U20,"W")/COUNTA(F20:U20),0)</f>
        <v/>
      </c>
      <c r="AA20">
        <f>MAX($B$10:$B$44)-B20</f>
        <v/>
      </c>
      <c r="AB20" s="1">
        <f>IFERROR(B20/16,0)</f>
        <v/>
      </c>
      <c r="AD20" s="76">
        <f>MAX($B$7:$B$141)-B20</f>
        <v/>
      </c>
    </row>
    <row r="21">
      <c r="A21" s="2">
        <f>IF(AD21=0,$AD$46, " ")</f>
        <v/>
      </c>
      <c r="B21">
        <f>SUM(V21:X21)+C21</f>
        <v/>
      </c>
      <c r="C21">
        <f>COUNTA(F21:U21)</f>
        <v/>
      </c>
      <c r="D21">
        <f>_xlfn.RANK.EQ(B21,$B$10:$B$44,0)</f>
        <v/>
      </c>
      <c r="V21" s="12" t="n"/>
      <c r="Y21" s="12" t="n"/>
      <c r="Z21" s="1">
        <f>IFERROR(COUNTIF(F21:U21,"W")/COUNTA(F21:U21),0)</f>
        <v/>
      </c>
      <c r="AA21">
        <f>MAX($B$10:$B$44)-B21</f>
        <v/>
      </c>
      <c r="AB21" s="1">
        <f>IFERROR(B21/16,0)</f>
        <v/>
      </c>
      <c r="AD21" s="76">
        <f>MAX($B$7:$B$141)-B21</f>
        <v/>
      </c>
    </row>
    <row r="22">
      <c r="A22" s="2">
        <f>IF(AD22=0,$AD$46, " ")</f>
        <v/>
      </c>
      <c r="B22">
        <f>SUM(V22:X22)+C22</f>
        <v/>
      </c>
      <c r="C22">
        <f>COUNTA(F22:U22)</f>
        <v/>
      </c>
      <c r="D22">
        <f>_xlfn.RANK.EQ(B22,$B$10:$B$44,0)</f>
        <v/>
      </c>
      <c r="V22" s="12" t="n"/>
      <c r="Y22" s="12" t="n"/>
      <c r="Z22" s="1">
        <f>IFERROR(COUNTIF(F22:U22,"W")/COUNTA(F22:U22),0)</f>
        <v/>
      </c>
      <c r="AA22">
        <f>MAX($B$10:$B$44)-B22</f>
        <v/>
      </c>
      <c r="AB22" s="1">
        <f>IFERROR(B22/16,0)</f>
        <v/>
      </c>
      <c r="AD22" s="76">
        <f>MAX($B$7:$B$141)-B22</f>
        <v/>
      </c>
    </row>
    <row r="23">
      <c r="A23" s="2">
        <f>IF(AD23=0,$AD$46, " ")</f>
        <v/>
      </c>
      <c r="B23">
        <f>SUM(V23:X23)+C23</f>
        <v/>
      </c>
      <c r="C23">
        <f>COUNTA(F23:U23)</f>
        <v/>
      </c>
      <c r="D23">
        <f>_xlfn.RANK.EQ(B23,$B$10:$B$44,0)</f>
        <v/>
      </c>
      <c r="V23" s="12" t="n"/>
      <c r="Y23" s="12" t="n"/>
      <c r="Z23" s="1">
        <f>IFERROR(COUNTIF(F23:U23,"W")/COUNTA(F23:U23),0)</f>
        <v/>
      </c>
      <c r="AA23">
        <f>MAX($B$10:$B$44)-B23</f>
        <v/>
      </c>
      <c r="AB23" s="1">
        <f>IFERROR(B23/16,0)</f>
        <v/>
      </c>
      <c r="AD23" s="76">
        <f>MAX($B$7:$B$141)-B23</f>
        <v/>
      </c>
    </row>
    <row r="24">
      <c r="A24" s="2">
        <f>IF(AD24=0,$AD$46, " ")</f>
        <v/>
      </c>
      <c r="B24">
        <f>SUM(V24:X24)+C24</f>
        <v/>
      </c>
      <c r="C24">
        <f>COUNTA(F24:U24)</f>
        <v/>
      </c>
      <c r="D24">
        <f>_xlfn.RANK.EQ(B24,$B$10:$B$44,0)</f>
        <v/>
      </c>
      <c r="V24" s="12" t="n"/>
      <c r="Y24" s="12" t="n"/>
      <c r="Z24" s="1">
        <f>IFERROR(COUNTIF(F24:U24,"W")/COUNTA(F24:U24),0)</f>
        <v/>
      </c>
      <c r="AA24">
        <f>MAX($B$10:$B$44)-B24</f>
        <v/>
      </c>
      <c r="AB24" s="1">
        <f>IFERROR(B24/16,0)</f>
        <v/>
      </c>
      <c r="AD24" s="76">
        <f>MAX($B$7:$B$141)-B24</f>
        <v/>
      </c>
    </row>
    <row r="25">
      <c r="A25" s="2">
        <f>IF(AD25=0,$AD$46, " ")</f>
        <v/>
      </c>
      <c r="B25">
        <f>SUM(V25:X25)+C25</f>
        <v/>
      </c>
      <c r="C25">
        <f>COUNTA(F25:U25)</f>
        <v/>
      </c>
      <c r="D25">
        <f>_xlfn.RANK.EQ(B25,$B$10:$B$44,0)</f>
        <v/>
      </c>
      <c r="V25" s="12" t="n"/>
      <c r="Y25" s="12" t="n"/>
      <c r="Z25" s="1">
        <f>IFERROR(COUNTIF(F25:U25,"W")/COUNTA(F25:U25),0)</f>
        <v/>
      </c>
      <c r="AA25">
        <f>MAX($B$10:$B$44)-B25</f>
        <v/>
      </c>
      <c r="AB25" s="1">
        <f>IFERROR(B25/16,0)</f>
        <v/>
      </c>
      <c r="AD25" s="76">
        <f>MAX($B$7:$B$141)-B25</f>
        <v/>
      </c>
    </row>
    <row r="26">
      <c r="A26" s="2">
        <f>IF(AD26=0,$AD$46, " ")</f>
        <v/>
      </c>
      <c r="B26">
        <f>SUM(V26:X26)+C26</f>
        <v/>
      </c>
      <c r="C26">
        <f>COUNTA(F26:U26)</f>
        <v/>
      </c>
      <c r="D26">
        <f>_xlfn.RANK.EQ(B26,$B$10:$B$44,0)</f>
        <v/>
      </c>
      <c r="V26" s="12" t="n"/>
      <c r="Y26" s="12" t="n"/>
      <c r="Z26" s="1">
        <f>IFERROR(COUNTIF(F26:U26,"W")/COUNTA(F26:U26),0)</f>
        <v/>
      </c>
      <c r="AA26">
        <f>MAX($B$10:$B$44)-B26</f>
        <v/>
      </c>
      <c r="AB26" s="1">
        <f>IFERROR(B26/16,0)</f>
        <v/>
      </c>
      <c r="AD26" s="76">
        <f>MAX($B$7:$B$141)-B26</f>
        <v/>
      </c>
    </row>
    <row r="27">
      <c r="A27" s="2">
        <f>IF(AD27=0,$AD$46, " ")</f>
        <v/>
      </c>
      <c r="B27">
        <f>SUM(V27:X27)+C27</f>
        <v/>
      </c>
      <c r="C27">
        <f>COUNTA(F27:U27)</f>
        <v/>
      </c>
      <c r="D27">
        <f>_xlfn.RANK.EQ(B27,$B$10:$B$44,0)</f>
        <v/>
      </c>
      <c r="V27" s="12" t="n"/>
      <c r="Y27" s="12" t="n"/>
      <c r="Z27" s="1">
        <f>IFERROR(COUNTIF(F27:U27,"W")/COUNTA(F27:U27),0)</f>
        <v/>
      </c>
      <c r="AA27">
        <f>MAX($B$10:$B$44)-B27</f>
        <v/>
      </c>
      <c r="AB27" s="1">
        <f>IFERROR(B27/16,0)</f>
        <v/>
      </c>
      <c r="AD27" s="76">
        <f>MAX($B$7:$B$141)-B27</f>
        <v/>
      </c>
    </row>
    <row r="28">
      <c r="A28" s="2">
        <f>IF(AD28=0,$AD$46, " ")</f>
        <v/>
      </c>
      <c r="B28">
        <f>SUM(V28:X28)+C28</f>
        <v/>
      </c>
      <c r="C28">
        <f>COUNTA(F28:U28)</f>
        <v/>
      </c>
      <c r="D28">
        <f>_xlfn.RANK.EQ(B28,$B$10:$B$44,0)</f>
        <v/>
      </c>
      <c r="V28" s="12" t="n"/>
      <c r="Y28" s="12" t="n"/>
      <c r="Z28" s="1">
        <f>IFERROR(COUNTIF(F28:U28,"W")/COUNTA(F28:U28),0)</f>
        <v/>
      </c>
      <c r="AA28">
        <f>MAX($B$10:$B$44)-B28</f>
        <v/>
      </c>
      <c r="AB28" s="1">
        <f>IFERROR(B28/16,0)</f>
        <v/>
      </c>
      <c r="AD28" s="76">
        <f>MAX($B$7:$B$141)-B28</f>
        <v/>
      </c>
    </row>
    <row r="29">
      <c r="A29" s="2">
        <f>IF(AD29=0,$AD$46, " ")</f>
        <v/>
      </c>
      <c r="B29">
        <f>SUM(V29:X29)+C29</f>
        <v/>
      </c>
      <c r="C29">
        <f>COUNTA(F29:U29)</f>
        <v/>
      </c>
      <c r="D29">
        <f>_xlfn.RANK.EQ(B29,$B$10:$B$44,0)</f>
        <v/>
      </c>
      <c r="V29" s="12" t="n"/>
      <c r="Y29" s="12" t="n"/>
      <c r="Z29" s="1">
        <f>IFERROR(COUNTIF(F29:U29,"W")/COUNTA(F29:U29),0)</f>
        <v/>
      </c>
      <c r="AA29">
        <f>MAX($B$10:$B$44)-B29</f>
        <v/>
      </c>
      <c r="AB29" s="1">
        <f>IFERROR(B29/16,0)</f>
        <v/>
      </c>
      <c r="AD29" s="76">
        <f>MAX($B$7:$B$141)-B29</f>
        <v/>
      </c>
    </row>
    <row r="30">
      <c r="A30" s="2">
        <f>IF(AD30=0,$AD$46, " ")</f>
        <v/>
      </c>
      <c r="B30">
        <f>SUM(V30:X30)+C30</f>
        <v/>
      </c>
      <c r="C30">
        <f>COUNTA(F30:U30)</f>
        <v/>
      </c>
      <c r="D30">
        <f>_xlfn.RANK.EQ(B30,$B$10:$B$44,0)</f>
        <v/>
      </c>
      <c r="V30" s="12" t="n"/>
      <c r="Y30" s="12" t="n"/>
      <c r="Z30" s="1">
        <f>IFERROR(COUNTIF(F30:U30,"W")/COUNTA(F30:U30),0)</f>
        <v/>
      </c>
      <c r="AA30">
        <f>MAX($B$10:$B$44)-B30</f>
        <v/>
      </c>
      <c r="AB30" s="1">
        <f>IFERROR(B30/16,0)</f>
        <v/>
      </c>
      <c r="AD30" s="76">
        <f>MAX($B$7:$B$141)-B30</f>
        <v/>
      </c>
    </row>
    <row r="31">
      <c r="A31" s="2">
        <f>IF(AD31=0,$AD$46, " ")</f>
        <v/>
      </c>
      <c r="B31">
        <f>SUM(V31:X31)+C31</f>
        <v/>
      </c>
      <c r="C31">
        <f>COUNTA(F31:U31)</f>
        <v/>
      </c>
      <c r="D31">
        <f>_xlfn.RANK.EQ(B31,$B$10:$B$44,0)</f>
        <v/>
      </c>
      <c r="V31" s="12" t="n"/>
      <c r="Y31" s="12" t="n"/>
      <c r="Z31" s="1">
        <f>IFERROR(COUNTIF(F31:U31,"W")/COUNTA(F31:U31),0)</f>
        <v/>
      </c>
      <c r="AA31">
        <f>MAX($B$10:$B$44)-B31</f>
        <v/>
      </c>
      <c r="AB31" s="1">
        <f>IFERROR(B31/16,0)</f>
        <v/>
      </c>
      <c r="AD31" s="76">
        <f>MAX($B$7:$B$141)-B31</f>
        <v/>
      </c>
    </row>
    <row r="32">
      <c r="A32" s="2">
        <f>IF(AD32=0,$AD$46, " ")</f>
        <v/>
      </c>
      <c r="B32">
        <f>SUM(V32:X32)+C32</f>
        <v/>
      </c>
      <c r="C32">
        <f>COUNTA(F32:U32)</f>
        <v/>
      </c>
      <c r="D32">
        <f>_xlfn.RANK.EQ(B32,$B$10:$B$44,0)</f>
        <v/>
      </c>
      <c r="V32" s="12" t="n"/>
      <c r="Y32" s="12" t="n"/>
      <c r="Z32" s="1">
        <f>IFERROR(COUNTIF(F32:U32,"W")/COUNTA(F32:U32),0)</f>
        <v/>
      </c>
      <c r="AA32">
        <f>MAX($B$10:$B$44)-B32</f>
        <v/>
      </c>
      <c r="AB32" s="1">
        <f>IFERROR(B32/16,0)</f>
        <v/>
      </c>
      <c r="AD32" s="76">
        <f>MAX($B$7:$B$141)-B32</f>
        <v/>
      </c>
    </row>
    <row r="33">
      <c r="A33" s="2">
        <f>IF(AD33=0,$AD$46, " ")</f>
        <v/>
      </c>
      <c r="B33">
        <f>SUM(V33:X33)+C33</f>
        <v/>
      </c>
      <c r="C33">
        <f>COUNTA(F33:U33)</f>
        <v/>
      </c>
      <c r="D33">
        <f>_xlfn.RANK.EQ(B33,$B$10:$B$44,0)</f>
        <v/>
      </c>
      <c r="V33" s="12" t="n"/>
      <c r="Y33" s="12" t="n"/>
      <c r="Z33" s="1">
        <f>IFERROR(COUNTIF(F33:U33,"W")/COUNTA(F33:U33),0)</f>
        <v/>
      </c>
      <c r="AA33">
        <f>MAX($B$10:$B$44)-B33</f>
        <v/>
      </c>
      <c r="AB33" s="1">
        <f>IFERROR(B33/16,0)</f>
        <v/>
      </c>
      <c r="AD33" s="76">
        <f>MAX($B$7:$B$141)-B33</f>
        <v/>
      </c>
    </row>
    <row r="34">
      <c r="A34" s="2">
        <f>IF(AD34=0,$AD$46, " ")</f>
        <v/>
      </c>
      <c r="B34">
        <f>SUM(V34:X34)+C34</f>
        <v/>
      </c>
      <c r="C34">
        <f>COUNTA(F34:U34)</f>
        <v/>
      </c>
      <c r="D34">
        <f>_xlfn.RANK.EQ(B34,$B$10:$B$44,0)</f>
        <v/>
      </c>
      <c r="V34" s="12" t="n"/>
      <c r="Y34" s="12" t="n"/>
      <c r="Z34" s="1">
        <f>IFERROR(COUNTIF(F34:U34,"W")/COUNTA(F34:U34),0)</f>
        <v/>
      </c>
      <c r="AA34">
        <f>MAX($B$10:$B$44)-B34</f>
        <v/>
      </c>
      <c r="AB34" s="1">
        <f>IFERROR(B34/16,0)</f>
        <v/>
      </c>
      <c r="AD34" s="76">
        <f>MAX($B$7:$B$141)-B34</f>
        <v/>
      </c>
    </row>
    <row r="35">
      <c r="A35" s="2">
        <f>IF(AD35=0,$AD$46, " ")</f>
        <v/>
      </c>
      <c r="B35">
        <f>SUM(V35:X35)+C35</f>
        <v/>
      </c>
      <c r="C35">
        <f>COUNTA(F35:U35)</f>
        <v/>
      </c>
      <c r="D35">
        <f>_xlfn.RANK.EQ(B35,$B$10:$B$44,0)</f>
        <v/>
      </c>
      <c r="V35" s="12" t="n"/>
      <c r="Y35" s="12" t="n"/>
      <c r="Z35" s="1">
        <f>IFERROR(COUNTIF(F35:U35,"W")/COUNTA(F35:U35),0)</f>
        <v/>
      </c>
      <c r="AA35">
        <f>MAX($B$10:$B$44)-B35</f>
        <v/>
      </c>
      <c r="AB35" s="1">
        <f>IFERROR(B35/16,0)</f>
        <v/>
      </c>
      <c r="AD35" s="76">
        <f>MAX($B$7:$B$141)-B35</f>
        <v/>
      </c>
    </row>
    <row r="36">
      <c r="A36" s="2">
        <f>IF(AD36=0,$AD$46, " ")</f>
        <v/>
      </c>
      <c r="B36">
        <f>SUM(V36:X36)+C36</f>
        <v/>
      </c>
      <c r="C36">
        <f>COUNTA(F36:U36)</f>
        <v/>
      </c>
      <c r="D36">
        <f>_xlfn.RANK.EQ(B36,$B$10:$B$44,0)</f>
        <v/>
      </c>
      <c r="V36" s="12" t="n"/>
      <c r="Y36" s="12" t="n"/>
      <c r="Z36" s="1">
        <f>IFERROR(COUNTIF(F36:U36,"W")/COUNTA(F36:U36),0)</f>
        <v/>
      </c>
      <c r="AA36">
        <f>MAX($B$10:$B$44)-B36</f>
        <v/>
      </c>
      <c r="AB36" s="1">
        <f>IFERROR(B36/16,0)</f>
        <v/>
      </c>
      <c r="AD36" s="76">
        <f>MAX($B$7:$B$141)-B36</f>
        <v/>
      </c>
    </row>
    <row r="37">
      <c r="A37" s="2">
        <f>IF(AD37=0,$AD$46, " ")</f>
        <v/>
      </c>
      <c r="B37">
        <f>SUM(V37:X37)+C37</f>
        <v/>
      </c>
      <c r="C37">
        <f>COUNTA(F37:U37)</f>
        <v/>
      </c>
      <c r="D37">
        <f>_xlfn.RANK.EQ(B37,$B$10:$B$44,0)</f>
        <v/>
      </c>
      <c r="V37" s="12" t="n"/>
      <c r="Y37" s="12" t="n"/>
      <c r="Z37" s="1">
        <f>IFERROR(COUNTIF(F37:U37,"W")/COUNTA(F37:U37),0)</f>
        <v/>
      </c>
      <c r="AA37">
        <f>MAX($B$10:$B$44)-B37</f>
        <v/>
      </c>
      <c r="AB37" s="1">
        <f>IFERROR(B37/16,0)</f>
        <v/>
      </c>
      <c r="AD37" s="76">
        <f>MAX($B$7:$B$141)-B37</f>
        <v/>
      </c>
    </row>
    <row r="38">
      <c r="A38" s="2">
        <f>IF(AD38=0,$AD$46, " ")</f>
        <v/>
      </c>
      <c r="B38">
        <f>SUM(V38:X38)+C38</f>
        <v/>
      </c>
      <c r="C38">
        <f>COUNTA(F38:U38)</f>
        <v/>
      </c>
      <c r="D38">
        <f>_xlfn.RANK.EQ(B38,$B$10:$B$44,0)</f>
        <v/>
      </c>
      <c r="V38" s="12" t="n"/>
      <c r="Y38" s="12" t="n"/>
      <c r="Z38" s="1">
        <f>IFERROR(COUNTIF(F38:U38,"W")/COUNTA(F38:U38),0)</f>
        <v/>
      </c>
      <c r="AA38">
        <f>MAX($B$10:$B$44)-B38</f>
        <v/>
      </c>
      <c r="AB38" s="1">
        <f>IFERROR(B38/16,0)</f>
        <v/>
      </c>
      <c r="AD38" s="76">
        <f>MAX($B$7:$B$141)-B38</f>
        <v/>
      </c>
    </row>
    <row r="39">
      <c r="A39" s="2">
        <f>IF(AD39=0,$AD$46, " ")</f>
        <v/>
      </c>
      <c r="B39">
        <f>SUM(V39:X39)+C39</f>
        <v/>
      </c>
      <c r="C39">
        <f>COUNTA(F39:U39)</f>
        <v/>
      </c>
      <c r="D39">
        <f>_xlfn.RANK.EQ(B39,$B$10:$B$44,0)</f>
        <v/>
      </c>
      <c r="V39" s="12" t="n"/>
      <c r="Y39" s="12" t="n"/>
      <c r="Z39" s="1">
        <f>IFERROR(COUNTIF(F39:U39,"W")/COUNTA(F39:U39),0)</f>
        <v/>
      </c>
      <c r="AA39">
        <f>MAX($B$10:$B$44)-B39</f>
        <v/>
      </c>
      <c r="AB39" s="1">
        <f>IFERROR(B39/16,0)</f>
        <v/>
      </c>
      <c r="AD39" s="76">
        <f>MAX($B$7:$B$141)-B39</f>
        <v/>
      </c>
    </row>
    <row r="40">
      <c r="A40" s="2">
        <f>IF(AD40=0,$AD$46, " ")</f>
        <v/>
      </c>
      <c r="B40">
        <f>SUM(V40:X40)+C40</f>
        <v/>
      </c>
      <c r="C40">
        <f>COUNTA(F40:U40)</f>
        <v/>
      </c>
      <c r="D40">
        <f>_xlfn.RANK.EQ(B40,$B$10:$B$44,0)</f>
        <v/>
      </c>
      <c r="V40" s="12" t="n"/>
      <c r="Y40" s="12" t="n"/>
      <c r="Z40" s="1">
        <f>IFERROR(COUNTIF(F40:U40,"W")/COUNTA(F40:U40),0)</f>
        <v/>
      </c>
      <c r="AA40">
        <f>MAX($B$10:$B$44)-B40</f>
        <v/>
      </c>
      <c r="AB40" s="1">
        <f>IFERROR(B40/16,0)</f>
        <v/>
      </c>
      <c r="AD40" s="76">
        <f>MAX($B$7:$B$141)-B40</f>
        <v/>
      </c>
    </row>
    <row r="41">
      <c r="A41" s="2">
        <f>IF(AD41=0,$AD$46, " ")</f>
        <v/>
      </c>
      <c r="B41">
        <f>SUM(V41:X41)+C41</f>
        <v/>
      </c>
      <c r="C41">
        <f>COUNTA(F41:U41)</f>
        <v/>
      </c>
      <c r="D41">
        <f>_xlfn.RANK.EQ(B41,$B$10:$B$44,0)</f>
        <v/>
      </c>
      <c r="V41" s="12" t="n"/>
      <c r="Y41" s="12" t="n"/>
      <c r="Z41" s="1">
        <f>IFERROR(COUNTIF(F41:U41,"W")/COUNTA(F41:U41),0)</f>
        <v/>
      </c>
      <c r="AA41">
        <f>MAX($B$10:$B$44)-B41</f>
        <v/>
      </c>
      <c r="AB41" s="1">
        <f>IFERROR(B41/16,0)</f>
        <v/>
      </c>
      <c r="AD41" s="76">
        <f>MAX($B$7:$B$141)-B41</f>
        <v/>
      </c>
    </row>
    <row r="42">
      <c r="A42" s="2">
        <f>IF(AD42=0,$AD$46, " ")</f>
        <v/>
      </c>
      <c r="B42">
        <f>SUM(V42:X42)+C42</f>
        <v/>
      </c>
      <c r="C42">
        <f>COUNTA(F42:U42)</f>
        <v/>
      </c>
      <c r="D42">
        <f>_xlfn.RANK.EQ(B42,$B$10:$B$44,0)</f>
        <v/>
      </c>
      <c r="V42" s="12" t="n"/>
      <c r="Y42" s="12" t="n"/>
      <c r="Z42" s="1">
        <f>IFERROR(COUNTIF(F42:U42,"W")/COUNTA(F42:U42),0)</f>
        <v/>
      </c>
      <c r="AA42">
        <f>MAX($B$10:$B$44)-B42</f>
        <v/>
      </c>
      <c r="AB42" s="1">
        <f>IFERROR(B42/16,0)</f>
        <v/>
      </c>
      <c r="AD42" s="76">
        <f>MAX($B$7:$B$141)-B42</f>
        <v/>
      </c>
    </row>
    <row r="43">
      <c r="A43" s="2">
        <f>IF(AD43=0,$AD$46, " ")</f>
        <v/>
      </c>
      <c r="B43">
        <f>SUM(V43:X43)+C43</f>
        <v/>
      </c>
      <c r="C43">
        <f>COUNTA(F43:U43)</f>
        <v/>
      </c>
      <c r="D43">
        <f>_xlfn.RANK.EQ(B43,$B$10:$B$44,0)</f>
        <v/>
      </c>
      <c r="V43" s="12" t="n"/>
      <c r="Y43" s="12" t="n"/>
      <c r="Z43" s="1">
        <f>IFERROR(COUNTIF(F43:U43,"W")/COUNTA(F43:U43),0)</f>
        <v/>
      </c>
      <c r="AA43">
        <f>MAX($B$10:$B$44)-B43</f>
        <v/>
      </c>
      <c r="AB43" s="1">
        <f>IFERROR(B43/16,0)</f>
        <v/>
      </c>
      <c r="AD43" s="76">
        <f>MAX($B$7:$B$141)-B43</f>
        <v/>
      </c>
    </row>
    <row r="44">
      <c r="A44" s="2">
        <f>IF(AD44=0,$AD$46, " ")</f>
        <v/>
      </c>
      <c r="B44">
        <f>SUM(V44:X44)+C44</f>
        <v/>
      </c>
      <c r="C44">
        <f>COUNTA(F44:U44)</f>
        <v/>
      </c>
      <c r="D44">
        <f>_xlfn.RANK.EQ(B44,$B$10:$B$44,0)</f>
        <v/>
      </c>
      <c r="V44" s="12" t="n"/>
      <c r="Y44" s="12" t="n"/>
      <c r="Z44" s="1">
        <f>IFERROR(COUNTIF(F44:U44,"W")/COUNTA(F44:U44),0)</f>
        <v/>
      </c>
      <c r="AA44">
        <f>MAX($B$10:$B$44)-B44</f>
        <v/>
      </c>
      <c r="AB44" s="1">
        <f>IFERROR(B44/16,0)</f>
        <v/>
      </c>
      <c r="AD44" s="76">
        <f>MAX($B$7:$B$141)-B44</f>
        <v/>
      </c>
    </row>
    <row r="45">
      <c r="AD45" s="10">
        <f>COUNTIF(AD10:AD44,0)</f>
        <v/>
      </c>
    </row>
    <row r="46">
      <c r="AD46" s="76">
        <f>SUM(AD10:AD44)/AD45</f>
        <v/>
      </c>
    </row>
  </sheetData>
  <mergeCells count="1">
    <mergeCell ref="A1:Y2"/>
  </mergeCells>
  <conditionalFormatting sqref="B10:B4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:D4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0:U44">
    <cfRule type="cellIs" priority="4" operator="equal" dxfId="2">
      <formula>"W"</formula>
    </cfRule>
    <cfRule type="cellIs" priority="5" operator="equal" dxfId="1">
      <formula>"L"</formula>
    </cfRule>
  </conditionalFormatting>
  <conditionalFormatting sqref="AD10:AD46">
    <cfRule type="cellIs" priority="1" operator="equal" dxfId="0" stopIfTrue="1">
      <formula>0</formula>
    </cfRule>
  </conditionalFormatting>
  <dataValidations count="2">
    <dataValidation sqref="F6:U6" showDropDown="0" showInputMessage="0" showErrorMessage="0" allowBlank="1" type="list">
      <formula1>"Seattle,Los Angeles Rams,Cincinnati,Detroit,Tennessee,Indianapolis,Pittsburgh,Carolina,Jacksonville,Houston,Las Vegas,Minnesota,Philadelphia,Los Angeles Chargers,New York Giants,Kansas City"</formula1>
    </dataValidation>
    <dataValidation sqref="F10:U44" showDropDown="0" showInputMessage="0" showErrorMessage="0" allowBlank="1" type="list">
      <formula1>"W,L"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46"/>
  <sheetViews>
    <sheetView workbookViewId="0">
      <selection activeCell="A1" sqref="A1:XFD1048576"/>
    </sheetView>
  </sheetViews>
  <sheetFormatPr baseColWidth="8" defaultColWidth="9.109375" defaultRowHeight="14.4"/>
  <cols>
    <col width="11" customWidth="1" style="54" min="1" max="1"/>
    <col width="8" customWidth="1" style="54" min="2" max="4"/>
    <col width="22" customWidth="1" style="54" min="5" max="5"/>
    <col width="17.6640625" customWidth="1" style="54" min="6" max="18"/>
    <col width="23.5546875" bestFit="1" customWidth="1" style="54" min="19" max="19"/>
    <col width="17.6640625" customWidth="1" style="54" min="20" max="21"/>
    <col width="17" customWidth="1" style="54" min="22" max="25"/>
    <col width="12" customWidth="1" style="54" min="26" max="27"/>
    <col width="10" customWidth="1" style="54" min="28" max="28"/>
    <col width="9.109375" customWidth="1" style="54" min="29" max="34"/>
    <col width="9.109375" customWidth="1" style="54" min="35" max="16384"/>
  </cols>
  <sheetData>
    <row r="1">
      <c r="A1" s="63" t="inlineStr">
        <is>
          <t>🏈 WEEK 3 — ACQL</t>
        </is>
      </c>
    </row>
    <row r="2"/>
    <row r="4">
      <c r="A4" s="5" t="inlineStr">
        <is>
          <t>Home Team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inlineStr">
        <is>
          <t>Away Team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6" t="inlineStr">
        <is>
          <t>Result / Winner →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</row>
    <row r="7">
      <c r="A7" s="8" t="inlineStr">
        <is>
          <t>Picked Home %</t>
        </is>
      </c>
      <c r="B7" s="8" t="n"/>
      <c r="C7" s="8" t="n"/>
      <c r="D7" s="8" t="n"/>
      <c r="E7" s="8" t="n"/>
      <c r="F7" s="8">
        <f>IFERROR(COUNTIF(F10:F44, F$4)/COUNTA(B10:B44),0)</f>
        <v/>
      </c>
      <c r="G7" s="8">
        <f>IFERROR(COUNTIF(G10:G44, G$4)/COUNTA(C10:C44),0)</f>
        <v/>
      </c>
      <c r="H7" s="8">
        <f>IFERROR(COUNTIF(H10:H44, H$4)/COUNTA(D10:D44),0)</f>
        <v/>
      </c>
      <c r="I7" s="8">
        <f>IFERROR(COUNTIF(I10:I44, I$4)/COUNTA(E10:E44),0)</f>
        <v/>
      </c>
      <c r="J7" s="8">
        <f>IFERROR(COUNTIF(J10:J44, J$4)/COUNTA(F10:F44),0)</f>
        <v/>
      </c>
      <c r="K7" s="8">
        <f>IFERROR(COUNTIF(K10:K44, K$4)/COUNTA(G10:G44),0)</f>
        <v/>
      </c>
      <c r="L7" s="8">
        <f>IFERROR(COUNTIF(L10:L44, L$4)/COUNTA(H10:H44),0)</f>
        <v/>
      </c>
      <c r="M7" s="8">
        <f>IFERROR(COUNTIF(M10:M44, M$4)/COUNTA(I10:I44),0)</f>
        <v/>
      </c>
      <c r="N7" s="8">
        <f>IFERROR(COUNTIF(N10:N44, N$4)/COUNTA(J10:J44),0)</f>
        <v/>
      </c>
      <c r="O7" s="8">
        <f>IFERROR(COUNTIF(O10:O44, O$4)/COUNTA(K10:K44),0)</f>
        <v/>
      </c>
      <c r="P7" s="8">
        <f>IFERROR(COUNTIF(P10:P44, P$4)/COUNTA(L10:L44),0)</f>
        <v/>
      </c>
      <c r="Q7" s="8">
        <f>IFERROR(COUNTIF(Q10:Q44, Q$4)/COUNTA(M10:M44),0)</f>
        <v/>
      </c>
      <c r="R7" s="8">
        <f>IFERROR(COUNTIF(R10:R44, R$4)/COUNTA(N10:N44),0)</f>
        <v/>
      </c>
      <c r="S7" s="8">
        <f>IFERROR(COUNTIF(S10:S44, S$4)/COUNTA(O10:O44),0)</f>
        <v/>
      </c>
      <c r="T7" s="8">
        <f>IFERROR(COUNTIF(T10:T44, T$4)/COUNTA(P10:P44),0)</f>
        <v/>
      </c>
      <c r="U7" s="8">
        <f>IFERROR(COUNTIF(U10:U44, U$4)/COUNTA(Q10:Q44),0)</f>
        <v/>
      </c>
      <c r="V7" s="7" t="n"/>
      <c r="W7" s="7" t="n"/>
      <c r="X7" s="7" t="n"/>
      <c r="Y7" s="7" t="n"/>
    </row>
    <row r="9" ht="28.8" customHeight="1" s="54">
      <c r="A9" s="9" t="inlineStr">
        <is>
          <t>Entry Fee</t>
        </is>
      </c>
      <c r="B9" s="9" t="inlineStr">
        <is>
          <t>Wins</t>
        </is>
      </c>
      <c r="C9" s="9" t="inlineStr">
        <is>
          <t>Wins</t>
        </is>
      </c>
      <c r="D9" s="9" t="inlineStr">
        <is>
          <t>Rank</t>
        </is>
      </c>
      <c r="E9" s="9" t="inlineStr">
        <is>
          <t>Player</t>
        </is>
      </c>
      <c r="F9" s="9" t="inlineStr">
        <is>
          <t>G1</t>
        </is>
      </c>
      <c r="G9" s="9" t="inlineStr">
        <is>
          <t>G2</t>
        </is>
      </c>
      <c r="H9" s="9" t="inlineStr">
        <is>
          <t>G3</t>
        </is>
      </c>
      <c r="I9" s="9" t="inlineStr">
        <is>
          <t>G4</t>
        </is>
      </c>
      <c r="J9" s="9" t="inlineStr">
        <is>
          <t>G5</t>
        </is>
      </c>
      <c r="K9" s="9" t="inlineStr">
        <is>
          <t>G6</t>
        </is>
      </c>
      <c r="L9" s="9" t="inlineStr">
        <is>
          <t>G7</t>
        </is>
      </c>
      <c r="M9" s="9" t="inlineStr">
        <is>
          <t>G8</t>
        </is>
      </c>
      <c r="N9" s="9" t="inlineStr">
        <is>
          <t>G9</t>
        </is>
      </c>
      <c r="O9" s="9" t="inlineStr">
        <is>
          <t>G10</t>
        </is>
      </c>
      <c r="P9" s="9" t="inlineStr">
        <is>
          <t>G11</t>
        </is>
      </c>
      <c r="Q9" s="9" t="inlineStr">
        <is>
          <t>G12</t>
        </is>
      </c>
      <c r="R9" s="9" t="inlineStr">
        <is>
          <t>G13</t>
        </is>
      </c>
      <c r="S9" s="9" t="inlineStr">
        <is>
          <t>G14</t>
        </is>
      </c>
      <c r="T9" s="9" t="inlineStr">
        <is>
          <t>G15</t>
        </is>
      </c>
      <c r="U9" s="9" t="inlineStr">
        <is>
          <t>G16</t>
        </is>
      </c>
      <c r="V9" s="9" t="inlineStr">
        <is>
          <t>Loser 1</t>
        </is>
      </c>
      <c r="W9" s="9" t="inlineStr">
        <is>
          <t>Loser 2</t>
        </is>
      </c>
      <c r="X9" s="9" t="inlineStr">
        <is>
          <t>Loser 3</t>
        </is>
      </c>
      <c r="Y9" s="9" t="inlineStr">
        <is>
          <t>Suicide</t>
        </is>
      </c>
      <c r="Z9" s="9" t="inlineStr">
        <is>
          <t>Home Team %</t>
        </is>
      </c>
      <c r="AA9" s="9" t="inlineStr">
        <is>
          <t>$ Owed</t>
        </is>
      </c>
      <c r="AB9" s="9" t="inlineStr">
        <is>
          <t>Games Behind</t>
        </is>
      </c>
      <c r="AC9" s="9" t="inlineStr">
        <is>
          <t>Win %</t>
        </is>
      </c>
    </row>
    <row r="10">
      <c r="A10" s="2">
        <f>IF(AD10=0,$AD$46, " ")</f>
        <v/>
      </c>
      <c r="B10">
        <f>SUM(V10:X10)+C10</f>
        <v/>
      </c>
      <c r="C10">
        <f>COUNTA(F10:U10)</f>
        <v/>
      </c>
      <c r="D10">
        <f>_xlfn.RANK.EQ(B10,$B$10:$B$44,0)</f>
        <v/>
      </c>
      <c r="V10" s="11" t="n"/>
      <c r="Y10" s="11" t="n"/>
      <c r="Z10" s="1">
        <f>IFERROR(COUNTIF(F10:U10,"W")/COUNTA(F10:U10),0)</f>
        <v/>
      </c>
      <c r="AA10">
        <f>MAX($B$10:$B$44)-B10</f>
        <v/>
      </c>
      <c r="AB10" s="1">
        <f>IFERROR(B10/16,0)</f>
        <v/>
      </c>
      <c r="AD10" s="76">
        <f>MAX($B$7:$B$141)-B10</f>
        <v/>
      </c>
    </row>
    <row r="11">
      <c r="A11" s="2">
        <f>IF(AD11=0,$AD$46, " ")</f>
        <v/>
      </c>
      <c r="B11">
        <f>SUM(V11:X11)+C11</f>
        <v/>
      </c>
      <c r="C11">
        <f>COUNTA(F11:U11)</f>
        <v/>
      </c>
      <c r="D11">
        <f>_xlfn.RANK.EQ(B11,$B$10:$B$44,0)</f>
        <v/>
      </c>
      <c r="V11" s="12" t="n"/>
      <c r="Y11" s="12" t="n"/>
      <c r="Z11" s="1">
        <f>IFERROR(COUNTIF(F11:U11,"W")/COUNTA(F11:U11),0)</f>
        <v/>
      </c>
      <c r="AA11">
        <f>MAX($B$10:$B$44)-B11</f>
        <v/>
      </c>
      <c r="AB11" s="1">
        <f>IFERROR(B11/16,0)</f>
        <v/>
      </c>
      <c r="AD11" s="76">
        <f>MAX($B$7:$B$141)-B11</f>
        <v/>
      </c>
    </row>
    <row r="12">
      <c r="A12" s="2">
        <f>IF(AD12=0,$AD$46, " ")</f>
        <v/>
      </c>
      <c r="B12">
        <f>SUM(V12:X12)+C12</f>
        <v/>
      </c>
      <c r="C12">
        <f>COUNTA(F12:U12)</f>
        <v/>
      </c>
      <c r="D12">
        <f>_xlfn.RANK.EQ(B12,$B$10:$B$44,0)</f>
        <v/>
      </c>
      <c r="V12" s="12" t="n"/>
      <c r="Y12" s="12" t="n"/>
      <c r="Z12" s="1">
        <f>IFERROR(COUNTIF(F12:U12,"W")/COUNTA(F12:U12),0)</f>
        <v/>
      </c>
      <c r="AA12">
        <f>MAX($B$10:$B$44)-B12</f>
        <v/>
      </c>
      <c r="AB12" s="1">
        <f>IFERROR(B12/16,0)</f>
        <v/>
      </c>
      <c r="AD12" s="76">
        <f>MAX($B$7:$B$141)-B12</f>
        <v/>
      </c>
    </row>
    <row r="13">
      <c r="A13" s="2">
        <f>IF(AD13=0,$AD$46, " ")</f>
        <v/>
      </c>
      <c r="B13">
        <f>SUM(V13:X13)+C13</f>
        <v/>
      </c>
      <c r="C13">
        <f>COUNTA(F13:U13)</f>
        <v/>
      </c>
      <c r="D13">
        <f>_xlfn.RANK.EQ(B13,$B$10:$B$44,0)</f>
        <v/>
      </c>
      <c r="V13" s="12" t="n"/>
      <c r="Y13" s="12" t="n"/>
      <c r="Z13" s="1">
        <f>IFERROR(COUNTIF(F13:U13,"W")/COUNTA(F13:U13),0)</f>
        <v/>
      </c>
      <c r="AA13">
        <f>MAX($B$10:$B$44)-B13</f>
        <v/>
      </c>
      <c r="AB13" s="1">
        <f>IFERROR(B13/16,0)</f>
        <v/>
      </c>
      <c r="AD13" s="76">
        <f>MAX($B$7:$B$141)-B13</f>
        <v/>
      </c>
    </row>
    <row r="14">
      <c r="A14" s="2">
        <f>IF(AD14=0,$AD$46, " ")</f>
        <v/>
      </c>
      <c r="B14">
        <f>SUM(V14:X14)+C14</f>
        <v/>
      </c>
      <c r="C14">
        <f>COUNTA(F14:U14)</f>
        <v/>
      </c>
      <c r="D14">
        <f>_xlfn.RANK.EQ(B14,$B$10:$B$44,0)</f>
        <v/>
      </c>
      <c r="V14" s="12" t="n"/>
      <c r="Y14" s="12" t="n"/>
      <c r="Z14" s="1">
        <f>IFERROR(COUNTIF(F14:U14,"W")/COUNTA(F14:U14),0)</f>
        <v/>
      </c>
      <c r="AA14">
        <f>MAX($B$10:$B$44)-B14</f>
        <v/>
      </c>
      <c r="AB14" s="1">
        <f>IFERROR(B14/16,0)</f>
        <v/>
      </c>
      <c r="AD14" s="76">
        <f>MAX($B$7:$B$141)-B14</f>
        <v/>
      </c>
    </row>
    <row r="15">
      <c r="A15" s="2">
        <f>IF(AD15=0,$AD$46, " ")</f>
        <v/>
      </c>
      <c r="B15">
        <f>SUM(V15:X15)+C15</f>
        <v/>
      </c>
      <c r="C15">
        <f>COUNTA(F15:U15)</f>
        <v/>
      </c>
      <c r="D15">
        <f>_xlfn.RANK.EQ(B15,$B$10:$B$44,0)</f>
        <v/>
      </c>
      <c r="V15" s="12" t="n"/>
      <c r="Y15" s="12" t="n"/>
      <c r="Z15" s="1">
        <f>IFERROR(COUNTIF(F15:U15,"W")/COUNTA(F15:U15),0)</f>
        <v/>
      </c>
      <c r="AA15">
        <f>MAX($B$10:$B$44)-B15</f>
        <v/>
      </c>
      <c r="AB15" s="1">
        <f>IFERROR(B15/16,0)</f>
        <v/>
      </c>
      <c r="AD15" s="76">
        <f>MAX($B$7:$B$141)-B15</f>
        <v/>
      </c>
    </row>
    <row r="16">
      <c r="A16" s="2">
        <f>IF(AD16=0,$AD$46, " ")</f>
        <v/>
      </c>
      <c r="B16">
        <f>SUM(V16:X16)+C16</f>
        <v/>
      </c>
      <c r="C16">
        <f>COUNTA(F16:U16)</f>
        <v/>
      </c>
      <c r="D16">
        <f>_xlfn.RANK.EQ(B16,$B$10:$B$44,0)</f>
        <v/>
      </c>
      <c r="V16" s="12" t="n"/>
      <c r="Y16" s="12" t="n"/>
      <c r="Z16" s="1">
        <f>IFERROR(COUNTIF(F16:U16,"W")/COUNTA(F16:U16),0)</f>
        <v/>
      </c>
      <c r="AA16">
        <f>MAX($B$10:$B$44)-B16</f>
        <v/>
      </c>
      <c r="AB16" s="1">
        <f>IFERROR(B16/16,0)</f>
        <v/>
      </c>
      <c r="AD16" s="76">
        <f>MAX($B$7:$B$141)-B16</f>
        <v/>
      </c>
    </row>
    <row r="17">
      <c r="A17" s="2">
        <f>IF(AD17=0,$AD$46, " ")</f>
        <v/>
      </c>
      <c r="B17">
        <f>SUM(V17:X17)+C17</f>
        <v/>
      </c>
      <c r="C17">
        <f>COUNTA(F17:U17)</f>
        <v/>
      </c>
      <c r="D17">
        <f>_xlfn.RANK.EQ(B17,$B$10:$B$44,0)</f>
        <v/>
      </c>
      <c r="V17" s="12" t="n"/>
      <c r="Y17" s="12" t="n"/>
      <c r="Z17" s="1">
        <f>IFERROR(COUNTIF(F17:U17,"W")/COUNTA(F17:U17),0)</f>
        <v/>
      </c>
      <c r="AA17">
        <f>MAX($B$10:$B$44)-B17</f>
        <v/>
      </c>
      <c r="AB17" s="1">
        <f>IFERROR(B17/16,0)</f>
        <v/>
      </c>
      <c r="AD17" s="76">
        <f>MAX($B$7:$B$141)-B17</f>
        <v/>
      </c>
    </row>
    <row r="18">
      <c r="A18" s="2">
        <f>IF(AD18=0,$AD$46, " ")</f>
        <v/>
      </c>
      <c r="B18">
        <f>SUM(V18:X18)+C18</f>
        <v/>
      </c>
      <c r="C18">
        <f>COUNTA(F18:U18)</f>
        <v/>
      </c>
      <c r="D18">
        <f>_xlfn.RANK.EQ(B18,$B$10:$B$44,0)</f>
        <v/>
      </c>
      <c r="V18" s="12" t="n"/>
      <c r="Y18" s="12" t="n"/>
      <c r="Z18" s="1">
        <f>IFERROR(COUNTIF(F18:U18,"W")/COUNTA(F18:U18),0)</f>
        <v/>
      </c>
      <c r="AA18">
        <f>MAX($B$10:$B$44)-B18</f>
        <v/>
      </c>
      <c r="AB18" s="1">
        <f>IFERROR(B18/16,0)</f>
        <v/>
      </c>
      <c r="AD18" s="76">
        <f>MAX($B$7:$B$141)-B18</f>
        <v/>
      </c>
    </row>
    <row r="19">
      <c r="A19" s="2">
        <f>IF(AD19=0,$AD$46, " ")</f>
        <v/>
      </c>
      <c r="B19">
        <f>SUM(V19:X19)+C19</f>
        <v/>
      </c>
      <c r="C19">
        <f>COUNTA(F19:U19)</f>
        <v/>
      </c>
      <c r="D19">
        <f>_xlfn.RANK.EQ(B19,$B$10:$B$44,0)</f>
        <v/>
      </c>
      <c r="V19" s="12" t="n"/>
      <c r="Y19" s="12" t="n"/>
      <c r="Z19" s="1">
        <f>IFERROR(COUNTIF(F19:U19,"W")/COUNTA(F19:U19),0)</f>
        <v/>
      </c>
      <c r="AA19">
        <f>MAX($B$10:$B$44)-B19</f>
        <v/>
      </c>
      <c r="AB19" s="1">
        <f>IFERROR(B19/16,0)</f>
        <v/>
      </c>
      <c r="AD19" s="76">
        <f>MAX($B$7:$B$141)-B19</f>
        <v/>
      </c>
    </row>
    <row r="20">
      <c r="A20" s="2">
        <f>IF(AD20=0,$AD$46, " ")</f>
        <v/>
      </c>
      <c r="B20">
        <f>SUM(V20:X20)+C20</f>
        <v/>
      </c>
      <c r="C20">
        <f>COUNTA(F20:U20)</f>
        <v/>
      </c>
      <c r="D20">
        <f>_xlfn.RANK.EQ(B20,$B$10:$B$44,0)</f>
        <v/>
      </c>
      <c r="V20" s="12" t="n"/>
      <c r="Y20" s="12" t="n"/>
      <c r="Z20" s="1">
        <f>IFERROR(COUNTIF(F20:U20,"W")/COUNTA(F20:U20),0)</f>
        <v/>
      </c>
      <c r="AA20">
        <f>MAX($B$10:$B$44)-B20</f>
        <v/>
      </c>
      <c r="AB20" s="1">
        <f>IFERROR(B20/16,0)</f>
        <v/>
      </c>
      <c r="AD20" s="76">
        <f>MAX($B$7:$B$141)-B20</f>
        <v/>
      </c>
    </row>
    <row r="21">
      <c r="A21" s="2">
        <f>IF(AD21=0,$AD$46, " ")</f>
        <v/>
      </c>
      <c r="B21">
        <f>SUM(V21:X21)+C21</f>
        <v/>
      </c>
      <c r="C21">
        <f>COUNTA(F21:U21)</f>
        <v/>
      </c>
      <c r="D21">
        <f>_xlfn.RANK.EQ(B21,$B$10:$B$44,0)</f>
        <v/>
      </c>
      <c r="V21" s="12" t="n"/>
      <c r="Y21" s="12" t="n"/>
      <c r="Z21" s="1">
        <f>IFERROR(COUNTIF(F21:U21,"W")/COUNTA(F21:U21),0)</f>
        <v/>
      </c>
      <c r="AA21">
        <f>MAX($B$10:$B$44)-B21</f>
        <v/>
      </c>
      <c r="AB21" s="1">
        <f>IFERROR(B21/16,0)</f>
        <v/>
      </c>
      <c r="AD21" s="76">
        <f>MAX($B$7:$B$141)-B21</f>
        <v/>
      </c>
    </row>
    <row r="22">
      <c r="A22" s="2">
        <f>IF(AD22=0,$AD$46, " ")</f>
        <v/>
      </c>
      <c r="B22">
        <f>SUM(V22:X22)+C22</f>
        <v/>
      </c>
      <c r="C22">
        <f>COUNTA(F22:U22)</f>
        <v/>
      </c>
      <c r="D22">
        <f>_xlfn.RANK.EQ(B22,$B$10:$B$44,0)</f>
        <v/>
      </c>
      <c r="V22" s="12" t="n"/>
      <c r="Y22" s="12" t="n"/>
      <c r="Z22" s="1">
        <f>IFERROR(COUNTIF(F22:U22,"W")/COUNTA(F22:U22),0)</f>
        <v/>
      </c>
      <c r="AA22">
        <f>MAX($B$10:$B$44)-B22</f>
        <v/>
      </c>
      <c r="AB22" s="1">
        <f>IFERROR(B22/16,0)</f>
        <v/>
      </c>
      <c r="AD22" s="76">
        <f>MAX($B$7:$B$141)-B22</f>
        <v/>
      </c>
    </row>
    <row r="23">
      <c r="A23" s="2">
        <f>IF(AD23=0,$AD$46, " ")</f>
        <v/>
      </c>
      <c r="B23">
        <f>SUM(V23:X23)+C23</f>
        <v/>
      </c>
      <c r="C23">
        <f>COUNTA(F23:U23)</f>
        <v/>
      </c>
      <c r="D23">
        <f>_xlfn.RANK.EQ(B23,$B$10:$B$44,0)</f>
        <v/>
      </c>
      <c r="V23" s="12" t="n"/>
      <c r="Y23" s="12" t="n"/>
      <c r="Z23" s="1">
        <f>IFERROR(COUNTIF(F23:U23,"W")/COUNTA(F23:U23),0)</f>
        <v/>
      </c>
      <c r="AA23">
        <f>MAX($B$10:$B$44)-B23</f>
        <v/>
      </c>
      <c r="AB23" s="1">
        <f>IFERROR(B23/16,0)</f>
        <v/>
      </c>
      <c r="AD23" s="76">
        <f>MAX($B$7:$B$141)-B23</f>
        <v/>
      </c>
    </row>
    <row r="24">
      <c r="A24" s="2">
        <f>IF(AD24=0,$AD$46, " ")</f>
        <v/>
      </c>
      <c r="B24">
        <f>SUM(V24:X24)+C24</f>
        <v/>
      </c>
      <c r="C24">
        <f>COUNTA(F24:U24)</f>
        <v/>
      </c>
      <c r="D24">
        <f>_xlfn.RANK.EQ(B24,$B$10:$B$44,0)</f>
        <v/>
      </c>
      <c r="V24" s="12" t="n"/>
      <c r="Y24" s="12" t="n"/>
      <c r="Z24" s="1">
        <f>IFERROR(COUNTIF(F24:U24,"W")/COUNTA(F24:U24),0)</f>
        <v/>
      </c>
      <c r="AA24">
        <f>MAX($B$10:$B$44)-B24</f>
        <v/>
      </c>
      <c r="AB24" s="1">
        <f>IFERROR(B24/16,0)</f>
        <v/>
      </c>
      <c r="AD24" s="76">
        <f>MAX($B$7:$B$141)-B24</f>
        <v/>
      </c>
    </row>
    <row r="25">
      <c r="A25" s="2">
        <f>IF(AD25=0,$AD$46, " ")</f>
        <v/>
      </c>
      <c r="B25">
        <f>SUM(V25:X25)+C25</f>
        <v/>
      </c>
      <c r="C25">
        <f>COUNTA(F25:U25)</f>
        <v/>
      </c>
      <c r="D25">
        <f>_xlfn.RANK.EQ(B25,$B$10:$B$44,0)</f>
        <v/>
      </c>
      <c r="V25" s="12" t="n"/>
      <c r="Y25" s="12" t="n"/>
      <c r="Z25" s="1">
        <f>IFERROR(COUNTIF(F25:U25,"W")/COUNTA(F25:U25),0)</f>
        <v/>
      </c>
      <c r="AA25">
        <f>MAX($B$10:$B$44)-B25</f>
        <v/>
      </c>
      <c r="AB25" s="1">
        <f>IFERROR(B25/16,0)</f>
        <v/>
      </c>
      <c r="AD25" s="76">
        <f>MAX($B$7:$B$141)-B25</f>
        <v/>
      </c>
    </row>
    <row r="26">
      <c r="A26" s="2">
        <f>IF(AD26=0,$AD$46, " ")</f>
        <v/>
      </c>
      <c r="B26">
        <f>SUM(V26:X26)+C26</f>
        <v/>
      </c>
      <c r="C26">
        <f>COUNTA(F26:U26)</f>
        <v/>
      </c>
      <c r="D26">
        <f>_xlfn.RANK.EQ(B26,$B$10:$B$44,0)</f>
        <v/>
      </c>
      <c r="V26" s="12" t="n"/>
      <c r="Y26" s="12" t="n"/>
      <c r="Z26" s="1">
        <f>IFERROR(COUNTIF(F26:U26,"W")/COUNTA(F26:U26),0)</f>
        <v/>
      </c>
      <c r="AA26">
        <f>MAX($B$10:$B$44)-B26</f>
        <v/>
      </c>
      <c r="AB26" s="1">
        <f>IFERROR(B26/16,0)</f>
        <v/>
      </c>
      <c r="AD26" s="76">
        <f>MAX($B$7:$B$141)-B26</f>
        <v/>
      </c>
    </row>
    <row r="27">
      <c r="A27" s="2">
        <f>IF(AD27=0,$AD$46, " ")</f>
        <v/>
      </c>
      <c r="B27">
        <f>SUM(V27:X27)+C27</f>
        <v/>
      </c>
      <c r="C27">
        <f>COUNTA(F27:U27)</f>
        <v/>
      </c>
      <c r="D27">
        <f>_xlfn.RANK.EQ(B27,$B$10:$B$44,0)</f>
        <v/>
      </c>
      <c r="V27" s="12" t="n"/>
      <c r="Y27" s="12" t="n"/>
      <c r="Z27" s="1">
        <f>IFERROR(COUNTIF(F27:U27,"W")/COUNTA(F27:U27),0)</f>
        <v/>
      </c>
      <c r="AA27">
        <f>MAX($B$10:$B$44)-B27</f>
        <v/>
      </c>
      <c r="AB27" s="1">
        <f>IFERROR(B27/16,0)</f>
        <v/>
      </c>
      <c r="AD27" s="76">
        <f>MAX($B$7:$B$141)-B27</f>
        <v/>
      </c>
    </row>
    <row r="28">
      <c r="A28" s="2">
        <f>IF(AD28=0,$AD$46, " ")</f>
        <v/>
      </c>
      <c r="B28">
        <f>SUM(V28:X28)+C28</f>
        <v/>
      </c>
      <c r="C28">
        <f>COUNTA(F28:U28)</f>
        <v/>
      </c>
      <c r="D28">
        <f>_xlfn.RANK.EQ(B28,$B$10:$B$44,0)</f>
        <v/>
      </c>
      <c r="V28" s="12" t="n"/>
      <c r="Y28" s="12" t="n"/>
      <c r="Z28" s="1">
        <f>IFERROR(COUNTIF(F28:U28,"W")/COUNTA(F28:U28),0)</f>
        <v/>
      </c>
      <c r="AA28">
        <f>MAX($B$10:$B$44)-B28</f>
        <v/>
      </c>
      <c r="AB28" s="1">
        <f>IFERROR(B28/16,0)</f>
        <v/>
      </c>
      <c r="AD28" s="76">
        <f>MAX($B$7:$B$141)-B28</f>
        <v/>
      </c>
    </row>
    <row r="29">
      <c r="A29" s="2">
        <f>IF(AD29=0,$AD$46, " ")</f>
        <v/>
      </c>
      <c r="B29">
        <f>SUM(V29:X29)+C29</f>
        <v/>
      </c>
      <c r="C29">
        <f>COUNTA(F29:U29)</f>
        <v/>
      </c>
      <c r="D29">
        <f>_xlfn.RANK.EQ(B29,$B$10:$B$44,0)</f>
        <v/>
      </c>
      <c r="V29" s="12" t="n"/>
      <c r="Y29" s="12" t="n"/>
      <c r="Z29" s="1">
        <f>IFERROR(COUNTIF(F29:U29,"W")/COUNTA(F29:U29),0)</f>
        <v/>
      </c>
      <c r="AA29">
        <f>MAX($B$10:$B$44)-B29</f>
        <v/>
      </c>
      <c r="AB29" s="1">
        <f>IFERROR(B29/16,0)</f>
        <v/>
      </c>
      <c r="AD29" s="76">
        <f>MAX($B$7:$B$141)-B29</f>
        <v/>
      </c>
    </row>
    <row r="30">
      <c r="A30" s="2">
        <f>IF(AD30=0,$AD$46, " ")</f>
        <v/>
      </c>
      <c r="B30">
        <f>SUM(V30:X30)+C30</f>
        <v/>
      </c>
      <c r="C30">
        <f>COUNTA(F30:U30)</f>
        <v/>
      </c>
      <c r="D30">
        <f>_xlfn.RANK.EQ(B30,$B$10:$B$44,0)</f>
        <v/>
      </c>
      <c r="V30" s="12" t="n"/>
      <c r="Y30" s="12" t="n"/>
      <c r="Z30" s="1">
        <f>IFERROR(COUNTIF(F30:U30,"W")/COUNTA(F30:U30),0)</f>
        <v/>
      </c>
      <c r="AA30">
        <f>MAX($B$10:$B$44)-B30</f>
        <v/>
      </c>
      <c r="AB30" s="1">
        <f>IFERROR(B30/16,0)</f>
        <v/>
      </c>
      <c r="AD30" s="76">
        <f>MAX($B$7:$B$141)-B30</f>
        <v/>
      </c>
    </row>
    <row r="31">
      <c r="A31" s="2">
        <f>IF(AD31=0,$AD$46, " ")</f>
        <v/>
      </c>
      <c r="B31">
        <f>SUM(V31:X31)+C31</f>
        <v/>
      </c>
      <c r="C31">
        <f>COUNTA(F31:U31)</f>
        <v/>
      </c>
      <c r="D31">
        <f>_xlfn.RANK.EQ(B31,$B$10:$B$44,0)</f>
        <v/>
      </c>
      <c r="V31" s="12" t="n"/>
      <c r="Y31" s="12" t="n"/>
      <c r="Z31" s="1">
        <f>IFERROR(COUNTIF(F31:U31,"W")/COUNTA(F31:U31),0)</f>
        <v/>
      </c>
      <c r="AA31">
        <f>MAX($B$10:$B$44)-B31</f>
        <v/>
      </c>
      <c r="AB31" s="1">
        <f>IFERROR(B31/16,0)</f>
        <v/>
      </c>
      <c r="AD31" s="76">
        <f>MAX($B$7:$B$141)-B31</f>
        <v/>
      </c>
    </row>
    <row r="32">
      <c r="A32" s="2">
        <f>IF(AD32=0,$AD$46, " ")</f>
        <v/>
      </c>
      <c r="B32">
        <f>SUM(V32:X32)+C32</f>
        <v/>
      </c>
      <c r="C32">
        <f>COUNTA(F32:U32)</f>
        <v/>
      </c>
      <c r="D32">
        <f>_xlfn.RANK.EQ(B32,$B$10:$B$44,0)</f>
        <v/>
      </c>
      <c r="V32" s="12" t="n"/>
      <c r="Y32" s="12" t="n"/>
      <c r="Z32" s="1">
        <f>IFERROR(COUNTIF(F32:U32,"W")/COUNTA(F32:U32),0)</f>
        <v/>
      </c>
      <c r="AA32">
        <f>MAX($B$10:$B$44)-B32</f>
        <v/>
      </c>
      <c r="AB32" s="1">
        <f>IFERROR(B32/16,0)</f>
        <v/>
      </c>
      <c r="AD32" s="76">
        <f>MAX($B$7:$B$141)-B32</f>
        <v/>
      </c>
    </row>
    <row r="33">
      <c r="A33" s="2">
        <f>IF(AD33=0,$AD$46, " ")</f>
        <v/>
      </c>
      <c r="B33">
        <f>SUM(V33:X33)+C33</f>
        <v/>
      </c>
      <c r="C33">
        <f>COUNTA(F33:U33)</f>
        <v/>
      </c>
      <c r="D33">
        <f>_xlfn.RANK.EQ(B33,$B$10:$B$44,0)</f>
        <v/>
      </c>
      <c r="V33" s="12" t="n"/>
      <c r="Y33" s="12" t="n"/>
      <c r="Z33" s="1">
        <f>IFERROR(COUNTIF(F33:U33,"W")/COUNTA(F33:U33),0)</f>
        <v/>
      </c>
      <c r="AA33">
        <f>MAX($B$10:$B$44)-B33</f>
        <v/>
      </c>
      <c r="AB33" s="1">
        <f>IFERROR(B33/16,0)</f>
        <v/>
      </c>
      <c r="AD33" s="76">
        <f>MAX($B$7:$B$141)-B33</f>
        <v/>
      </c>
    </row>
    <row r="34">
      <c r="A34" s="2">
        <f>IF(AD34=0,$AD$46, " ")</f>
        <v/>
      </c>
      <c r="B34">
        <f>SUM(V34:X34)+C34</f>
        <v/>
      </c>
      <c r="C34">
        <f>COUNTA(F34:U34)</f>
        <v/>
      </c>
      <c r="D34">
        <f>_xlfn.RANK.EQ(B34,$B$10:$B$44,0)</f>
        <v/>
      </c>
      <c r="V34" s="12" t="n"/>
      <c r="Y34" s="12" t="n"/>
      <c r="Z34" s="1">
        <f>IFERROR(COUNTIF(F34:U34,"W")/COUNTA(F34:U34),0)</f>
        <v/>
      </c>
      <c r="AA34">
        <f>MAX($B$10:$B$44)-B34</f>
        <v/>
      </c>
      <c r="AB34" s="1">
        <f>IFERROR(B34/16,0)</f>
        <v/>
      </c>
      <c r="AD34" s="76">
        <f>MAX($B$7:$B$141)-B34</f>
        <v/>
      </c>
    </row>
    <row r="35">
      <c r="A35" s="2">
        <f>IF(AD35=0,$AD$46, " ")</f>
        <v/>
      </c>
      <c r="B35">
        <f>SUM(V35:X35)+C35</f>
        <v/>
      </c>
      <c r="C35">
        <f>COUNTA(F35:U35)</f>
        <v/>
      </c>
      <c r="D35">
        <f>_xlfn.RANK.EQ(B35,$B$10:$B$44,0)</f>
        <v/>
      </c>
      <c r="V35" s="12" t="n"/>
      <c r="Y35" s="12" t="n"/>
      <c r="Z35" s="1">
        <f>IFERROR(COUNTIF(F35:U35,"W")/COUNTA(F35:U35),0)</f>
        <v/>
      </c>
      <c r="AA35">
        <f>MAX($B$10:$B$44)-B35</f>
        <v/>
      </c>
      <c r="AB35" s="1">
        <f>IFERROR(B35/16,0)</f>
        <v/>
      </c>
      <c r="AD35" s="76">
        <f>MAX($B$7:$B$141)-B35</f>
        <v/>
      </c>
    </row>
    <row r="36">
      <c r="A36" s="2">
        <f>IF(AD36=0,$AD$46, " ")</f>
        <v/>
      </c>
      <c r="B36">
        <f>SUM(V36:X36)+C36</f>
        <v/>
      </c>
      <c r="C36">
        <f>COUNTA(F36:U36)</f>
        <v/>
      </c>
      <c r="D36">
        <f>_xlfn.RANK.EQ(B36,$B$10:$B$44,0)</f>
        <v/>
      </c>
      <c r="V36" s="12" t="n"/>
      <c r="Y36" s="12" t="n"/>
      <c r="Z36" s="1">
        <f>IFERROR(COUNTIF(F36:U36,"W")/COUNTA(F36:U36),0)</f>
        <v/>
      </c>
      <c r="AA36">
        <f>MAX($B$10:$B$44)-B36</f>
        <v/>
      </c>
      <c r="AB36" s="1">
        <f>IFERROR(B36/16,0)</f>
        <v/>
      </c>
      <c r="AD36" s="76">
        <f>MAX($B$7:$B$141)-B36</f>
        <v/>
      </c>
    </row>
    <row r="37">
      <c r="A37" s="2">
        <f>IF(AD37=0,$AD$46, " ")</f>
        <v/>
      </c>
      <c r="B37">
        <f>SUM(V37:X37)+C37</f>
        <v/>
      </c>
      <c r="C37">
        <f>COUNTA(F37:U37)</f>
        <v/>
      </c>
      <c r="D37">
        <f>_xlfn.RANK.EQ(B37,$B$10:$B$44,0)</f>
        <v/>
      </c>
      <c r="V37" s="12" t="n"/>
      <c r="Y37" s="12" t="n"/>
      <c r="Z37" s="1">
        <f>IFERROR(COUNTIF(F37:U37,"W")/COUNTA(F37:U37),0)</f>
        <v/>
      </c>
      <c r="AA37">
        <f>MAX($B$10:$B$44)-B37</f>
        <v/>
      </c>
      <c r="AB37" s="1">
        <f>IFERROR(B37/16,0)</f>
        <v/>
      </c>
      <c r="AD37" s="76">
        <f>MAX($B$7:$B$141)-B37</f>
        <v/>
      </c>
    </row>
    <row r="38">
      <c r="A38" s="2">
        <f>IF(AD38=0,$AD$46, " ")</f>
        <v/>
      </c>
      <c r="B38">
        <f>SUM(V38:X38)+C38</f>
        <v/>
      </c>
      <c r="C38">
        <f>COUNTA(F38:U38)</f>
        <v/>
      </c>
      <c r="D38">
        <f>_xlfn.RANK.EQ(B38,$B$10:$B$44,0)</f>
        <v/>
      </c>
      <c r="V38" s="12" t="n"/>
      <c r="Y38" s="12" t="n"/>
      <c r="Z38" s="1">
        <f>IFERROR(COUNTIF(F38:U38,"W")/COUNTA(F38:U38),0)</f>
        <v/>
      </c>
      <c r="AA38">
        <f>MAX($B$10:$B$44)-B38</f>
        <v/>
      </c>
      <c r="AB38" s="1">
        <f>IFERROR(B38/16,0)</f>
        <v/>
      </c>
      <c r="AD38" s="76">
        <f>MAX($B$7:$B$141)-B38</f>
        <v/>
      </c>
    </row>
    <row r="39">
      <c r="A39" s="2">
        <f>IF(AD39=0,$AD$46, " ")</f>
        <v/>
      </c>
      <c r="B39">
        <f>SUM(V39:X39)+C39</f>
        <v/>
      </c>
      <c r="C39">
        <f>COUNTA(F39:U39)</f>
        <v/>
      </c>
      <c r="D39">
        <f>_xlfn.RANK.EQ(B39,$B$10:$B$44,0)</f>
        <v/>
      </c>
      <c r="V39" s="12" t="n"/>
      <c r="Y39" s="12" t="n"/>
      <c r="Z39" s="1">
        <f>IFERROR(COUNTIF(F39:U39,"W")/COUNTA(F39:U39),0)</f>
        <v/>
      </c>
      <c r="AA39">
        <f>MAX($B$10:$B$44)-B39</f>
        <v/>
      </c>
      <c r="AB39" s="1">
        <f>IFERROR(B39/16,0)</f>
        <v/>
      </c>
      <c r="AD39" s="76">
        <f>MAX($B$7:$B$141)-B39</f>
        <v/>
      </c>
    </row>
    <row r="40">
      <c r="A40" s="2">
        <f>IF(AD40=0,$AD$46, " ")</f>
        <v/>
      </c>
      <c r="B40">
        <f>SUM(V40:X40)+C40</f>
        <v/>
      </c>
      <c r="C40">
        <f>COUNTA(F40:U40)</f>
        <v/>
      </c>
      <c r="D40">
        <f>_xlfn.RANK.EQ(B40,$B$10:$B$44,0)</f>
        <v/>
      </c>
      <c r="V40" s="12" t="n"/>
      <c r="Y40" s="12" t="n"/>
      <c r="Z40" s="1">
        <f>IFERROR(COUNTIF(F40:U40,"W")/COUNTA(F40:U40),0)</f>
        <v/>
      </c>
      <c r="AA40">
        <f>MAX($B$10:$B$44)-B40</f>
        <v/>
      </c>
      <c r="AB40" s="1">
        <f>IFERROR(B40/16,0)</f>
        <v/>
      </c>
      <c r="AD40" s="76">
        <f>MAX($B$7:$B$141)-B40</f>
        <v/>
      </c>
    </row>
    <row r="41">
      <c r="A41" s="2">
        <f>IF(AD41=0,$AD$46, " ")</f>
        <v/>
      </c>
      <c r="B41">
        <f>SUM(V41:X41)+C41</f>
        <v/>
      </c>
      <c r="C41">
        <f>COUNTA(F41:U41)</f>
        <v/>
      </c>
      <c r="D41">
        <f>_xlfn.RANK.EQ(B41,$B$10:$B$44,0)</f>
        <v/>
      </c>
      <c r="V41" s="12" t="n"/>
      <c r="Y41" s="12" t="n"/>
      <c r="Z41" s="1">
        <f>IFERROR(COUNTIF(F41:U41,"W")/COUNTA(F41:U41),0)</f>
        <v/>
      </c>
      <c r="AA41">
        <f>MAX($B$10:$B$44)-B41</f>
        <v/>
      </c>
      <c r="AB41" s="1">
        <f>IFERROR(B41/16,0)</f>
        <v/>
      </c>
      <c r="AD41" s="76">
        <f>MAX($B$7:$B$141)-B41</f>
        <v/>
      </c>
    </row>
    <row r="42">
      <c r="A42" s="2">
        <f>IF(AD42=0,$AD$46, " ")</f>
        <v/>
      </c>
      <c r="B42">
        <f>SUM(V42:X42)+C42</f>
        <v/>
      </c>
      <c r="C42">
        <f>COUNTA(F42:U42)</f>
        <v/>
      </c>
      <c r="D42">
        <f>_xlfn.RANK.EQ(B42,$B$10:$B$44,0)</f>
        <v/>
      </c>
      <c r="V42" s="12" t="n"/>
      <c r="Y42" s="12" t="n"/>
      <c r="Z42" s="1">
        <f>IFERROR(COUNTIF(F42:U42,"W")/COUNTA(F42:U42),0)</f>
        <v/>
      </c>
      <c r="AA42">
        <f>MAX($B$10:$B$44)-B42</f>
        <v/>
      </c>
      <c r="AB42" s="1">
        <f>IFERROR(B42/16,0)</f>
        <v/>
      </c>
      <c r="AD42" s="76">
        <f>MAX($B$7:$B$141)-B42</f>
        <v/>
      </c>
    </row>
    <row r="43">
      <c r="A43" s="2">
        <f>IF(AD43=0,$AD$46, " ")</f>
        <v/>
      </c>
      <c r="B43">
        <f>SUM(V43:X43)+C43</f>
        <v/>
      </c>
      <c r="C43">
        <f>COUNTA(F43:U43)</f>
        <v/>
      </c>
      <c r="D43">
        <f>_xlfn.RANK.EQ(B43,$B$10:$B$44,0)</f>
        <v/>
      </c>
      <c r="V43" s="12" t="n"/>
      <c r="Y43" s="12" t="n"/>
      <c r="Z43" s="1">
        <f>IFERROR(COUNTIF(F43:U43,"W")/COUNTA(F43:U43),0)</f>
        <v/>
      </c>
      <c r="AA43">
        <f>MAX($B$10:$B$44)-B43</f>
        <v/>
      </c>
      <c r="AB43" s="1">
        <f>IFERROR(B43/16,0)</f>
        <v/>
      </c>
      <c r="AD43" s="76">
        <f>MAX($B$7:$B$141)-B43</f>
        <v/>
      </c>
    </row>
    <row r="44">
      <c r="A44" s="2">
        <f>IF(AD44=0,$AD$46, " ")</f>
        <v/>
      </c>
      <c r="B44">
        <f>SUM(V44:X44)+C44</f>
        <v/>
      </c>
      <c r="C44">
        <f>COUNTA(F44:U44)</f>
        <v/>
      </c>
      <c r="D44">
        <f>_xlfn.RANK.EQ(B44,$B$10:$B$44,0)</f>
        <v/>
      </c>
      <c r="V44" s="12" t="n"/>
      <c r="Y44" s="12" t="n"/>
      <c r="Z44" s="1">
        <f>IFERROR(COUNTIF(F44:U44,"W")/COUNTA(F44:U44),0)</f>
        <v/>
      </c>
      <c r="AA44">
        <f>MAX($B$10:$B$44)-B44</f>
        <v/>
      </c>
      <c r="AB44" s="1">
        <f>IFERROR(B44/16,0)</f>
        <v/>
      </c>
      <c r="AD44" s="76">
        <f>MAX($B$7:$B$141)-B44</f>
        <v/>
      </c>
    </row>
    <row r="45">
      <c r="AD45" s="10">
        <f>COUNTIF(AD10:AD44,0)</f>
        <v/>
      </c>
    </row>
    <row r="46">
      <c r="AD46" s="76">
        <f>SUM(AD10:AD44)/AD45</f>
        <v/>
      </c>
    </row>
  </sheetData>
  <mergeCells count="1">
    <mergeCell ref="A1:Y2"/>
  </mergeCells>
  <conditionalFormatting sqref="B10:B4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:D4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0:U44">
    <cfRule type="cellIs" priority="4" operator="equal" dxfId="2">
      <formula>"W"</formula>
    </cfRule>
    <cfRule type="cellIs" priority="5" operator="equal" dxfId="1">
      <formula>"L"</formula>
    </cfRule>
  </conditionalFormatting>
  <conditionalFormatting sqref="AD10:AD46">
    <cfRule type="cellIs" priority="1" operator="equal" dxfId="0" stopIfTrue="1">
      <formula>0</formula>
    </cfRule>
  </conditionalFormatting>
  <dataValidations count="2">
    <dataValidation sqref="F6:U6" showDropDown="0" showInputMessage="0" showErrorMessage="0" allowBlank="1" type="list">
      <formula1>"Seattle,Los Angeles Rams,Cincinnati,Detroit,Tennessee,Indianapolis,Pittsburgh,Carolina,Jacksonville,Houston,Las Vegas,Minnesota,Philadelphia,Los Angeles Chargers,New York Giants,Kansas City"</formula1>
    </dataValidation>
    <dataValidation sqref="F10:U44" showDropDown="0" showInputMessage="0" showErrorMessage="0" allowBlank="1" type="list">
      <formula1>"W,L"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46"/>
  <sheetViews>
    <sheetView workbookViewId="0">
      <selection activeCell="A1" sqref="A1:XFD1048576"/>
    </sheetView>
  </sheetViews>
  <sheetFormatPr baseColWidth="8" defaultColWidth="9.109375" defaultRowHeight="14.4"/>
  <cols>
    <col width="11" customWidth="1" style="54" min="1" max="1"/>
    <col width="8" customWidth="1" style="54" min="2" max="4"/>
    <col width="22" customWidth="1" style="54" min="5" max="5"/>
    <col width="17.6640625" customWidth="1" style="54" min="6" max="18"/>
    <col width="23.5546875" bestFit="1" customWidth="1" style="54" min="19" max="19"/>
    <col width="17.6640625" customWidth="1" style="54" min="20" max="21"/>
    <col width="17" customWidth="1" style="54" min="22" max="25"/>
    <col width="12" customWidth="1" style="54" min="26" max="27"/>
    <col width="10" customWidth="1" style="54" min="28" max="28"/>
    <col width="9.109375" customWidth="1" style="54" min="29" max="34"/>
    <col width="9.109375" customWidth="1" style="54" min="35" max="16384"/>
  </cols>
  <sheetData>
    <row r="1">
      <c r="A1" s="63" t="inlineStr">
        <is>
          <t>🏈 WEEK 3 — ACQL</t>
        </is>
      </c>
    </row>
    <row r="2"/>
    <row r="4">
      <c r="A4" s="5" t="inlineStr">
        <is>
          <t>Home Team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inlineStr">
        <is>
          <t>Away Team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6" t="inlineStr">
        <is>
          <t>Result / Winner →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</row>
    <row r="7">
      <c r="A7" s="8" t="inlineStr">
        <is>
          <t>Picked Home %</t>
        </is>
      </c>
      <c r="B7" s="8" t="n"/>
      <c r="C7" s="8" t="n"/>
      <c r="D7" s="8" t="n"/>
      <c r="E7" s="8" t="n"/>
      <c r="F7" s="8">
        <f>IFERROR(COUNTIF(F10:F44, F$4)/COUNTA(B10:B44),0)</f>
        <v/>
      </c>
      <c r="G7" s="8">
        <f>IFERROR(COUNTIF(G10:G44, G$4)/COUNTA(C10:C44),0)</f>
        <v/>
      </c>
      <c r="H7" s="8">
        <f>IFERROR(COUNTIF(H10:H44, H$4)/COUNTA(D10:D44),0)</f>
        <v/>
      </c>
      <c r="I7" s="8">
        <f>IFERROR(COUNTIF(I10:I44, I$4)/COUNTA(E10:E44),0)</f>
        <v/>
      </c>
      <c r="J7" s="8">
        <f>IFERROR(COUNTIF(J10:J44, J$4)/COUNTA(F10:F44),0)</f>
        <v/>
      </c>
      <c r="K7" s="8">
        <f>IFERROR(COUNTIF(K10:K44, K$4)/COUNTA(G10:G44),0)</f>
        <v/>
      </c>
      <c r="L7" s="8">
        <f>IFERROR(COUNTIF(L10:L44, L$4)/COUNTA(H10:H44),0)</f>
        <v/>
      </c>
      <c r="M7" s="8">
        <f>IFERROR(COUNTIF(M10:M44, M$4)/COUNTA(I10:I44),0)</f>
        <v/>
      </c>
      <c r="N7" s="8">
        <f>IFERROR(COUNTIF(N10:N44, N$4)/COUNTA(J10:J44),0)</f>
        <v/>
      </c>
      <c r="O7" s="8">
        <f>IFERROR(COUNTIF(O10:O44, O$4)/COUNTA(K10:K44),0)</f>
        <v/>
      </c>
      <c r="P7" s="8">
        <f>IFERROR(COUNTIF(P10:P44, P$4)/COUNTA(L10:L44),0)</f>
        <v/>
      </c>
      <c r="Q7" s="8">
        <f>IFERROR(COUNTIF(Q10:Q44, Q$4)/COUNTA(M10:M44),0)</f>
        <v/>
      </c>
      <c r="R7" s="8">
        <f>IFERROR(COUNTIF(R10:R44, R$4)/COUNTA(N10:N44),0)</f>
        <v/>
      </c>
      <c r="S7" s="8">
        <f>IFERROR(COUNTIF(S10:S44, S$4)/COUNTA(O10:O44),0)</f>
        <v/>
      </c>
      <c r="T7" s="8">
        <f>IFERROR(COUNTIF(T10:T44, T$4)/COUNTA(P10:P44),0)</f>
        <v/>
      </c>
      <c r="U7" s="8">
        <f>IFERROR(COUNTIF(U10:U44, U$4)/COUNTA(Q10:Q44),0)</f>
        <v/>
      </c>
      <c r="V7" s="7" t="n"/>
      <c r="W7" s="7" t="n"/>
      <c r="X7" s="7" t="n"/>
      <c r="Y7" s="7" t="n"/>
    </row>
    <row r="9" ht="28.8" customHeight="1" s="54">
      <c r="A9" s="9" t="inlineStr">
        <is>
          <t>Entry Fee</t>
        </is>
      </c>
      <c r="B9" s="9" t="inlineStr">
        <is>
          <t>Wins</t>
        </is>
      </c>
      <c r="C9" s="9" t="inlineStr">
        <is>
          <t>Wins</t>
        </is>
      </c>
      <c r="D9" s="9" t="inlineStr">
        <is>
          <t>Rank</t>
        </is>
      </c>
      <c r="E9" s="9" t="inlineStr">
        <is>
          <t>Player</t>
        </is>
      </c>
      <c r="F9" s="9" t="inlineStr">
        <is>
          <t>G1</t>
        </is>
      </c>
      <c r="G9" s="9" t="inlineStr">
        <is>
          <t>G2</t>
        </is>
      </c>
      <c r="H9" s="9" t="inlineStr">
        <is>
          <t>G3</t>
        </is>
      </c>
      <c r="I9" s="9" t="inlineStr">
        <is>
          <t>G4</t>
        </is>
      </c>
      <c r="J9" s="9" t="inlineStr">
        <is>
          <t>G5</t>
        </is>
      </c>
      <c r="K9" s="9" t="inlineStr">
        <is>
          <t>G6</t>
        </is>
      </c>
      <c r="L9" s="9" t="inlineStr">
        <is>
          <t>G7</t>
        </is>
      </c>
      <c r="M9" s="9" t="inlineStr">
        <is>
          <t>G8</t>
        </is>
      </c>
      <c r="N9" s="9" t="inlineStr">
        <is>
          <t>G9</t>
        </is>
      </c>
      <c r="O9" s="9" t="inlineStr">
        <is>
          <t>G10</t>
        </is>
      </c>
      <c r="P9" s="9" t="inlineStr">
        <is>
          <t>G11</t>
        </is>
      </c>
      <c r="Q9" s="9" t="inlineStr">
        <is>
          <t>G12</t>
        </is>
      </c>
      <c r="R9" s="9" t="inlineStr">
        <is>
          <t>G13</t>
        </is>
      </c>
      <c r="S9" s="9" t="inlineStr">
        <is>
          <t>G14</t>
        </is>
      </c>
      <c r="T9" s="9" t="inlineStr">
        <is>
          <t>G15</t>
        </is>
      </c>
      <c r="U9" s="9" t="inlineStr">
        <is>
          <t>G16</t>
        </is>
      </c>
      <c r="V9" s="9" t="inlineStr">
        <is>
          <t>Loser 1</t>
        </is>
      </c>
      <c r="W9" s="9" t="inlineStr">
        <is>
          <t>Loser 2</t>
        </is>
      </c>
      <c r="X9" s="9" t="inlineStr">
        <is>
          <t>Loser 3</t>
        </is>
      </c>
      <c r="Y9" s="9" t="inlineStr">
        <is>
          <t>Suicide</t>
        </is>
      </c>
      <c r="Z9" s="9" t="inlineStr">
        <is>
          <t>Home Team %</t>
        </is>
      </c>
      <c r="AA9" s="9" t="inlineStr">
        <is>
          <t>$ Owed</t>
        </is>
      </c>
      <c r="AB9" s="9" t="inlineStr">
        <is>
          <t>Games Behind</t>
        </is>
      </c>
      <c r="AC9" s="9" t="inlineStr">
        <is>
          <t>Win %</t>
        </is>
      </c>
    </row>
    <row r="10">
      <c r="A10" s="2">
        <f>IF(AD10=0,$AD$46, " ")</f>
        <v/>
      </c>
      <c r="B10">
        <f>SUM(V10:X10)+C10</f>
        <v/>
      </c>
      <c r="C10">
        <f>COUNTA(F10:U10)</f>
        <v/>
      </c>
      <c r="D10">
        <f>_xlfn.RANK.EQ(B10,$B$10:$B$44,0)</f>
        <v/>
      </c>
      <c r="V10" s="11" t="n"/>
      <c r="Y10" s="11" t="n"/>
      <c r="Z10" s="1">
        <f>IFERROR(COUNTIF(F10:U10,"W")/COUNTA(F10:U10),0)</f>
        <v/>
      </c>
      <c r="AA10">
        <f>MAX($B$10:$B$44)-B10</f>
        <v/>
      </c>
      <c r="AB10" s="1">
        <f>IFERROR(B10/16,0)</f>
        <v/>
      </c>
      <c r="AD10" s="76">
        <f>MAX($B$7:$B$141)-B10</f>
        <v/>
      </c>
    </row>
    <row r="11">
      <c r="A11" s="2">
        <f>IF(AD11=0,$AD$46, " ")</f>
        <v/>
      </c>
      <c r="B11">
        <f>SUM(V11:X11)+C11</f>
        <v/>
      </c>
      <c r="C11">
        <f>COUNTA(F11:U11)</f>
        <v/>
      </c>
      <c r="D11">
        <f>_xlfn.RANK.EQ(B11,$B$10:$B$44,0)</f>
        <v/>
      </c>
      <c r="V11" s="12" t="n"/>
      <c r="Y11" s="12" t="n"/>
      <c r="Z11" s="1">
        <f>IFERROR(COUNTIF(F11:U11,"W")/COUNTA(F11:U11),0)</f>
        <v/>
      </c>
      <c r="AA11">
        <f>MAX($B$10:$B$44)-B11</f>
        <v/>
      </c>
      <c r="AB11" s="1">
        <f>IFERROR(B11/16,0)</f>
        <v/>
      </c>
      <c r="AD11" s="76">
        <f>MAX($B$7:$B$141)-B11</f>
        <v/>
      </c>
    </row>
    <row r="12">
      <c r="A12" s="2">
        <f>IF(AD12=0,$AD$46, " ")</f>
        <v/>
      </c>
      <c r="B12">
        <f>SUM(V12:X12)+C12</f>
        <v/>
      </c>
      <c r="C12">
        <f>COUNTA(F12:U12)</f>
        <v/>
      </c>
      <c r="D12">
        <f>_xlfn.RANK.EQ(B12,$B$10:$B$44,0)</f>
        <v/>
      </c>
      <c r="V12" s="12" t="n"/>
      <c r="Y12" s="12" t="n"/>
      <c r="Z12" s="1">
        <f>IFERROR(COUNTIF(F12:U12,"W")/COUNTA(F12:U12),0)</f>
        <v/>
      </c>
      <c r="AA12">
        <f>MAX($B$10:$B$44)-B12</f>
        <v/>
      </c>
      <c r="AB12" s="1">
        <f>IFERROR(B12/16,0)</f>
        <v/>
      </c>
      <c r="AD12" s="76">
        <f>MAX($B$7:$B$141)-B12</f>
        <v/>
      </c>
    </row>
    <row r="13">
      <c r="A13" s="2">
        <f>IF(AD13=0,$AD$46, " ")</f>
        <v/>
      </c>
      <c r="B13">
        <f>SUM(V13:X13)+C13</f>
        <v/>
      </c>
      <c r="C13">
        <f>COUNTA(F13:U13)</f>
        <v/>
      </c>
      <c r="D13">
        <f>_xlfn.RANK.EQ(B13,$B$10:$B$44,0)</f>
        <v/>
      </c>
      <c r="V13" s="12" t="n"/>
      <c r="Y13" s="12" t="n"/>
      <c r="Z13" s="1">
        <f>IFERROR(COUNTIF(F13:U13,"W")/COUNTA(F13:U13),0)</f>
        <v/>
      </c>
      <c r="AA13">
        <f>MAX($B$10:$B$44)-B13</f>
        <v/>
      </c>
      <c r="AB13" s="1">
        <f>IFERROR(B13/16,0)</f>
        <v/>
      </c>
      <c r="AD13" s="76">
        <f>MAX($B$7:$B$141)-B13</f>
        <v/>
      </c>
    </row>
    <row r="14">
      <c r="A14" s="2">
        <f>IF(AD14=0,$AD$46, " ")</f>
        <v/>
      </c>
      <c r="B14">
        <f>SUM(V14:X14)+C14</f>
        <v/>
      </c>
      <c r="C14">
        <f>COUNTA(F14:U14)</f>
        <v/>
      </c>
      <c r="D14">
        <f>_xlfn.RANK.EQ(B14,$B$10:$B$44,0)</f>
        <v/>
      </c>
      <c r="V14" s="12" t="n"/>
      <c r="Y14" s="12" t="n"/>
      <c r="Z14" s="1">
        <f>IFERROR(COUNTIF(F14:U14,"W")/COUNTA(F14:U14),0)</f>
        <v/>
      </c>
      <c r="AA14">
        <f>MAX($B$10:$B$44)-B14</f>
        <v/>
      </c>
      <c r="AB14" s="1">
        <f>IFERROR(B14/16,0)</f>
        <v/>
      </c>
      <c r="AD14" s="76">
        <f>MAX($B$7:$B$141)-B14</f>
        <v/>
      </c>
    </row>
    <row r="15">
      <c r="A15" s="2">
        <f>IF(AD15=0,$AD$46, " ")</f>
        <v/>
      </c>
      <c r="B15">
        <f>SUM(V15:X15)+C15</f>
        <v/>
      </c>
      <c r="C15">
        <f>COUNTA(F15:U15)</f>
        <v/>
      </c>
      <c r="D15">
        <f>_xlfn.RANK.EQ(B15,$B$10:$B$44,0)</f>
        <v/>
      </c>
      <c r="V15" s="12" t="n"/>
      <c r="Y15" s="12" t="n"/>
      <c r="Z15" s="1">
        <f>IFERROR(COUNTIF(F15:U15,"W")/COUNTA(F15:U15),0)</f>
        <v/>
      </c>
      <c r="AA15">
        <f>MAX($B$10:$B$44)-B15</f>
        <v/>
      </c>
      <c r="AB15" s="1">
        <f>IFERROR(B15/16,0)</f>
        <v/>
      </c>
      <c r="AD15" s="76">
        <f>MAX($B$7:$B$141)-B15</f>
        <v/>
      </c>
    </row>
    <row r="16">
      <c r="A16" s="2">
        <f>IF(AD16=0,$AD$46, " ")</f>
        <v/>
      </c>
      <c r="B16">
        <f>SUM(V16:X16)+C16</f>
        <v/>
      </c>
      <c r="C16">
        <f>COUNTA(F16:U16)</f>
        <v/>
      </c>
      <c r="D16">
        <f>_xlfn.RANK.EQ(B16,$B$10:$B$44,0)</f>
        <v/>
      </c>
      <c r="V16" s="12" t="n"/>
      <c r="Y16" s="12" t="n"/>
      <c r="Z16" s="1">
        <f>IFERROR(COUNTIF(F16:U16,"W")/COUNTA(F16:U16),0)</f>
        <v/>
      </c>
      <c r="AA16">
        <f>MAX($B$10:$B$44)-B16</f>
        <v/>
      </c>
      <c r="AB16" s="1">
        <f>IFERROR(B16/16,0)</f>
        <v/>
      </c>
      <c r="AD16" s="76">
        <f>MAX($B$7:$B$141)-B16</f>
        <v/>
      </c>
    </row>
    <row r="17">
      <c r="A17" s="2">
        <f>IF(AD17=0,$AD$46, " ")</f>
        <v/>
      </c>
      <c r="B17">
        <f>SUM(V17:X17)+C17</f>
        <v/>
      </c>
      <c r="C17">
        <f>COUNTA(F17:U17)</f>
        <v/>
      </c>
      <c r="D17">
        <f>_xlfn.RANK.EQ(B17,$B$10:$B$44,0)</f>
        <v/>
      </c>
      <c r="V17" s="12" t="n"/>
      <c r="Y17" s="12" t="n"/>
      <c r="Z17" s="1">
        <f>IFERROR(COUNTIF(F17:U17,"W")/COUNTA(F17:U17),0)</f>
        <v/>
      </c>
      <c r="AA17">
        <f>MAX($B$10:$B$44)-B17</f>
        <v/>
      </c>
      <c r="AB17" s="1">
        <f>IFERROR(B17/16,0)</f>
        <v/>
      </c>
      <c r="AD17" s="76">
        <f>MAX($B$7:$B$141)-B17</f>
        <v/>
      </c>
    </row>
    <row r="18">
      <c r="A18" s="2">
        <f>IF(AD18=0,$AD$46, " ")</f>
        <v/>
      </c>
      <c r="B18">
        <f>SUM(V18:X18)+C18</f>
        <v/>
      </c>
      <c r="C18">
        <f>COUNTA(F18:U18)</f>
        <v/>
      </c>
      <c r="D18">
        <f>_xlfn.RANK.EQ(B18,$B$10:$B$44,0)</f>
        <v/>
      </c>
      <c r="V18" s="12" t="n"/>
      <c r="Y18" s="12" t="n"/>
      <c r="Z18" s="1">
        <f>IFERROR(COUNTIF(F18:U18,"W")/COUNTA(F18:U18),0)</f>
        <v/>
      </c>
      <c r="AA18">
        <f>MAX($B$10:$B$44)-B18</f>
        <v/>
      </c>
      <c r="AB18" s="1">
        <f>IFERROR(B18/16,0)</f>
        <v/>
      </c>
      <c r="AD18" s="76">
        <f>MAX($B$7:$B$141)-B18</f>
        <v/>
      </c>
    </row>
    <row r="19">
      <c r="A19" s="2">
        <f>IF(AD19=0,$AD$46, " ")</f>
        <v/>
      </c>
      <c r="B19">
        <f>SUM(V19:X19)+C19</f>
        <v/>
      </c>
      <c r="C19">
        <f>COUNTA(F19:U19)</f>
        <v/>
      </c>
      <c r="D19">
        <f>_xlfn.RANK.EQ(B19,$B$10:$B$44,0)</f>
        <v/>
      </c>
      <c r="V19" s="12" t="n"/>
      <c r="Y19" s="12" t="n"/>
      <c r="Z19" s="1">
        <f>IFERROR(COUNTIF(F19:U19,"W")/COUNTA(F19:U19),0)</f>
        <v/>
      </c>
      <c r="AA19">
        <f>MAX($B$10:$B$44)-B19</f>
        <v/>
      </c>
      <c r="AB19" s="1">
        <f>IFERROR(B19/16,0)</f>
        <v/>
      </c>
      <c r="AD19" s="76">
        <f>MAX($B$7:$B$141)-B19</f>
        <v/>
      </c>
    </row>
    <row r="20">
      <c r="A20" s="2">
        <f>IF(AD20=0,$AD$46, " ")</f>
        <v/>
      </c>
      <c r="B20">
        <f>SUM(V20:X20)+C20</f>
        <v/>
      </c>
      <c r="C20">
        <f>COUNTA(F20:U20)</f>
        <v/>
      </c>
      <c r="D20">
        <f>_xlfn.RANK.EQ(B20,$B$10:$B$44,0)</f>
        <v/>
      </c>
      <c r="V20" s="12" t="n"/>
      <c r="Y20" s="12" t="n"/>
      <c r="Z20" s="1">
        <f>IFERROR(COUNTIF(F20:U20,"W")/COUNTA(F20:U20),0)</f>
        <v/>
      </c>
      <c r="AA20">
        <f>MAX($B$10:$B$44)-B20</f>
        <v/>
      </c>
      <c r="AB20" s="1">
        <f>IFERROR(B20/16,0)</f>
        <v/>
      </c>
      <c r="AD20" s="76">
        <f>MAX($B$7:$B$141)-B20</f>
        <v/>
      </c>
    </row>
    <row r="21">
      <c r="A21" s="2">
        <f>IF(AD21=0,$AD$46, " ")</f>
        <v/>
      </c>
      <c r="B21">
        <f>SUM(V21:X21)+C21</f>
        <v/>
      </c>
      <c r="C21">
        <f>COUNTA(F21:U21)</f>
        <v/>
      </c>
      <c r="D21">
        <f>_xlfn.RANK.EQ(B21,$B$10:$B$44,0)</f>
        <v/>
      </c>
      <c r="V21" s="12" t="n"/>
      <c r="Y21" s="12" t="n"/>
      <c r="Z21" s="1">
        <f>IFERROR(COUNTIF(F21:U21,"W")/COUNTA(F21:U21),0)</f>
        <v/>
      </c>
      <c r="AA21">
        <f>MAX($B$10:$B$44)-B21</f>
        <v/>
      </c>
      <c r="AB21" s="1">
        <f>IFERROR(B21/16,0)</f>
        <v/>
      </c>
      <c r="AD21" s="76">
        <f>MAX($B$7:$B$141)-B21</f>
        <v/>
      </c>
    </row>
    <row r="22">
      <c r="A22" s="2">
        <f>IF(AD22=0,$AD$46, " ")</f>
        <v/>
      </c>
      <c r="B22">
        <f>SUM(V22:X22)+C22</f>
        <v/>
      </c>
      <c r="C22">
        <f>COUNTA(F22:U22)</f>
        <v/>
      </c>
      <c r="D22">
        <f>_xlfn.RANK.EQ(B22,$B$10:$B$44,0)</f>
        <v/>
      </c>
      <c r="V22" s="12" t="n"/>
      <c r="Y22" s="12" t="n"/>
      <c r="Z22" s="1">
        <f>IFERROR(COUNTIF(F22:U22,"W")/COUNTA(F22:U22),0)</f>
        <v/>
      </c>
      <c r="AA22">
        <f>MAX($B$10:$B$44)-B22</f>
        <v/>
      </c>
      <c r="AB22" s="1">
        <f>IFERROR(B22/16,0)</f>
        <v/>
      </c>
      <c r="AD22" s="76">
        <f>MAX($B$7:$B$141)-B22</f>
        <v/>
      </c>
    </row>
    <row r="23">
      <c r="A23" s="2">
        <f>IF(AD23=0,$AD$46, " ")</f>
        <v/>
      </c>
      <c r="B23">
        <f>SUM(V23:X23)+C23</f>
        <v/>
      </c>
      <c r="C23">
        <f>COUNTA(F23:U23)</f>
        <v/>
      </c>
      <c r="D23">
        <f>_xlfn.RANK.EQ(B23,$B$10:$B$44,0)</f>
        <v/>
      </c>
      <c r="V23" s="12" t="n"/>
      <c r="Y23" s="12" t="n"/>
      <c r="Z23" s="1">
        <f>IFERROR(COUNTIF(F23:U23,"W")/COUNTA(F23:U23),0)</f>
        <v/>
      </c>
      <c r="AA23">
        <f>MAX($B$10:$B$44)-B23</f>
        <v/>
      </c>
      <c r="AB23" s="1">
        <f>IFERROR(B23/16,0)</f>
        <v/>
      </c>
      <c r="AD23" s="76">
        <f>MAX($B$7:$B$141)-B23</f>
        <v/>
      </c>
    </row>
    <row r="24">
      <c r="A24" s="2">
        <f>IF(AD24=0,$AD$46, " ")</f>
        <v/>
      </c>
      <c r="B24">
        <f>SUM(V24:X24)+C24</f>
        <v/>
      </c>
      <c r="C24">
        <f>COUNTA(F24:U24)</f>
        <v/>
      </c>
      <c r="D24">
        <f>_xlfn.RANK.EQ(B24,$B$10:$B$44,0)</f>
        <v/>
      </c>
      <c r="V24" s="12" t="n"/>
      <c r="Y24" s="12" t="n"/>
      <c r="Z24" s="1">
        <f>IFERROR(COUNTIF(F24:U24,"W")/COUNTA(F24:U24),0)</f>
        <v/>
      </c>
      <c r="AA24">
        <f>MAX($B$10:$B$44)-B24</f>
        <v/>
      </c>
      <c r="AB24" s="1">
        <f>IFERROR(B24/16,0)</f>
        <v/>
      </c>
      <c r="AD24" s="76">
        <f>MAX($B$7:$B$141)-B24</f>
        <v/>
      </c>
    </row>
    <row r="25">
      <c r="A25" s="2">
        <f>IF(AD25=0,$AD$46, " ")</f>
        <v/>
      </c>
      <c r="B25">
        <f>SUM(V25:X25)+C25</f>
        <v/>
      </c>
      <c r="C25">
        <f>COUNTA(F25:U25)</f>
        <v/>
      </c>
      <c r="D25">
        <f>_xlfn.RANK.EQ(B25,$B$10:$B$44,0)</f>
        <v/>
      </c>
      <c r="V25" s="12" t="n"/>
      <c r="Y25" s="12" t="n"/>
      <c r="Z25" s="1">
        <f>IFERROR(COUNTIF(F25:U25,"W")/COUNTA(F25:U25),0)</f>
        <v/>
      </c>
      <c r="AA25">
        <f>MAX($B$10:$B$44)-B25</f>
        <v/>
      </c>
      <c r="AB25" s="1">
        <f>IFERROR(B25/16,0)</f>
        <v/>
      </c>
      <c r="AD25" s="76">
        <f>MAX($B$7:$B$141)-B25</f>
        <v/>
      </c>
    </row>
    <row r="26">
      <c r="A26" s="2">
        <f>IF(AD26=0,$AD$46, " ")</f>
        <v/>
      </c>
      <c r="B26">
        <f>SUM(V26:X26)+C26</f>
        <v/>
      </c>
      <c r="C26">
        <f>COUNTA(F26:U26)</f>
        <v/>
      </c>
      <c r="D26">
        <f>_xlfn.RANK.EQ(B26,$B$10:$B$44,0)</f>
        <v/>
      </c>
      <c r="V26" s="12" t="n"/>
      <c r="Y26" s="12" t="n"/>
      <c r="Z26" s="1">
        <f>IFERROR(COUNTIF(F26:U26,"W")/COUNTA(F26:U26),0)</f>
        <v/>
      </c>
      <c r="AA26">
        <f>MAX($B$10:$B$44)-B26</f>
        <v/>
      </c>
      <c r="AB26" s="1">
        <f>IFERROR(B26/16,0)</f>
        <v/>
      </c>
      <c r="AD26" s="76">
        <f>MAX($B$7:$B$141)-B26</f>
        <v/>
      </c>
    </row>
    <row r="27">
      <c r="A27" s="2">
        <f>IF(AD27=0,$AD$46, " ")</f>
        <v/>
      </c>
      <c r="B27">
        <f>SUM(V27:X27)+C27</f>
        <v/>
      </c>
      <c r="C27">
        <f>COUNTA(F27:U27)</f>
        <v/>
      </c>
      <c r="D27">
        <f>_xlfn.RANK.EQ(B27,$B$10:$B$44,0)</f>
        <v/>
      </c>
      <c r="V27" s="12" t="n"/>
      <c r="Y27" s="12" t="n"/>
      <c r="Z27" s="1">
        <f>IFERROR(COUNTIF(F27:U27,"W")/COUNTA(F27:U27),0)</f>
        <v/>
      </c>
      <c r="AA27">
        <f>MAX($B$10:$B$44)-B27</f>
        <v/>
      </c>
      <c r="AB27" s="1">
        <f>IFERROR(B27/16,0)</f>
        <v/>
      </c>
      <c r="AD27" s="76">
        <f>MAX($B$7:$B$141)-B27</f>
        <v/>
      </c>
    </row>
    <row r="28">
      <c r="A28" s="2">
        <f>IF(AD28=0,$AD$46, " ")</f>
        <v/>
      </c>
      <c r="B28">
        <f>SUM(V28:X28)+C28</f>
        <v/>
      </c>
      <c r="C28">
        <f>COUNTA(F28:U28)</f>
        <v/>
      </c>
      <c r="D28">
        <f>_xlfn.RANK.EQ(B28,$B$10:$B$44,0)</f>
        <v/>
      </c>
      <c r="V28" s="12" t="n"/>
      <c r="Y28" s="12" t="n"/>
      <c r="Z28" s="1">
        <f>IFERROR(COUNTIF(F28:U28,"W")/COUNTA(F28:U28),0)</f>
        <v/>
      </c>
      <c r="AA28">
        <f>MAX($B$10:$B$44)-B28</f>
        <v/>
      </c>
      <c r="AB28" s="1">
        <f>IFERROR(B28/16,0)</f>
        <v/>
      </c>
      <c r="AD28" s="76">
        <f>MAX($B$7:$B$141)-B28</f>
        <v/>
      </c>
    </row>
    <row r="29">
      <c r="A29" s="2">
        <f>IF(AD29=0,$AD$46, " ")</f>
        <v/>
      </c>
      <c r="B29">
        <f>SUM(V29:X29)+C29</f>
        <v/>
      </c>
      <c r="C29">
        <f>COUNTA(F29:U29)</f>
        <v/>
      </c>
      <c r="D29">
        <f>_xlfn.RANK.EQ(B29,$B$10:$B$44,0)</f>
        <v/>
      </c>
      <c r="V29" s="12" t="n"/>
      <c r="Y29" s="12" t="n"/>
      <c r="Z29" s="1">
        <f>IFERROR(COUNTIF(F29:U29,"W")/COUNTA(F29:U29),0)</f>
        <v/>
      </c>
      <c r="AA29">
        <f>MAX($B$10:$B$44)-B29</f>
        <v/>
      </c>
      <c r="AB29" s="1">
        <f>IFERROR(B29/16,0)</f>
        <v/>
      </c>
      <c r="AD29" s="76">
        <f>MAX($B$7:$B$141)-B29</f>
        <v/>
      </c>
    </row>
    <row r="30">
      <c r="A30" s="2">
        <f>IF(AD30=0,$AD$46, " ")</f>
        <v/>
      </c>
      <c r="B30">
        <f>SUM(V30:X30)+C30</f>
        <v/>
      </c>
      <c r="C30">
        <f>COUNTA(F30:U30)</f>
        <v/>
      </c>
      <c r="D30">
        <f>_xlfn.RANK.EQ(B30,$B$10:$B$44,0)</f>
        <v/>
      </c>
      <c r="V30" s="12" t="n"/>
      <c r="Y30" s="12" t="n"/>
      <c r="Z30" s="1">
        <f>IFERROR(COUNTIF(F30:U30,"W")/COUNTA(F30:U30),0)</f>
        <v/>
      </c>
      <c r="AA30">
        <f>MAX($B$10:$B$44)-B30</f>
        <v/>
      </c>
      <c r="AB30" s="1">
        <f>IFERROR(B30/16,0)</f>
        <v/>
      </c>
      <c r="AD30" s="76">
        <f>MAX($B$7:$B$141)-B30</f>
        <v/>
      </c>
    </row>
    <row r="31">
      <c r="A31" s="2">
        <f>IF(AD31=0,$AD$46, " ")</f>
        <v/>
      </c>
      <c r="B31">
        <f>SUM(V31:X31)+C31</f>
        <v/>
      </c>
      <c r="C31">
        <f>COUNTA(F31:U31)</f>
        <v/>
      </c>
      <c r="D31">
        <f>_xlfn.RANK.EQ(B31,$B$10:$B$44,0)</f>
        <v/>
      </c>
      <c r="V31" s="12" t="n"/>
      <c r="Y31" s="12" t="n"/>
      <c r="Z31" s="1">
        <f>IFERROR(COUNTIF(F31:U31,"W")/COUNTA(F31:U31),0)</f>
        <v/>
      </c>
      <c r="AA31">
        <f>MAX($B$10:$B$44)-B31</f>
        <v/>
      </c>
      <c r="AB31" s="1">
        <f>IFERROR(B31/16,0)</f>
        <v/>
      </c>
      <c r="AD31" s="76">
        <f>MAX($B$7:$B$141)-B31</f>
        <v/>
      </c>
    </row>
    <row r="32">
      <c r="A32" s="2">
        <f>IF(AD32=0,$AD$46, " ")</f>
        <v/>
      </c>
      <c r="B32">
        <f>SUM(V32:X32)+C32</f>
        <v/>
      </c>
      <c r="C32">
        <f>COUNTA(F32:U32)</f>
        <v/>
      </c>
      <c r="D32">
        <f>_xlfn.RANK.EQ(B32,$B$10:$B$44,0)</f>
        <v/>
      </c>
      <c r="V32" s="12" t="n"/>
      <c r="Y32" s="12" t="n"/>
      <c r="Z32" s="1">
        <f>IFERROR(COUNTIF(F32:U32,"W")/COUNTA(F32:U32),0)</f>
        <v/>
      </c>
      <c r="AA32">
        <f>MAX($B$10:$B$44)-B32</f>
        <v/>
      </c>
      <c r="AB32" s="1">
        <f>IFERROR(B32/16,0)</f>
        <v/>
      </c>
      <c r="AD32" s="76">
        <f>MAX($B$7:$B$141)-B32</f>
        <v/>
      </c>
    </row>
    <row r="33">
      <c r="A33" s="2">
        <f>IF(AD33=0,$AD$46, " ")</f>
        <v/>
      </c>
      <c r="B33">
        <f>SUM(V33:X33)+C33</f>
        <v/>
      </c>
      <c r="C33">
        <f>COUNTA(F33:U33)</f>
        <v/>
      </c>
      <c r="D33">
        <f>_xlfn.RANK.EQ(B33,$B$10:$B$44,0)</f>
        <v/>
      </c>
      <c r="V33" s="12" t="n"/>
      <c r="Y33" s="12" t="n"/>
      <c r="Z33" s="1">
        <f>IFERROR(COUNTIF(F33:U33,"W")/COUNTA(F33:U33),0)</f>
        <v/>
      </c>
      <c r="AA33">
        <f>MAX($B$10:$B$44)-B33</f>
        <v/>
      </c>
      <c r="AB33" s="1">
        <f>IFERROR(B33/16,0)</f>
        <v/>
      </c>
      <c r="AD33" s="76">
        <f>MAX($B$7:$B$141)-B33</f>
        <v/>
      </c>
    </row>
    <row r="34">
      <c r="A34" s="2">
        <f>IF(AD34=0,$AD$46, " ")</f>
        <v/>
      </c>
      <c r="B34">
        <f>SUM(V34:X34)+C34</f>
        <v/>
      </c>
      <c r="C34">
        <f>COUNTA(F34:U34)</f>
        <v/>
      </c>
      <c r="D34">
        <f>_xlfn.RANK.EQ(B34,$B$10:$B$44,0)</f>
        <v/>
      </c>
      <c r="V34" s="12" t="n"/>
      <c r="Y34" s="12" t="n"/>
      <c r="Z34" s="1">
        <f>IFERROR(COUNTIF(F34:U34,"W")/COUNTA(F34:U34),0)</f>
        <v/>
      </c>
      <c r="AA34">
        <f>MAX($B$10:$B$44)-B34</f>
        <v/>
      </c>
      <c r="AB34" s="1">
        <f>IFERROR(B34/16,0)</f>
        <v/>
      </c>
      <c r="AD34" s="76">
        <f>MAX($B$7:$B$141)-B34</f>
        <v/>
      </c>
    </row>
    <row r="35">
      <c r="A35" s="2">
        <f>IF(AD35=0,$AD$46, " ")</f>
        <v/>
      </c>
      <c r="B35">
        <f>SUM(V35:X35)+C35</f>
        <v/>
      </c>
      <c r="C35">
        <f>COUNTA(F35:U35)</f>
        <v/>
      </c>
      <c r="D35">
        <f>_xlfn.RANK.EQ(B35,$B$10:$B$44,0)</f>
        <v/>
      </c>
      <c r="V35" s="12" t="n"/>
      <c r="Y35" s="12" t="n"/>
      <c r="Z35" s="1">
        <f>IFERROR(COUNTIF(F35:U35,"W")/COUNTA(F35:U35),0)</f>
        <v/>
      </c>
      <c r="AA35">
        <f>MAX($B$10:$B$44)-B35</f>
        <v/>
      </c>
      <c r="AB35" s="1">
        <f>IFERROR(B35/16,0)</f>
        <v/>
      </c>
      <c r="AD35" s="76">
        <f>MAX($B$7:$B$141)-B35</f>
        <v/>
      </c>
    </row>
    <row r="36">
      <c r="A36" s="2">
        <f>IF(AD36=0,$AD$46, " ")</f>
        <v/>
      </c>
      <c r="B36">
        <f>SUM(V36:X36)+C36</f>
        <v/>
      </c>
      <c r="C36">
        <f>COUNTA(F36:U36)</f>
        <v/>
      </c>
      <c r="D36">
        <f>_xlfn.RANK.EQ(B36,$B$10:$B$44,0)</f>
        <v/>
      </c>
      <c r="V36" s="12" t="n"/>
      <c r="Y36" s="12" t="n"/>
      <c r="Z36" s="1">
        <f>IFERROR(COUNTIF(F36:U36,"W")/COUNTA(F36:U36),0)</f>
        <v/>
      </c>
      <c r="AA36">
        <f>MAX($B$10:$B$44)-B36</f>
        <v/>
      </c>
      <c r="AB36" s="1">
        <f>IFERROR(B36/16,0)</f>
        <v/>
      </c>
      <c r="AD36" s="76">
        <f>MAX($B$7:$B$141)-B36</f>
        <v/>
      </c>
    </row>
    <row r="37">
      <c r="A37" s="2">
        <f>IF(AD37=0,$AD$46, " ")</f>
        <v/>
      </c>
      <c r="B37">
        <f>SUM(V37:X37)+C37</f>
        <v/>
      </c>
      <c r="C37">
        <f>COUNTA(F37:U37)</f>
        <v/>
      </c>
      <c r="D37">
        <f>_xlfn.RANK.EQ(B37,$B$10:$B$44,0)</f>
        <v/>
      </c>
      <c r="V37" s="12" t="n"/>
      <c r="Y37" s="12" t="n"/>
      <c r="Z37" s="1">
        <f>IFERROR(COUNTIF(F37:U37,"W")/COUNTA(F37:U37),0)</f>
        <v/>
      </c>
      <c r="AA37">
        <f>MAX($B$10:$B$44)-B37</f>
        <v/>
      </c>
      <c r="AB37" s="1">
        <f>IFERROR(B37/16,0)</f>
        <v/>
      </c>
      <c r="AD37" s="76">
        <f>MAX($B$7:$B$141)-B37</f>
        <v/>
      </c>
    </row>
    <row r="38">
      <c r="A38" s="2">
        <f>IF(AD38=0,$AD$46, " ")</f>
        <v/>
      </c>
      <c r="B38">
        <f>SUM(V38:X38)+C38</f>
        <v/>
      </c>
      <c r="C38">
        <f>COUNTA(F38:U38)</f>
        <v/>
      </c>
      <c r="D38">
        <f>_xlfn.RANK.EQ(B38,$B$10:$B$44,0)</f>
        <v/>
      </c>
      <c r="V38" s="12" t="n"/>
      <c r="Y38" s="12" t="n"/>
      <c r="Z38" s="1">
        <f>IFERROR(COUNTIF(F38:U38,"W")/COUNTA(F38:U38),0)</f>
        <v/>
      </c>
      <c r="AA38">
        <f>MAX($B$10:$B$44)-B38</f>
        <v/>
      </c>
      <c r="AB38" s="1">
        <f>IFERROR(B38/16,0)</f>
        <v/>
      </c>
      <c r="AD38" s="76">
        <f>MAX($B$7:$B$141)-B38</f>
        <v/>
      </c>
    </row>
    <row r="39">
      <c r="A39" s="2">
        <f>IF(AD39=0,$AD$46, " ")</f>
        <v/>
      </c>
      <c r="B39">
        <f>SUM(V39:X39)+C39</f>
        <v/>
      </c>
      <c r="C39">
        <f>COUNTA(F39:U39)</f>
        <v/>
      </c>
      <c r="D39">
        <f>_xlfn.RANK.EQ(B39,$B$10:$B$44,0)</f>
        <v/>
      </c>
      <c r="V39" s="12" t="n"/>
      <c r="Y39" s="12" t="n"/>
      <c r="Z39" s="1">
        <f>IFERROR(COUNTIF(F39:U39,"W")/COUNTA(F39:U39),0)</f>
        <v/>
      </c>
      <c r="AA39">
        <f>MAX($B$10:$B$44)-B39</f>
        <v/>
      </c>
      <c r="AB39" s="1">
        <f>IFERROR(B39/16,0)</f>
        <v/>
      </c>
      <c r="AD39" s="76">
        <f>MAX($B$7:$B$141)-B39</f>
        <v/>
      </c>
    </row>
    <row r="40">
      <c r="A40" s="2">
        <f>IF(AD40=0,$AD$46, " ")</f>
        <v/>
      </c>
      <c r="B40">
        <f>SUM(V40:X40)+C40</f>
        <v/>
      </c>
      <c r="C40">
        <f>COUNTA(F40:U40)</f>
        <v/>
      </c>
      <c r="D40">
        <f>_xlfn.RANK.EQ(B40,$B$10:$B$44,0)</f>
        <v/>
      </c>
      <c r="V40" s="12" t="n"/>
      <c r="Y40" s="12" t="n"/>
      <c r="Z40" s="1">
        <f>IFERROR(COUNTIF(F40:U40,"W")/COUNTA(F40:U40),0)</f>
        <v/>
      </c>
      <c r="AA40">
        <f>MAX($B$10:$B$44)-B40</f>
        <v/>
      </c>
      <c r="AB40" s="1">
        <f>IFERROR(B40/16,0)</f>
        <v/>
      </c>
      <c r="AD40" s="76">
        <f>MAX($B$7:$B$141)-B40</f>
        <v/>
      </c>
    </row>
    <row r="41">
      <c r="A41" s="2">
        <f>IF(AD41=0,$AD$46, " ")</f>
        <v/>
      </c>
      <c r="B41">
        <f>SUM(V41:X41)+C41</f>
        <v/>
      </c>
      <c r="C41">
        <f>COUNTA(F41:U41)</f>
        <v/>
      </c>
      <c r="D41">
        <f>_xlfn.RANK.EQ(B41,$B$10:$B$44,0)</f>
        <v/>
      </c>
      <c r="V41" s="12" t="n"/>
      <c r="Y41" s="12" t="n"/>
      <c r="Z41" s="1">
        <f>IFERROR(COUNTIF(F41:U41,"W")/COUNTA(F41:U41),0)</f>
        <v/>
      </c>
      <c r="AA41">
        <f>MAX($B$10:$B$44)-B41</f>
        <v/>
      </c>
      <c r="AB41" s="1">
        <f>IFERROR(B41/16,0)</f>
        <v/>
      </c>
      <c r="AD41" s="76">
        <f>MAX($B$7:$B$141)-B41</f>
        <v/>
      </c>
    </row>
    <row r="42">
      <c r="A42" s="2">
        <f>IF(AD42=0,$AD$46, " ")</f>
        <v/>
      </c>
      <c r="B42">
        <f>SUM(V42:X42)+C42</f>
        <v/>
      </c>
      <c r="C42">
        <f>COUNTA(F42:U42)</f>
        <v/>
      </c>
      <c r="D42">
        <f>_xlfn.RANK.EQ(B42,$B$10:$B$44,0)</f>
        <v/>
      </c>
      <c r="V42" s="12" t="n"/>
      <c r="Y42" s="12" t="n"/>
      <c r="Z42" s="1">
        <f>IFERROR(COUNTIF(F42:U42,"W")/COUNTA(F42:U42),0)</f>
        <v/>
      </c>
      <c r="AA42">
        <f>MAX($B$10:$B$44)-B42</f>
        <v/>
      </c>
      <c r="AB42" s="1">
        <f>IFERROR(B42/16,0)</f>
        <v/>
      </c>
      <c r="AD42" s="76">
        <f>MAX($B$7:$B$141)-B42</f>
        <v/>
      </c>
    </row>
    <row r="43">
      <c r="A43" s="2">
        <f>IF(AD43=0,$AD$46, " ")</f>
        <v/>
      </c>
      <c r="B43">
        <f>SUM(V43:X43)+C43</f>
        <v/>
      </c>
      <c r="C43">
        <f>COUNTA(F43:U43)</f>
        <v/>
      </c>
      <c r="D43">
        <f>_xlfn.RANK.EQ(B43,$B$10:$B$44,0)</f>
        <v/>
      </c>
      <c r="V43" s="12" t="n"/>
      <c r="Y43" s="12" t="n"/>
      <c r="Z43" s="1">
        <f>IFERROR(COUNTIF(F43:U43,"W")/COUNTA(F43:U43),0)</f>
        <v/>
      </c>
      <c r="AA43">
        <f>MAX($B$10:$B$44)-B43</f>
        <v/>
      </c>
      <c r="AB43" s="1">
        <f>IFERROR(B43/16,0)</f>
        <v/>
      </c>
      <c r="AD43" s="76">
        <f>MAX($B$7:$B$141)-B43</f>
        <v/>
      </c>
    </row>
    <row r="44">
      <c r="A44" s="2">
        <f>IF(AD44=0,$AD$46, " ")</f>
        <v/>
      </c>
      <c r="B44">
        <f>SUM(V44:X44)+C44</f>
        <v/>
      </c>
      <c r="C44">
        <f>COUNTA(F44:U44)</f>
        <v/>
      </c>
      <c r="D44">
        <f>_xlfn.RANK.EQ(B44,$B$10:$B$44,0)</f>
        <v/>
      </c>
      <c r="V44" s="12" t="n"/>
      <c r="Y44" s="12" t="n"/>
      <c r="Z44" s="1">
        <f>IFERROR(COUNTIF(F44:U44,"W")/COUNTA(F44:U44),0)</f>
        <v/>
      </c>
      <c r="AA44">
        <f>MAX($B$10:$B$44)-B44</f>
        <v/>
      </c>
      <c r="AB44" s="1">
        <f>IFERROR(B44/16,0)</f>
        <v/>
      </c>
      <c r="AD44" s="76">
        <f>MAX($B$7:$B$141)-B44</f>
        <v/>
      </c>
    </row>
    <row r="45">
      <c r="AD45" s="10">
        <f>COUNTIF(AD10:AD44,0)</f>
        <v/>
      </c>
    </row>
    <row r="46">
      <c r="AD46" s="76">
        <f>SUM(AD10:AD44)/AD45</f>
        <v/>
      </c>
    </row>
  </sheetData>
  <mergeCells count="1">
    <mergeCell ref="A1:Y2"/>
  </mergeCells>
  <conditionalFormatting sqref="B10:B4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:D4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0:U44">
    <cfRule type="cellIs" priority="4" operator="equal" dxfId="2">
      <formula>"W"</formula>
    </cfRule>
    <cfRule type="cellIs" priority="5" operator="equal" dxfId="1">
      <formula>"L"</formula>
    </cfRule>
  </conditionalFormatting>
  <conditionalFormatting sqref="AD10:AD46">
    <cfRule type="cellIs" priority="1" operator="equal" dxfId="0" stopIfTrue="1">
      <formula>0</formula>
    </cfRule>
  </conditionalFormatting>
  <dataValidations count="2">
    <dataValidation sqref="F6:U6" showDropDown="0" showInputMessage="0" showErrorMessage="0" allowBlank="1" type="list">
      <formula1>"Seattle,Los Angeles Rams,Cincinnati,Detroit,Tennessee,Indianapolis,Pittsburgh,Carolina,Jacksonville,Houston,Las Vegas,Minnesota,Philadelphia,Los Angeles Chargers,New York Giants,Kansas City"</formula1>
    </dataValidation>
    <dataValidation sqref="F10:U44" showDropDown="0" showInputMessage="0" showErrorMessage="0" allowBlank="1" type="list">
      <formula1>"W,L"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46"/>
  <sheetViews>
    <sheetView workbookViewId="0">
      <selection activeCell="A1" sqref="A1:XFD1048576"/>
    </sheetView>
  </sheetViews>
  <sheetFormatPr baseColWidth="8" defaultColWidth="9.109375" defaultRowHeight="14.4"/>
  <cols>
    <col width="11" customWidth="1" style="54" min="1" max="1"/>
    <col width="8" customWidth="1" style="54" min="2" max="4"/>
    <col width="22" customWidth="1" style="54" min="5" max="5"/>
    <col width="17.6640625" customWidth="1" style="54" min="6" max="18"/>
    <col width="23.5546875" bestFit="1" customWidth="1" style="54" min="19" max="19"/>
    <col width="17.6640625" customWidth="1" style="54" min="20" max="21"/>
    <col width="17" customWidth="1" style="54" min="22" max="25"/>
    <col width="12" customWidth="1" style="54" min="26" max="27"/>
    <col width="10" customWidth="1" style="54" min="28" max="28"/>
    <col width="9.109375" customWidth="1" style="54" min="29" max="34"/>
    <col width="9.109375" customWidth="1" style="54" min="35" max="16384"/>
  </cols>
  <sheetData>
    <row r="1">
      <c r="A1" s="63" t="inlineStr">
        <is>
          <t>🏈 WEEK 3 — ACQL</t>
        </is>
      </c>
    </row>
    <row r="2"/>
    <row r="4">
      <c r="A4" s="5" t="inlineStr">
        <is>
          <t>Home Team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inlineStr">
        <is>
          <t>Away Team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6" t="inlineStr">
        <is>
          <t>Result / Winner →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</row>
    <row r="7">
      <c r="A7" s="8" t="inlineStr">
        <is>
          <t>Picked Home %</t>
        </is>
      </c>
      <c r="B7" s="8" t="n"/>
      <c r="C7" s="8" t="n"/>
      <c r="D7" s="8" t="n"/>
      <c r="E7" s="8" t="n"/>
      <c r="F7" s="8">
        <f>IFERROR(COUNTIF(F10:F44, F$4)/COUNTA(B10:B44),0)</f>
        <v/>
      </c>
      <c r="G7" s="8">
        <f>IFERROR(COUNTIF(G10:G44, G$4)/COUNTA(C10:C44),0)</f>
        <v/>
      </c>
      <c r="H7" s="8">
        <f>IFERROR(COUNTIF(H10:H44, H$4)/COUNTA(D10:D44),0)</f>
        <v/>
      </c>
      <c r="I7" s="8">
        <f>IFERROR(COUNTIF(I10:I44, I$4)/COUNTA(E10:E44),0)</f>
        <v/>
      </c>
      <c r="J7" s="8">
        <f>IFERROR(COUNTIF(J10:J44, J$4)/COUNTA(F10:F44),0)</f>
        <v/>
      </c>
      <c r="K7" s="8">
        <f>IFERROR(COUNTIF(K10:K44, K$4)/COUNTA(G10:G44),0)</f>
        <v/>
      </c>
      <c r="L7" s="8">
        <f>IFERROR(COUNTIF(L10:L44, L$4)/COUNTA(H10:H44),0)</f>
        <v/>
      </c>
      <c r="M7" s="8">
        <f>IFERROR(COUNTIF(M10:M44, M$4)/COUNTA(I10:I44),0)</f>
        <v/>
      </c>
      <c r="N7" s="8">
        <f>IFERROR(COUNTIF(N10:N44, N$4)/COUNTA(J10:J44),0)</f>
        <v/>
      </c>
      <c r="O7" s="8">
        <f>IFERROR(COUNTIF(O10:O44, O$4)/COUNTA(K10:K44),0)</f>
        <v/>
      </c>
      <c r="P7" s="8">
        <f>IFERROR(COUNTIF(P10:P44, P$4)/COUNTA(L10:L44),0)</f>
        <v/>
      </c>
      <c r="Q7" s="8">
        <f>IFERROR(COUNTIF(Q10:Q44, Q$4)/COUNTA(M10:M44),0)</f>
        <v/>
      </c>
      <c r="R7" s="8">
        <f>IFERROR(COUNTIF(R10:R44, R$4)/COUNTA(N10:N44),0)</f>
        <v/>
      </c>
      <c r="S7" s="8">
        <f>IFERROR(COUNTIF(S10:S44, S$4)/COUNTA(O10:O44),0)</f>
        <v/>
      </c>
      <c r="T7" s="8">
        <f>IFERROR(COUNTIF(T10:T44, T$4)/COUNTA(P10:P44),0)</f>
        <v/>
      </c>
      <c r="U7" s="8">
        <f>IFERROR(COUNTIF(U10:U44, U$4)/COUNTA(Q10:Q44),0)</f>
        <v/>
      </c>
      <c r="V7" s="7" t="n"/>
      <c r="W7" s="7" t="n"/>
      <c r="X7" s="7" t="n"/>
      <c r="Y7" s="7" t="n"/>
    </row>
    <row r="9" ht="28.8" customHeight="1" s="54">
      <c r="A9" s="9" t="inlineStr">
        <is>
          <t>Entry Fee</t>
        </is>
      </c>
      <c r="B9" s="9" t="inlineStr">
        <is>
          <t>Wins</t>
        </is>
      </c>
      <c r="C9" s="9" t="inlineStr">
        <is>
          <t>Wins</t>
        </is>
      </c>
      <c r="D9" s="9" t="inlineStr">
        <is>
          <t>Rank</t>
        </is>
      </c>
      <c r="E9" s="9" t="inlineStr">
        <is>
          <t>Player</t>
        </is>
      </c>
      <c r="F9" s="9" t="inlineStr">
        <is>
          <t>G1</t>
        </is>
      </c>
      <c r="G9" s="9" t="inlineStr">
        <is>
          <t>G2</t>
        </is>
      </c>
      <c r="H9" s="9" t="inlineStr">
        <is>
          <t>G3</t>
        </is>
      </c>
      <c r="I9" s="9" t="inlineStr">
        <is>
          <t>G4</t>
        </is>
      </c>
      <c r="J9" s="9" t="inlineStr">
        <is>
          <t>G5</t>
        </is>
      </c>
      <c r="K9" s="9" t="inlineStr">
        <is>
          <t>G6</t>
        </is>
      </c>
      <c r="L9" s="9" t="inlineStr">
        <is>
          <t>G7</t>
        </is>
      </c>
      <c r="M9" s="9" t="inlineStr">
        <is>
          <t>G8</t>
        </is>
      </c>
      <c r="N9" s="9" t="inlineStr">
        <is>
          <t>G9</t>
        </is>
      </c>
      <c r="O9" s="9" t="inlineStr">
        <is>
          <t>G10</t>
        </is>
      </c>
      <c r="P9" s="9" t="inlineStr">
        <is>
          <t>G11</t>
        </is>
      </c>
      <c r="Q9" s="9" t="inlineStr">
        <is>
          <t>G12</t>
        </is>
      </c>
      <c r="R9" s="9" t="inlineStr">
        <is>
          <t>G13</t>
        </is>
      </c>
      <c r="S9" s="9" t="inlineStr">
        <is>
          <t>G14</t>
        </is>
      </c>
      <c r="T9" s="9" t="inlineStr">
        <is>
          <t>G15</t>
        </is>
      </c>
      <c r="U9" s="9" t="inlineStr">
        <is>
          <t>G16</t>
        </is>
      </c>
      <c r="V9" s="9" t="inlineStr">
        <is>
          <t>Loser 1</t>
        </is>
      </c>
      <c r="W9" s="9" t="inlineStr">
        <is>
          <t>Loser 2</t>
        </is>
      </c>
      <c r="X9" s="9" t="inlineStr">
        <is>
          <t>Loser 3</t>
        </is>
      </c>
      <c r="Y9" s="9" t="inlineStr">
        <is>
          <t>Suicide</t>
        </is>
      </c>
      <c r="Z9" s="9" t="inlineStr">
        <is>
          <t>Home Team %</t>
        </is>
      </c>
      <c r="AA9" s="9" t="inlineStr">
        <is>
          <t>$ Owed</t>
        </is>
      </c>
      <c r="AB9" s="9" t="inlineStr">
        <is>
          <t>Games Behind</t>
        </is>
      </c>
      <c r="AC9" s="9" t="inlineStr">
        <is>
          <t>Win %</t>
        </is>
      </c>
    </row>
    <row r="10">
      <c r="A10" s="2">
        <f>IF(AD10=0,$AD$46, " ")</f>
        <v/>
      </c>
      <c r="B10">
        <f>SUM(V10:X10)+C10</f>
        <v/>
      </c>
      <c r="C10">
        <f>COUNTA(F10:U10)</f>
        <v/>
      </c>
      <c r="D10">
        <f>_xlfn.RANK.EQ(B10,$B$10:$B$44,0)</f>
        <v/>
      </c>
      <c r="V10" s="11" t="n"/>
      <c r="Y10" s="11" t="n"/>
      <c r="Z10" s="1">
        <f>IFERROR(COUNTIF(F10:U10,"W")/COUNTA(F10:U10),0)</f>
        <v/>
      </c>
      <c r="AA10">
        <f>MAX($B$10:$B$44)-B10</f>
        <v/>
      </c>
      <c r="AB10" s="1">
        <f>IFERROR(B10/16,0)</f>
        <v/>
      </c>
      <c r="AD10" s="76">
        <f>MAX($B$7:$B$141)-B10</f>
        <v/>
      </c>
    </row>
    <row r="11">
      <c r="A11" s="2">
        <f>IF(AD11=0,$AD$46, " ")</f>
        <v/>
      </c>
      <c r="B11">
        <f>SUM(V11:X11)+C11</f>
        <v/>
      </c>
      <c r="C11">
        <f>COUNTA(F11:U11)</f>
        <v/>
      </c>
      <c r="D11">
        <f>_xlfn.RANK.EQ(B11,$B$10:$B$44,0)</f>
        <v/>
      </c>
      <c r="V11" s="12" t="n"/>
      <c r="Y11" s="12" t="n"/>
      <c r="Z11" s="1">
        <f>IFERROR(COUNTIF(F11:U11,"W")/COUNTA(F11:U11),0)</f>
        <v/>
      </c>
      <c r="AA11">
        <f>MAX($B$10:$B$44)-B11</f>
        <v/>
      </c>
      <c r="AB11" s="1">
        <f>IFERROR(B11/16,0)</f>
        <v/>
      </c>
      <c r="AD11" s="76">
        <f>MAX($B$7:$B$141)-B11</f>
        <v/>
      </c>
    </row>
    <row r="12">
      <c r="A12" s="2">
        <f>IF(AD12=0,$AD$46, " ")</f>
        <v/>
      </c>
      <c r="B12">
        <f>SUM(V12:X12)+C12</f>
        <v/>
      </c>
      <c r="C12">
        <f>COUNTA(F12:U12)</f>
        <v/>
      </c>
      <c r="D12">
        <f>_xlfn.RANK.EQ(B12,$B$10:$B$44,0)</f>
        <v/>
      </c>
      <c r="V12" s="12" t="n"/>
      <c r="Y12" s="12" t="n"/>
      <c r="Z12" s="1">
        <f>IFERROR(COUNTIF(F12:U12,"W")/COUNTA(F12:U12),0)</f>
        <v/>
      </c>
      <c r="AA12">
        <f>MAX($B$10:$B$44)-B12</f>
        <v/>
      </c>
      <c r="AB12" s="1">
        <f>IFERROR(B12/16,0)</f>
        <v/>
      </c>
      <c r="AD12" s="76">
        <f>MAX($B$7:$B$141)-B12</f>
        <v/>
      </c>
    </row>
    <row r="13">
      <c r="A13" s="2">
        <f>IF(AD13=0,$AD$46, " ")</f>
        <v/>
      </c>
      <c r="B13">
        <f>SUM(V13:X13)+C13</f>
        <v/>
      </c>
      <c r="C13">
        <f>COUNTA(F13:U13)</f>
        <v/>
      </c>
      <c r="D13">
        <f>_xlfn.RANK.EQ(B13,$B$10:$B$44,0)</f>
        <v/>
      </c>
      <c r="V13" s="12" t="n"/>
      <c r="Y13" s="12" t="n"/>
      <c r="Z13" s="1">
        <f>IFERROR(COUNTIF(F13:U13,"W")/COUNTA(F13:U13),0)</f>
        <v/>
      </c>
      <c r="AA13">
        <f>MAX($B$10:$B$44)-B13</f>
        <v/>
      </c>
      <c r="AB13" s="1">
        <f>IFERROR(B13/16,0)</f>
        <v/>
      </c>
      <c r="AD13" s="76">
        <f>MAX($B$7:$B$141)-B13</f>
        <v/>
      </c>
    </row>
    <row r="14">
      <c r="A14" s="2">
        <f>IF(AD14=0,$AD$46, " ")</f>
        <v/>
      </c>
      <c r="B14">
        <f>SUM(V14:X14)+C14</f>
        <v/>
      </c>
      <c r="C14">
        <f>COUNTA(F14:U14)</f>
        <v/>
      </c>
      <c r="D14">
        <f>_xlfn.RANK.EQ(B14,$B$10:$B$44,0)</f>
        <v/>
      </c>
      <c r="V14" s="12" t="n"/>
      <c r="Y14" s="12" t="n"/>
      <c r="Z14" s="1">
        <f>IFERROR(COUNTIF(F14:U14,"W")/COUNTA(F14:U14),0)</f>
        <v/>
      </c>
      <c r="AA14">
        <f>MAX($B$10:$B$44)-B14</f>
        <v/>
      </c>
      <c r="AB14" s="1">
        <f>IFERROR(B14/16,0)</f>
        <v/>
      </c>
      <c r="AD14" s="76">
        <f>MAX($B$7:$B$141)-B14</f>
        <v/>
      </c>
    </row>
    <row r="15">
      <c r="A15" s="2">
        <f>IF(AD15=0,$AD$46, " ")</f>
        <v/>
      </c>
      <c r="B15">
        <f>SUM(V15:X15)+C15</f>
        <v/>
      </c>
      <c r="C15">
        <f>COUNTA(F15:U15)</f>
        <v/>
      </c>
      <c r="D15">
        <f>_xlfn.RANK.EQ(B15,$B$10:$B$44,0)</f>
        <v/>
      </c>
      <c r="V15" s="12" t="n"/>
      <c r="Y15" s="12" t="n"/>
      <c r="Z15" s="1">
        <f>IFERROR(COUNTIF(F15:U15,"W")/COUNTA(F15:U15),0)</f>
        <v/>
      </c>
      <c r="AA15">
        <f>MAX($B$10:$B$44)-B15</f>
        <v/>
      </c>
      <c r="AB15" s="1">
        <f>IFERROR(B15/16,0)</f>
        <v/>
      </c>
      <c r="AD15" s="76">
        <f>MAX($B$7:$B$141)-B15</f>
        <v/>
      </c>
    </row>
    <row r="16">
      <c r="A16" s="2">
        <f>IF(AD16=0,$AD$46, " ")</f>
        <v/>
      </c>
      <c r="B16">
        <f>SUM(V16:X16)+C16</f>
        <v/>
      </c>
      <c r="C16">
        <f>COUNTA(F16:U16)</f>
        <v/>
      </c>
      <c r="D16">
        <f>_xlfn.RANK.EQ(B16,$B$10:$B$44,0)</f>
        <v/>
      </c>
      <c r="V16" s="12" t="n"/>
      <c r="Y16" s="12" t="n"/>
      <c r="Z16" s="1">
        <f>IFERROR(COUNTIF(F16:U16,"W")/COUNTA(F16:U16),0)</f>
        <v/>
      </c>
      <c r="AA16">
        <f>MAX($B$10:$B$44)-B16</f>
        <v/>
      </c>
      <c r="AB16" s="1">
        <f>IFERROR(B16/16,0)</f>
        <v/>
      </c>
      <c r="AD16" s="76">
        <f>MAX($B$7:$B$141)-B16</f>
        <v/>
      </c>
    </row>
    <row r="17">
      <c r="A17" s="2">
        <f>IF(AD17=0,$AD$46, " ")</f>
        <v/>
      </c>
      <c r="B17">
        <f>SUM(V17:X17)+C17</f>
        <v/>
      </c>
      <c r="C17">
        <f>COUNTA(F17:U17)</f>
        <v/>
      </c>
      <c r="D17">
        <f>_xlfn.RANK.EQ(B17,$B$10:$B$44,0)</f>
        <v/>
      </c>
      <c r="V17" s="12" t="n"/>
      <c r="Y17" s="12" t="n"/>
      <c r="Z17" s="1">
        <f>IFERROR(COUNTIF(F17:U17,"W")/COUNTA(F17:U17),0)</f>
        <v/>
      </c>
      <c r="AA17">
        <f>MAX($B$10:$B$44)-B17</f>
        <v/>
      </c>
      <c r="AB17" s="1">
        <f>IFERROR(B17/16,0)</f>
        <v/>
      </c>
      <c r="AD17" s="76">
        <f>MAX($B$7:$B$141)-B17</f>
        <v/>
      </c>
    </row>
    <row r="18">
      <c r="A18" s="2">
        <f>IF(AD18=0,$AD$46, " ")</f>
        <v/>
      </c>
      <c r="B18">
        <f>SUM(V18:X18)+C18</f>
        <v/>
      </c>
      <c r="C18">
        <f>COUNTA(F18:U18)</f>
        <v/>
      </c>
      <c r="D18">
        <f>_xlfn.RANK.EQ(B18,$B$10:$B$44,0)</f>
        <v/>
      </c>
      <c r="V18" s="12" t="n"/>
      <c r="Y18" s="12" t="n"/>
      <c r="Z18" s="1">
        <f>IFERROR(COUNTIF(F18:U18,"W")/COUNTA(F18:U18),0)</f>
        <v/>
      </c>
      <c r="AA18">
        <f>MAX($B$10:$B$44)-B18</f>
        <v/>
      </c>
      <c r="AB18" s="1">
        <f>IFERROR(B18/16,0)</f>
        <v/>
      </c>
      <c r="AD18" s="76">
        <f>MAX($B$7:$B$141)-B18</f>
        <v/>
      </c>
    </row>
    <row r="19">
      <c r="A19" s="2">
        <f>IF(AD19=0,$AD$46, " ")</f>
        <v/>
      </c>
      <c r="B19">
        <f>SUM(V19:X19)+C19</f>
        <v/>
      </c>
      <c r="C19">
        <f>COUNTA(F19:U19)</f>
        <v/>
      </c>
      <c r="D19">
        <f>_xlfn.RANK.EQ(B19,$B$10:$B$44,0)</f>
        <v/>
      </c>
      <c r="V19" s="12" t="n"/>
      <c r="Y19" s="12" t="n"/>
      <c r="Z19" s="1">
        <f>IFERROR(COUNTIF(F19:U19,"W")/COUNTA(F19:U19),0)</f>
        <v/>
      </c>
      <c r="AA19">
        <f>MAX($B$10:$B$44)-B19</f>
        <v/>
      </c>
      <c r="AB19" s="1">
        <f>IFERROR(B19/16,0)</f>
        <v/>
      </c>
      <c r="AD19" s="76">
        <f>MAX($B$7:$B$141)-B19</f>
        <v/>
      </c>
    </row>
    <row r="20">
      <c r="A20" s="2">
        <f>IF(AD20=0,$AD$46, " ")</f>
        <v/>
      </c>
      <c r="B20">
        <f>SUM(V20:X20)+C20</f>
        <v/>
      </c>
      <c r="C20">
        <f>COUNTA(F20:U20)</f>
        <v/>
      </c>
      <c r="D20">
        <f>_xlfn.RANK.EQ(B20,$B$10:$B$44,0)</f>
        <v/>
      </c>
      <c r="V20" s="12" t="n"/>
      <c r="Y20" s="12" t="n"/>
      <c r="Z20" s="1">
        <f>IFERROR(COUNTIF(F20:U20,"W")/COUNTA(F20:U20),0)</f>
        <v/>
      </c>
      <c r="AA20">
        <f>MAX($B$10:$B$44)-B20</f>
        <v/>
      </c>
      <c r="AB20" s="1">
        <f>IFERROR(B20/16,0)</f>
        <v/>
      </c>
      <c r="AD20" s="76">
        <f>MAX($B$7:$B$141)-B20</f>
        <v/>
      </c>
    </row>
    <row r="21">
      <c r="A21" s="2">
        <f>IF(AD21=0,$AD$46, " ")</f>
        <v/>
      </c>
      <c r="B21">
        <f>SUM(V21:X21)+C21</f>
        <v/>
      </c>
      <c r="C21">
        <f>COUNTA(F21:U21)</f>
        <v/>
      </c>
      <c r="D21">
        <f>_xlfn.RANK.EQ(B21,$B$10:$B$44,0)</f>
        <v/>
      </c>
      <c r="V21" s="12" t="n"/>
      <c r="Y21" s="12" t="n"/>
      <c r="Z21" s="1">
        <f>IFERROR(COUNTIF(F21:U21,"W")/COUNTA(F21:U21),0)</f>
        <v/>
      </c>
      <c r="AA21">
        <f>MAX($B$10:$B$44)-B21</f>
        <v/>
      </c>
      <c r="AB21" s="1">
        <f>IFERROR(B21/16,0)</f>
        <v/>
      </c>
      <c r="AD21" s="76">
        <f>MAX($B$7:$B$141)-B21</f>
        <v/>
      </c>
    </row>
    <row r="22">
      <c r="A22" s="2">
        <f>IF(AD22=0,$AD$46, " ")</f>
        <v/>
      </c>
      <c r="B22">
        <f>SUM(V22:X22)+C22</f>
        <v/>
      </c>
      <c r="C22">
        <f>COUNTA(F22:U22)</f>
        <v/>
      </c>
      <c r="D22">
        <f>_xlfn.RANK.EQ(B22,$B$10:$B$44,0)</f>
        <v/>
      </c>
      <c r="V22" s="12" t="n"/>
      <c r="Y22" s="12" t="n"/>
      <c r="Z22" s="1">
        <f>IFERROR(COUNTIF(F22:U22,"W")/COUNTA(F22:U22),0)</f>
        <v/>
      </c>
      <c r="AA22">
        <f>MAX($B$10:$B$44)-B22</f>
        <v/>
      </c>
      <c r="AB22" s="1">
        <f>IFERROR(B22/16,0)</f>
        <v/>
      </c>
      <c r="AD22" s="76">
        <f>MAX($B$7:$B$141)-B22</f>
        <v/>
      </c>
    </row>
    <row r="23">
      <c r="A23" s="2">
        <f>IF(AD23=0,$AD$46, " ")</f>
        <v/>
      </c>
      <c r="B23">
        <f>SUM(V23:X23)+C23</f>
        <v/>
      </c>
      <c r="C23">
        <f>COUNTA(F23:U23)</f>
        <v/>
      </c>
      <c r="D23">
        <f>_xlfn.RANK.EQ(B23,$B$10:$B$44,0)</f>
        <v/>
      </c>
      <c r="V23" s="12" t="n"/>
      <c r="Y23" s="12" t="n"/>
      <c r="Z23" s="1">
        <f>IFERROR(COUNTIF(F23:U23,"W")/COUNTA(F23:U23),0)</f>
        <v/>
      </c>
      <c r="AA23">
        <f>MAX($B$10:$B$44)-B23</f>
        <v/>
      </c>
      <c r="AB23" s="1">
        <f>IFERROR(B23/16,0)</f>
        <v/>
      </c>
      <c r="AD23" s="76">
        <f>MAX($B$7:$B$141)-B23</f>
        <v/>
      </c>
    </row>
    <row r="24">
      <c r="A24" s="2">
        <f>IF(AD24=0,$AD$46, " ")</f>
        <v/>
      </c>
      <c r="B24">
        <f>SUM(V24:X24)+C24</f>
        <v/>
      </c>
      <c r="C24">
        <f>COUNTA(F24:U24)</f>
        <v/>
      </c>
      <c r="D24">
        <f>_xlfn.RANK.EQ(B24,$B$10:$B$44,0)</f>
        <v/>
      </c>
      <c r="V24" s="12" t="n"/>
      <c r="Y24" s="12" t="n"/>
      <c r="Z24" s="1">
        <f>IFERROR(COUNTIF(F24:U24,"W")/COUNTA(F24:U24),0)</f>
        <v/>
      </c>
      <c r="AA24">
        <f>MAX($B$10:$B$44)-B24</f>
        <v/>
      </c>
      <c r="AB24" s="1">
        <f>IFERROR(B24/16,0)</f>
        <v/>
      </c>
      <c r="AD24" s="76">
        <f>MAX($B$7:$B$141)-B24</f>
        <v/>
      </c>
    </row>
    <row r="25">
      <c r="A25" s="2">
        <f>IF(AD25=0,$AD$46, " ")</f>
        <v/>
      </c>
      <c r="B25">
        <f>SUM(V25:X25)+C25</f>
        <v/>
      </c>
      <c r="C25">
        <f>COUNTA(F25:U25)</f>
        <v/>
      </c>
      <c r="D25">
        <f>_xlfn.RANK.EQ(B25,$B$10:$B$44,0)</f>
        <v/>
      </c>
      <c r="V25" s="12" t="n"/>
      <c r="Y25" s="12" t="n"/>
      <c r="Z25" s="1">
        <f>IFERROR(COUNTIF(F25:U25,"W")/COUNTA(F25:U25),0)</f>
        <v/>
      </c>
      <c r="AA25">
        <f>MAX($B$10:$B$44)-B25</f>
        <v/>
      </c>
      <c r="AB25" s="1">
        <f>IFERROR(B25/16,0)</f>
        <v/>
      </c>
      <c r="AD25" s="76">
        <f>MAX($B$7:$B$141)-B25</f>
        <v/>
      </c>
    </row>
    <row r="26">
      <c r="A26" s="2">
        <f>IF(AD26=0,$AD$46, " ")</f>
        <v/>
      </c>
      <c r="B26">
        <f>SUM(V26:X26)+C26</f>
        <v/>
      </c>
      <c r="C26">
        <f>COUNTA(F26:U26)</f>
        <v/>
      </c>
      <c r="D26">
        <f>_xlfn.RANK.EQ(B26,$B$10:$B$44,0)</f>
        <v/>
      </c>
      <c r="V26" s="12" t="n"/>
      <c r="Y26" s="12" t="n"/>
      <c r="Z26" s="1">
        <f>IFERROR(COUNTIF(F26:U26,"W")/COUNTA(F26:U26),0)</f>
        <v/>
      </c>
      <c r="AA26">
        <f>MAX($B$10:$B$44)-B26</f>
        <v/>
      </c>
      <c r="AB26" s="1">
        <f>IFERROR(B26/16,0)</f>
        <v/>
      </c>
      <c r="AD26" s="76">
        <f>MAX($B$7:$B$141)-B26</f>
        <v/>
      </c>
    </row>
    <row r="27">
      <c r="A27" s="2">
        <f>IF(AD27=0,$AD$46, " ")</f>
        <v/>
      </c>
      <c r="B27">
        <f>SUM(V27:X27)+C27</f>
        <v/>
      </c>
      <c r="C27">
        <f>COUNTA(F27:U27)</f>
        <v/>
      </c>
      <c r="D27">
        <f>_xlfn.RANK.EQ(B27,$B$10:$B$44,0)</f>
        <v/>
      </c>
      <c r="V27" s="12" t="n"/>
      <c r="Y27" s="12" t="n"/>
      <c r="Z27" s="1">
        <f>IFERROR(COUNTIF(F27:U27,"W")/COUNTA(F27:U27),0)</f>
        <v/>
      </c>
      <c r="AA27">
        <f>MAX($B$10:$B$44)-B27</f>
        <v/>
      </c>
      <c r="AB27" s="1">
        <f>IFERROR(B27/16,0)</f>
        <v/>
      </c>
      <c r="AD27" s="76">
        <f>MAX($B$7:$B$141)-B27</f>
        <v/>
      </c>
    </row>
    <row r="28">
      <c r="A28" s="2">
        <f>IF(AD28=0,$AD$46, " ")</f>
        <v/>
      </c>
      <c r="B28">
        <f>SUM(V28:X28)+C28</f>
        <v/>
      </c>
      <c r="C28">
        <f>COUNTA(F28:U28)</f>
        <v/>
      </c>
      <c r="D28">
        <f>_xlfn.RANK.EQ(B28,$B$10:$B$44,0)</f>
        <v/>
      </c>
      <c r="V28" s="12" t="n"/>
      <c r="Y28" s="12" t="n"/>
      <c r="Z28" s="1">
        <f>IFERROR(COUNTIF(F28:U28,"W")/COUNTA(F28:U28),0)</f>
        <v/>
      </c>
      <c r="AA28">
        <f>MAX($B$10:$B$44)-B28</f>
        <v/>
      </c>
      <c r="AB28" s="1">
        <f>IFERROR(B28/16,0)</f>
        <v/>
      </c>
      <c r="AD28" s="76">
        <f>MAX($B$7:$B$141)-B28</f>
        <v/>
      </c>
    </row>
    <row r="29">
      <c r="A29" s="2">
        <f>IF(AD29=0,$AD$46, " ")</f>
        <v/>
      </c>
      <c r="B29">
        <f>SUM(V29:X29)+C29</f>
        <v/>
      </c>
      <c r="C29">
        <f>COUNTA(F29:U29)</f>
        <v/>
      </c>
      <c r="D29">
        <f>_xlfn.RANK.EQ(B29,$B$10:$B$44,0)</f>
        <v/>
      </c>
      <c r="V29" s="12" t="n"/>
      <c r="Y29" s="12" t="n"/>
      <c r="Z29" s="1">
        <f>IFERROR(COUNTIF(F29:U29,"W")/COUNTA(F29:U29),0)</f>
        <v/>
      </c>
      <c r="AA29">
        <f>MAX($B$10:$B$44)-B29</f>
        <v/>
      </c>
      <c r="AB29" s="1">
        <f>IFERROR(B29/16,0)</f>
        <v/>
      </c>
      <c r="AD29" s="76">
        <f>MAX($B$7:$B$141)-B29</f>
        <v/>
      </c>
    </row>
    <row r="30">
      <c r="A30" s="2">
        <f>IF(AD30=0,$AD$46, " ")</f>
        <v/>
      </c>
      <c r="B30">
        <f>SUM(V30:X30)+C30</f>
        <v/>
      </c>
      <c r="C30">
        <f>COUNTA(F30:U30)</f>
        <v/>
      </c>
      <c r="D30">
        <f>_xlfn.RANK.EQ(B30,$B$10:$B$44,0)</f>
        <v/>
      </c>
      <c r="V30" s="12" t="n"/>
      <c r="Y30" s="12" t="n"/>
      <c r="Z30" s="1">
        <f>IFERROR(COUNTIF(F30:U30,"W")/COUNTA(F30:U30),0)</f>
        <v/>
      </c>
      <c r="AA30">
        <f>MAX($B$10:$B$44)-B30</f>
        <v/>
      </c>
      <c r="AB30" s="1">
        <f>IFERROR(B30/16,0)</f>
        <v/>
      </c>
      <c r="AD30" s="76">
        <f>MAX($B$7:$B$141)-B30</f>
        <v/>
      </c>
    </row>
    <row r="31">
      <c r="A31" s="2">
        <f>IF(AD31=0,$AD$46, " ")</f>
        <v/>
      </c>
      <c r="B31">
        <f>SUM(V31:X31)+C31</f>
        <v/>
      </c>
      <c r="C31">
        <f>COUNTA(F31:U31)</f>
        <v/>
      </c>
      <c r="D31">
        <f>_xlfn.RANK.EQ(B31,$B$10:$B$44,0)</f>
        <v/>
      </c>
      <c r="V31" s="12" t="n"/>
      <c r="Y31" s="12" t="n"/>
      <c r="Z31" s="1">
        <f>IFERROR(COUNTIF(F31:U31,"W")/COUNTA(F31:U31),0)</f>
        <v/>
      </c>
      <c r="AA31">
        <f>MAX($B$10:$B$44)-B31</f>
        <v/>
      </c>
      <c r="AB31" s="1">
        <f>IFERROR(B31/16,0)</f>
        <v/>
      </c>
      <c r="AD31" s="76">
        <f>MAX($B$7:$B$141)-B31</f>
        <v/>
      </c>
    </row>
    <row r="32">
      <c r="A32" s="2">
        <f>IF(AD32=0,$AD$46, " ")</f>
        <v/>
      </c>
      <c r="B32">
        <f>SUM(V32:X32)+C32</f>
        <v/>
      </c>
      <c r="C32">
        <f>COUNTA(F32:U32)</f>
        <v/>
      </c>
      <c r="D32">
        <f>_xlfn.RANK.EQ(B32,$B$10:$B$44,0)</f>
        <v/>
      </c>
      <c r="V32" s="12" t="n"/>
      <c r="Y32" s="12" t="n"/>
      <c r="Z32" s="1">
        <f>IFERROR(COUNTIF(F32:U32,"W")/COUNTA(F32:U32),0)</f>
        <v/>
      </c>
      <c r="AA32">
        <f>MAX($B$10:$B$44)-B32</f>
        <v/>
      </c>
      <c r="AB32" s="1">
        <f>IFERROR(B32/16,0)</f>
        <v/>
      </c>
      <c r="AD32" s="76">
        <f>MAX($B$7:$B$141)-B32</f>
        <v/>
      </c>
    </row>
    <row r="33">
      <c r="A33" s="2">
        <f>IF(AD33=0,$AD$46, " ")</f>
        <v/>
      </c>
      <c r="B33">
        <f>SUM(V33:X33)+C33</f>
        <v/>
      </c>
      <c r="C33">
        <f>COUNTA(F33:U33)</f>
        <v/>
      </c>
      <c r="D33">
        <f>_xlfn.RANK.EQ(B33,$B$10:$B$44,0)</f>
        <v/>
      </c>
      <c r="V33" s="12" t="n"/>
      <c r="Y33" s="12" t="n"/>
      <c r="Z33" s="1">
        <f>IFERROR(COUNTIF(F33:U33,"W")/COUNTA(F33:U33),0)</f>
        <v/>
      </c>
      <c r="AA33">
        <f>MAX($B$10:$B$44)-B33</f>
        <v/>
      </c>
      <c r="AB33" s="1">
        <f>IFERROR(B33/16,0)</f>
        <v/>
      </c>
      <c r="AD33" s="76">
        <f>MAX($B$7:$B$141)-B33</f>
        <v/>
      </c>
    </row>
    <row r="34">
      <c r="A34" s="2">
        <f>IF(AD34=0,$AD$46, " ")</f>
        <v/>
      </c>
      <c r="B34">
        <f>SUM(V34:X34)+C34</f>
        <v/>
      </c>
      <c r="C34">
        <f>COUNTA(F34:U34)</f>
        <v/>
      </c>
      <c r="D34">
        <f>_xlfn.RANK.EQ(B34,$B$10:$B$44,0)</f>
        <v/>
      </c>
      <c r="V34" s="12" t="n"/>
      <c r="Y34" s="12" t="n"/>
      <c r="Z34" s="1">
        <f>IFERROR(COUNTIF(F34:U34,"W")/COUNTA(F34:U34),0)</f>
        <v/>
      </c>
      <c r="AA34">
        <f>MAX($B$10:$B$44)-B34</f>
        <v/>
      </c>
      <c r="AB34" s="1">
        <f>IFERROR(B34/16,0)</f>
        <v/>
      </c>
      <c r="AD34" s="76">
        <f>MAX($B$7:$B$141)-B34</f>
        <v/>
      </c>
    </row>
    <row r="35">
      <c r="A35" s="2">
        <f>IF(AD35=0,$AD$46, " ")</f>
        <v/>
      </c>
      <c r="B35">
        <f>SUM(V35:X35)+C35</f>
        <v/>
      </c>
      <c r="C35">
        <f>COUNTA(F35:U35)</f>
        <v/>
      </c>
      <c r="D35">
        <f>_xlfn.RANK.EQ(B35,$B$10:$B$44,0)</f>
        <v/>
      </c>
      <c r="V35" s="12" t="n"/>
      <c r="Y35" s="12" t="n"/>
      <c r="Z35" s="1">
        <f>IFERROR(COUNTIF(F35:U35,"W")/COUNTA(F35:U35),0)</f>
        <v/>
      </c>
      <c r="AA35">
        <f>MAX($B$10:$B$44)-B35</f>
        <v/>
      </c>
      <c r="AB35" s="1">
        <f>IFERROR(B35/16,0)</f>
        <v/>
      </c>
      <c r="AD35" s="76">
        <f>MAX($B$7:$B$141)-B35</f>
        <v/>
      </c>
    </row>
    <row r="36">
      <c r="A36" s="2">
        <f>IF(AD36=0,$AD$46, " ")</f>
        <v/>
      </c>
      <c r="B36">
        <f>SUM(V36:X36)+C36</f>
        <v/>
      </c>
      <c r="C36">
        <f>COUNTA(F36:U36)</f>
        <v/>
      </c>
      <c r="D36">
        <f>_xlfn.RANK.EQ(B36,$B$10:$B$44,0)</f>
        <v/>
      </c>
      <c r="V36" s="12" t="n"/>
      <c r="Y36" s="12" t="n"/>
      <c r="Z36" s="1">
        <f>IFERROR(COUNTIF(F36:U36,"W")/COUNTA(F36:U36),0)</f>
        <v/>
      </c>
      <c r="AA36">
        <f>MAX($B$10:$B$44)-B36</f>
        <v/>
      </c>
      <c r="AB36" s="1">
        <f>IFERROR(B36/16,0)</f>
        <v/>
      </c>
      <c r="AD36" s="76">
        <f>MAX($B$7:$B$141)-B36</f>
        <v/>
      </c>
    </row>
    <row r="37">
      <c r="A37" s="2">
        <f>IF(AD37=0,$AD$46, " ")</f>
        <v/>
      </c>
      <c r="B37">
        <f>SUM(V37:X37)+C37</f>
        <v/>
      </c>
      <c r="C37">
        <f>COUNTA(F37:U37)</f>
        <v/>
      </c>
      <c r="D37">
        <f>_xlfn.RANK.EQ(B37,$B$10:$B$44,0)</f>
        <v/>
      </c>
      <c r="V37" s="12" t="n"/>
      <c r="Y37" s="12" t="n"/>
      <c r="Z37" s="1">
        <f>IFERROR(COUNTIF(F37:U37,"W")/COUNTA(F37:U37),0)</f>
        <v/>
      </c>
      <c r="AA37">
        <f>MAX($B$10:$B$44)-B37</f>
        <v/>
      </c>
      <c r="AB37" s="1">
        <f>IFERROR(B37/16,0)</f>
        <v/>
      </c>
      <c r="AD37" s="76">
        <f>MAX($B$7:$B$141)-B37</f>
        <v/>
      </c>
    </row>
    <row r="38">
      <c r="A38" s="2">
        <f>IF(AD38=0,$AD$46, " ")</f>
        <v/>
      </c>
      <c r="B38">
        <f>SUM(V38:X38)+C38</f>
        <v/>
      </c>
      <c r="C38">
        <f>COUNTA(F38:U38)</f>
        <v/>
      </c>
      <c r="D38">
        <f>_xlfn.RANK.EQ(B38,$B$10:$B$44,0)</f>
        <v/>
      </c>
      <c r="V38" s="12" t="n"/>
      <c r="Y38" s="12" t="n"/>
      <c r="Z38" s="1">
        <f>IFERROR(COUNTIF(F38:U38,"W")/COUNTA(F38:U38),0)</f>
        <v/>
      </c>
      <c r="AA38">
        <f>MAX($B$10:$B$44)-B38</f>
        <v/>
      </c>
      <c r="AB38" s="1">
        <f>IFERROR(B38/16,0)</f>
        <v/>
      </c>
      <c r="AD38" s="76">
        <f>MAX($B$7:$B$141)-B38</f>
        <v/>
      </c>
    </row>
    <row r="39">
      <c r="A39" s="2">
        <f>IF(AD39=0,$AD$46, " ")</f>
        <v/>
      </c>
      <c r="B39">
        <f>SUM(V39:X39)+C39</f>
        <v/>
      </c>
      <c r="C39">
        <f>COUNTA(F39:U39)</f>
        <v/>
      </c>
      <c r="D39">
        <f>_xlfn.RANK.EQ(B39,$B$10:$B$44,0)</f>
        <v/>
      </c>
      <c r="V39" s="12" t="n"/>
      <c r="Y39" s="12" t="n"/>
      <c r="Z39" s="1">
        <f>IFERROR(COUNTIF(F39:U39,"W")/COUNTA(F39:U39),0)</f>
        <v/>
      </c>
      <c r="AA39">
        <f>MAX($B$10:$B$44)-B39</f>
        <v/>
      </c>
      <c r="AB39" s="1">
        <f>IFERROR(B39/16,0)</f>
        <v/>
      </c>
      <c r="AD39" s="76">
        <f>MAX($B$7:$B$141)-B39</f>
        <v/>
      </c>
    </row>
    <row r="40">
      <c r="A40" s="2">
        <f>IF(AD40=0,$AD$46, " ")</f>
        <v/>
      </c>
      <c r="B40">
        <f>SUM(V40:X40)+C40</f>
        <v/>
      </c>
      <c r="C40">
        <f>COUNTA(F40:U40)</f>
        <v/>
      </c>
      <c r="D40">
        <f>_xlfn.RANK.EQ(B40,$B$10:$B$44,0)</f>
        <v/>
      </c>
      <c r="V40" s="12" t="n"/>
      <c r="Y40" s="12" t="n"/>
      <c r="Z40" s="1">
        <f>IFERROR(COUNTIF(F40:U40,"W")/COUNTA(F40:U40),0)</f>
        <v/>
      </c>
      <c r="AA40">
        <f>MAX($B$10:$B$44)-B40</f>
        <v/>
      </c>
      <c r="AB40" s="1">
        <f>IFERROR(B40/16,0)</f>
        <v/>
      </c>
      <c r="AD40" s="76">
        <f>MAX($B$7:$B$141)-B40</f>
        <v/>
      </c>
    </row>
    <row r="41">
      <c r="A41" s="2">
        <f>IF(AD41=0,$AD$46, " ")</f>
        <v/>
      </c>
      <c r="B41">
        <f>SUM(V41:X41)+C41</f>
        <v/>
      </c>
      <c r="C41">
        <f>COUNTA(F41:U41)</f>
        <v/>
      </c>
      <c r="D41">
        <f>_xlfn.RANK.EQ(B41,$B$10:$B$44,0)</f>
        <v/>
      </c>
      <c r="V41" s="12" t="n"/>
      <c r="Y41" s="12" t="n"/>
      <c r="Z41" s="1">
        <f>IFERROR(COUNTIF(F41:U41,"W")/COUNTA(F41:U41),0)</f>
        <v/>
      </c>
      <c r="AA41">
        <f>MAX($B$10:$B$44)-B41</f>
        <v/>
      </c>
      <c r="AB41" s="1">
        <f>IFERROR(B41/16,0)</f>
        <v/>
      </c>
      <c r="AD41" s="76">
        <f>MAX($B$7:$B$141)-B41</f>
        <v/>
      </c>
    </row>
    <row r="42">
      <c r="A42" s="2">
        <f>IF(AD42=0,$AD$46, " ")</f>
        <v/>
      </c>
      <c r="B42">
        <f>SUM(V42:X42)+C42</f>
        <v/>
      </c>
      <c r="C42">
        <f>COUNTA(F42:U42)</f>
        <v/>
      </c>
      <c r="D42">
        <f>_xlfn.RANK.EQ(B42,$B$10:$B$44,0)</f>
        <v/>
      </c>
      <c r="V42" s="12" t="n"/>
      <c r="Y42" s="12" t="n"/>
      <c r="Z42" s="1">
        <f>IFERROR(COUNTIF(F42:U42,"W")/COUNTA(F42:U42),0)</f>
        <v/>
      </c>
      <c r="AA42">
        <f>MAX($B$10:$B$44)-B42</f>
        <v/>
      </c>
      <c r="AB42" s="1">
        <f>IFERROR(B42/16,0)</f>
        <v/>
      </c>
      <c r="AD42" s="76">
        <f>MAX($B$7:$B$141)-B42</f>
        <v/>
      </c>
    </row>
    <row r="43">
      <c r="A43" s="2">
        <f>IF(AD43=0,$AD$46, " ")</f>
        <v/>
      </c>
      <c r="B43">
        <f>SUM(V43:X43)+C43</f>
        <v/>
      </c>
      <c r="C43">
        <f>COUNTA(F43:U43)</f>
        <v/>
      </c>
      <c r="D43">
        <f>_xlfn.RANK.EQ(B43,$B$10:$B$44,0)</f>
        <v/>
      </c>
      <c r="V43" s="12" t="n"/>
      <c r="Y43" s="12" t="n"/>
      <c r="Z43" s="1">
        <f>IFERROR(COUNTIF(F43:U43,"W")/COUNTA(F43:U43),0)</f>
        <v/>
      </c>
      <c r="AA43">
        <f>MAX($B$10:$B$44)-B43</f>
        <v/>
      </c>
      <c r="AB43" s="1">
        <f>IFERROR(B43/16,0)</f>
        <v/>
      </c>
      <c r="AD43" s="76">
        <f>MAX($B$7:$B$141)-B43</f>
        <v/>
      </c>
    </row>
    <row r="44">
      <c r="A44" s="2">
        <f>IF(AD44=0,$AD$46, " ")</f>
        <v/>
      </c>
      <c r="B44">
        <f>SUM(V44:X44)+C44</f>
        <v/>
      </c>
      <c r="C44">
        <f>COUNTA(F44:U44)</f>
        <v/>
      </c>
      <c r="D44">
        <f>_xlfn.RANK.EQ(B44,$B$10:$B$44,0)</f>
        <v/>
      </c>
      <c r="V44" s="12" t="n"/>
      <c r="Y44" s="12" t="n"/>
      <c r="Z44" s="1">
        <f>IFERROR(COUNTIF(F44:U44,"W")/COUNTA(F44:U44),0)</f>
        <v/>
      </c>
      <c r="AA44">
        <f>MAX($B$10:$B$44)-B44</f>
        <v/>
      </c>
      <c r="AB44" s="1">
        <f>IFERROR(B44/16,0)</f>
        <v/>
      </c>
      <c r="AD44" s="76">
        <f>MAX($B$7:$B$141)-B44</f>
        <v/>
      </c>
    </row>
    <row r="45">
      <c r="AD45" s="10">
        <f>COUNTIF(AD10:AD44,0)</f>
        <v/>
      </c>
    </row>
    <row r="46">
      <c r="AD46" s="76">
        <f>SUM(AD10:AD44)/AD45</f>
        <v/>
      </c>
    </row>
  </sheetData>
  <mergeCells count="1">
    <mergeCell ref="A1:Y2"/>
  </mergeCells>
  <conditionalFormatting sqref="B10:B4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:D4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0:U44">
    <cfRule type="cellIs" priority="4" operator="equal" dxfId="2">
      <formula>"W"</formula>
    </cfRule>
    <cfRule type="cellIs" priority="5" operator="equal" dxfId="1">
      <formula>"L"</formula>
    </cfRule>
  </conditionalFormatting>
  <conditionalFormatting sqref="AD10:AD46">
    <cfRule type="cellIs" priority="1" operator="equal" dxfId="0" stopIfTrue="1">
      <formula>0</formula>
    </cfRule>
  </conditionalFormatting>
  <dataValidations count="2">
    <dataValidation sqref="F6:U6" showDropDown="0" showInputMessage="0" showErrorMessage="0" allowBlank="1" type="list">
      <formula1>"Seattle,Los Angeles Rams,Cincinnati,Detroit,Tennessee,Indianapolis,Pittsburgh,Carolina,Jacksonville,Houston,Las Vegas,Minnesota,Philadelphia,Los Angeles Chargers,New York Giants,Kansas City"</formula1>
    </dataValidation>
    <dataValidation sqref="F10:U44" showDropDown="0" showInputMessage="0" showErrorMessage="0" allowBlank="1" type="list">
      <formula1>"W,L"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46"/>
  <sheetViews>
    <sheetView workbookViewId="0">
      <selection activeCell="A1" sqref="A1:XFD1048576"/>
    </sheetView>
  </sheetViews>
  <sheetFormatPr baseColWidth="8" defaultColWidth="9.109375" defaultRowHeight="14.4"/>
  <cols>
    <col width="11" customWidth="1" style="54" min="1" max="1"/>
    <col width="8" customWidth="1" style="54" min="2" max="4"/>
    <col width="22" customWidth="1" style="54" min="5" max="5"/>
    <col width="17.6640625" customWidth="1" style="54" min="6" max="18"/>
    <col width="23.5546875" bestFit="1" customWidth="1" style="54" min="19" max="19"/>
    <col width="17.6640625" customWidth="1" style="54" min="20" max="21"/>
    <col width="17" customWidth="1" style="54" min="22" max="25"/>
    <col width="12" customWidth="1" style="54" min="26" max="27"/>
    <col width="10" customWidth="1" style="54" min="28" max="28"/>
    <col width="9.109375" customWidth="1" style="54" min="29" max="34"/>
    <col width="9.109375" customWidth="1" style="54" min="35" max="16384"/>
  </cols>
  <sheetData>
    <row r="1">
      <c r="A1" s="63" t="inlineStr">
        <is>
          <t>🏈 WEEK 3 — ACQL</t>
        </is>
      </c>
    </row>
    <row r="2"/>
    <row r="4">
      <c r="A4" s="5" t="inlineStr">
        <is>
          <t>Home Team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inlineStr">
        <is>
          <t>Away Team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6" t="inlineStr">
        <is>
          <t>Result / Winner →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</row>
    <row r="7">
      <c r="A7" s="8" t="inlineStr">
        <is>
          <t>Picked Home %</t>
        </is>
      </c>
      <c r="B7" s="8" t="n"/>
      <c r="C7" s="8" t="n"/>
      <c r="D7" s="8" t="n"/>
      <c r="E7" s="8" t="n"/>
      <c r="F7" s="8">
        <f>IFERROR(COUNTIF(F10:F44, F$4)/COUNTA(B10:B44),0)</f>
        <v/>
      </c>
      <c r="G7" s="8">
        <f>IFERROR(COUNTIF(G10:G44, G$4)/COUNTA(C10:C44),0)</f>
        <v/>
      </c>
      <c r="H7" s="8">
        <f>IFERROR(COUNTIF(H10:H44, H$4)/COUNTA(D10:D44),0)</f>
        <v/>
      </c>
      <c r="I7" s="8">
        <f>IFERROR(COUNTIF(I10:I44, I$4)/COUNTA(E10:E44),0)</f>
        <v/>
      </c>
      <c r="J7" s="8">
        <f>IFERROR(COUNTIF(J10:J44, J$4)/COUNTA(F10:F44),0)</f>
        <v/>
      </c>
      <c r="K7" s="8">
        <f>IFERROR(COUNTIF(K10:K44, K$4)/COUNTA(G10:G44),0)</f>
        <v/>
      </c>
      <c r="L7" s="8">
        <f>IFERROR(COUNTIF(L10:L44, L$4)/COUNTA(H10:H44),0)</f>
        <v/>
      </c>
      <c r="M7" s="8">
        <f>IFERROR(COUNTIF(M10:M44, M$4)/COUNTA(I10:I44),0)</f>
        <v/>
      </c>
      <c r="N7" s="8">
        <f>IFERROR(COUNTIF(N10:N44, N$4)/COUNTA(J10:J44),0)</f>
        <v/>
      </c>
      <c r="O7" s="8">
        <f>IFERROR(COUNTIF(O10:O44, O$4)/COUNTA(K10:K44),0)</f>
        <v/>
      </c>
      <c r="P7" s="8">
        <f>IFERROR(COUNTIF(P10:P44, P$4)/COUNTA(L10:L44),0)</f>
        <v/>
      </c>
      <c r="Q7" s="8">
        <f>IFERROR(COUNTIF(Q10:Q44, Q$4)/COUNTA(M10:M44),0)</f>
        <v/>
      </c>
      <c r="R7" s="8">
        <f>IFERROR(COUNTIF(R10:R44, R$4)/COUNTA(N10:N44),0)</f>
        <v/>
      </c>
      <c r="S7" s="8">
        <f>IFERROR(COUNTIF(S10:S44, S$4)/COUNTA(O10:O44),0)</f>
        <v/>
      </c>
      <c r="T7" s="8">
        <f>IFERROR(COUNTIF(T10:T44, T$4)/COUNTA(P10:P44),0)</f>
        <v/>
      </c>
      <c r="U7" s="8">
        <f>IFERROR(COUNTIF(U10:U44, U$4)/COUNTA(Q10:Q44),0)</f>
        <v/>
      </c>
      <c r="V7" s="7" t="n"/>
      <c r="W7" s="7" t="n"/>
      <c r="X7" s="7" t="n"/>
      <c r="Y7" s="7" t="n"/>
    </row>
    <row r="9" ht="28.8" customHeight="1" s="54">
      <c r="A9" s="9" t="inlineStr">
        <is>
          <t>Entry Fee</t>
        </is>
      </c>
      <c r="B9" s="9" t="inlineStr">
        <is>
          <t>Wins</t>
        </is>
      </c>
      <c r="C9" s="9" t="inlineStr">
        <is>
          <t>Wins</t>
        </is>
      </c>
      <c r="D9" s="9" t="inlineStr">
        <is>
          <t>Rank</t>
        </is>
      </c>
      <c r="E9" s="9" t="inlineStr">
        <is>
          <t>Player</t>
        </is>
      </c>
      <c r="F9" s="9" t="inlineStr">
        <is>
          <t>G1</t>
        </is>
      </c>
      <c r="G9" s="9" t="inlineStr">
        <is>
          <t>G2</t>
        </is>
      </c>
      <c r="H9" s="9" t="inlineStr">
        <is>
          <t>G3</t>
        </is>
      </c>
      <c r="I9" s="9" t="inlineStr">
        <is>
          <t>G4</t>
        </is>
      </c>
      <c r="J9" s="9" t="inlineStr">
        <is>
          <t>G5</t>
        </is>
      </c>
      <c r="K9" s="9" t="inlineStr">
        <is>
          <t>G6</t>
        </is>
      </c>
      <c r="L9" s="9" t="inlineStr">
        <is>
          <t>G7</t>
        </is>
      </c>
      <c r="M9" s="9" t="inlineStr">
        <is>
          <t>G8</t>
        </is>
      </c>
      <c r="N9" s="9" t="inlineStr">
        <is>
          <t>G9</t>
        </is>
      </c>
      <c r="O9" s="9" t="inlineStr">
        <is>
          <t>G10</t>
        </is>
      </c>
      <c r="P9" s="9" t="inlineStr">
        <is>
          <t>G11</t>
        </is>
      </c>
      <c r="Q9" s="9" t="inlineStr">
        <is>
          <t>G12</t>
        </is>
      </c>
      <c r="R9" s="9" t="inlineStr">
        <is>
          <t>G13</t>
        </is>
      </c>
      <c r="S9" s="9" t="inlineStr">
        <is>
          <t>G14</t>
        </is>
      </c>
      <c r="T9" s="9" t="inlineStr">
        <is>
          <t>G15</t>
        </is>
      </c>
      <c r="U9" s="9" t="inlineStr">
        <is>
          <t>G16</t>
        </is>
      </c>
      <c r="V9" s="9" t="inlineStr">
        <is>
          <t>Loser 1</t>
        </is>
      </c>
      <c r="W9" s="9" t="inlineStr">
        <is>
          <t>Loser 2</t>
        </is>
      </c>
      <c r="X9" s="9" t="inlineStr">
        <is>
          <t>Loser 3</t>
        </is>
      </c>
      <c r="Y9" s="9" t="inlineStr">
        <is>
          <t>Suicide</t>
        </is>
      </c>
      <c r="Z9" s="9" t="inlineStr">
        <is>
          <t>Home Team %</t>
        </is>
      </c>
      <c r="AA9" s="9" t="inlineStr">
        <is>
          <t>$ Owed</t>
        </is>
      </c>
      <c r="AB9" s="9" t="inlineStr">
        <is>
          <t>Games Behind</t>
        </is>
      </c>
      <c r="AC9" s="9" t="inlineStr">
        <is>
          <t>Win %</t>
        </is>
      </c>
    </row>
    <row r="10">
      <c r="A10" s="2">
        <f>IF(AD10=0,$AD$46, " ")</f>
        <v/>
      </c>
      <c r="B10">
        <f>SUM(V10:X10)+C10</f>
        <v/>
      </c>
      <c r="C10">
        <f>COUNTA(F10:U10)</f>
        <v/>
      </c>
      <c r="D10">
        <f>_xlfn.RANK.EQ(B10,$B$10:$B$44,0)</f>
        <v/>
      </c>
      <c r="V10" s="11" t="n"/>
      <c r="Y10" s="11" t="n"/>
      <c r="Z10" s="1">
        <f>IFERROR(COUNTIF(F10:U10,"W")/COUNTA(F10:U10),0)</f>
        <v/>
      </c>
      <c r="AA10">
        <f>MAX($B$10:$B$44)-B10</f>
        <v/>
      </c>
      <c r="AB10" s="1">
        <f>IFERROR(B10/16,0)</f>
        <v/>
      </c>
      <c r="AD10" s="76">
        <f>MAX($B$7:$B$141)-B10</f>
        <v/>
      </c>
    </row>
    <row r="11">
      <c r="A11" s="2">
        <f>IF(AD11=0,$AD$46, " ")</f>
        <v/>
      </c>
      <c r="B11">
        <f>SUM(V11:X11)+C11</f>
        <v/>
      </c>
      <c r="C11">
        <f>COUNTA(F11:U11)</f>
        <v/>
      </c>
      <c r="D11">
        <f>_xlfn.RANK.EQ(B11,$B$10:$B$44,0)</f>
        <v/>
      </c>
      <c r="V11" s="12" t="n"/>
      <c r="Y11" s="12" t="n"/>
      <c r="Z11" s="1">
        <f>IFERROR(COUNTIF(F11:U11,"W")/COUNTA(F11:U11),0)</f>
        <v/>
      </c>
      <c r="AA11">
        <f>MAX($B$10:$B$44)-B11</f>
        <v/>
      </c>
      <c r="AB11" s="1">
        <f>IFERROR(B11/16,0)</f>
        <v/>
      </c>
      <c r="AD11" s="76">
        <f>MAX($B$7:$B$141)-B11</f>
        <v/>
      </c>
    </row>
    <row r="12">
      <c r="A12" s="2">
        <f>IF(AD12=0,$AD$46, " ")</f>
        <v/>
      </c>
      <c r="B12">
        <f>SUM(V12:X12)+C12</f>
        <v/>
      </c>
      <c r="C12">
        <f>COUNTA(F12:U12)</f>
        <v/>
      </c>
      <c r="D12">
        <f>_xlfn.RANK.EQ(B12,$B$10:$B$44,0)</f>
        <v/>
      </c>
      <c r="V12" s="12" t="n"/>
      <c r="Y12" s="12" t="n"/>
      <c r="Z12" s="1">
        <f>IFERROR(COUNTIF(F12:U12,"W")/COUNTA(F12:U12),0)</f>
        <v/>
      </c>
      <c r="AA12">
        <f>MAX($B$10:$B$44)-B12</f>
        <v/>
      </c>
      <c r="AB12" s="1">
        <f>IFERROR(B12/16,0)</f>
        <v/>
      </c>
      <c r="AD12" s="76">
        <f>MAX($B$7:$B$141)-B12</f>
        <v/>
      </c>
    </row>
    <row r="13">
      <c r="A13" s="2">
        <f>IF(AD13=0,$AD$46, " ")</f>
        <v/>
      </c>
      <c r="B13">
        <f>SUM(V13:X13)+C13</f>
        <v/>
      </c>
      <c r="C13">
        <f>COUNTA(F13:U13)</f>
        <v/>
      </c>
      <c r="D13">
        <f>_xlfn.RANK.EQ(B13,$B$10:$B$44,0)</f>
        <v/>
      </c>
      <c r="V13" s="12" t="n"/>
      <c r="Y13" s="12" t="n"/>
      <c r="Z13" s="1">
        <f>IFERROR(COUNTIF(F13:U13,"W")/COUNTA(F13:U13),0)</f>
        <v/>
      </c>
      <c r="AA13">
        <f>MAX($B$10:$B$44)-B13</f>
        <v/>
      </c>
      <c r="AB13" s="1">
        <f>IFERROR(B13/16,0)</f>
        <v/>
      </c>
      <c r="AD13" s="76">
        <f>MAX($B$7:$B$141)-B13</f>
        <v/>
      </c>
    </row>
    <row r="14">
      <c r="A14" s="2">
        <f>IF(AD14=0,$AD$46, " ")</f>
        <v/>
      </c>
      <c r="B14">
        <f>SUM(V14:X14)+C14</f>
        <v/>
      </c>
      <c r="C14">
        <f>COUNTA(F14:U14)</f>
        <v/>
      </c>
      <c r="D14">
        <f>_xlfn.RANK.EQ(B14,$B$10:$B$44,0)</f>
        <v/>
      </c>
      <c r="V14" s="12" t="n"/>
      <c r="Y14" s="12" t="n"/>
      <c r="Z14" s="1">
        <f>IFERROR(COUNTIF(F14:U14,"W")/COUNTA(F14:U14),0)</f>
        <v/>
      </c>
      <c r="AA14">
        <f>MAX($B$10:$B$44)-B14</f>
        <v/>
      </c>
      <c r="AB14" s="1">
        <f>IFERROR(B14/16,0)</f>
        <v/>
      </c>
      <c r="AD14" s="76">
        <f>MAX($B$7:$B$141)-B14</f>
        <v/>
      </c>
    </row>
    <row r="15">
      <c r="A15" s="2">
        <f>IF(AD15=0,$AD$46, " ")</f>
        <v/>
      </c>
      <c r="B15">
        <f>SUM(V15:X15)+C15</f>
        <v/>
      </c>
      <c r="C15">
        <f>COUNTA(F15:U15)</f>
        <v/>
      </c>
      <c r="D15">
        <f>_xlfn.RANK.EQ(B15,$B$10:$B$44,0)</f>
        <v/>
      </c>
      <c r="V15" s="12" t="n"/>
      <c r="Y15" s="12" t="n"/>
      <c r="Z15" s="1">
        <f>IFERROR(COUNTIF(F15:U15,"W")/COUNTA(F15:U15),0)</f>
        <v/>
      </c>
      <c r="AA15">
        <f>MAX($B$10:$B$44)-B15</f>
        <v/>
      </c>
      <c r="AB15" s="1">
        <f>IFERROR(B15/16,0)</f>
        <v/>
      </c>
      <c r="AD15" s="76">
        <f>MAX($B$7:$B$141)-B15</f>
        <v/>
      </c>
    </row>
    <row r="16">
      <c r="A16" s="2">
        <f>IF(AD16=0,$AD$46, " ")</f>
        <v/>
      </c>
      <c r="B16">
        <f>SUM(V16:X16)+C16</f>
        <v/>
      </c>
      <c r="C16">
        <f>COUNTA(F16:U16)</f>
        <v/>
      </c>
      <c r="D16">
        <f>_xlfn.RANK.EQ(B16,$B$10:$B$44,0)</f>
        <v/>
      </c>
      <c r="V16" s="12" t="n"/>
      <c r="Y16" s="12" t="n"/>
      <c r="Z16" s="1">
        <f>IFERROR(COUNTIF(F16:U16,"W")/COUNTA(F16:U16),0)</f>
        <v/>
      </c>
      <c r="AA16">
        <f>MAX($B$10:$B$44)-B16</f>
        <v/>
      </c>
      <c r="AB16" s="1">
        <f>IFERROR(B16/16,0)</f>
        <v/>
      </c>
      <c r="AD16" s="76">
        <f>MAX($B$7:$B$141)-B16</f>
        <v/>
      </c>
    </row>
    <row r="17">
      <c r="A17" s="2">
        <f>IF(AD17=0,$AD$46, " ")</f>
        <v/>
      </c>
      <c r="B17">
        <f>SUM(V17:X17)+C17</f>
        <v/>
      </c>
      <c r="C17">
        <f>COUNTA(F17:U17)</f>
        <v/>
      </c>
      <c r="D17">
        <f>_xlfn.RANK.EQ(B17,$B$10:$B$44,0)</f>
        <v/>
      </c>
      <c r="V17" s="12" t="n"/>
      <c r="Y17" s="12" t="n"/>
      <c r="Z17" s="1">
        <f>IFERROR(COUNTIF(F17:U17,"W")/COUNTA(F17:U17),0)</f>
        <v/>
      </c>
      <c r="AA17">
        <f>MAX($B$10:$B$44)-B17</f>
        <v/>
      </c>
      <c r="AB17" s="1">
        <f>IFERROR(B17/16,0)</f>
        <v/>
      </c>
      <c r="AD17" s="76">
        <f>MAX($B$7:$B$141)-B17</f>
        <v/>
      </c>
    </row>
    <row r="18">
      <c r="A18" s="2">
        <f>IF(AD18=0,$AD$46, " ")</f>
        <v/>
      </c>
      <c r="B18">
        <f>SUM(V18:X18)+C18</f>
        <v/>
      </c>
      <c r="C18">
        <f>COUNTA(F18:U18)</f>
        <v/>
      </c>
      <c r="D18">
        <f>_xlfn.RANK.EQ(B18,$B$10:$B$44,0)</f>
        <v/>
      </c>
      <c r="V18" s="12" t="n"/>
      <c r="Y18" s="12" t="n"/>
      <c r="Z18" s="1">
        <f>IFERROR(COUNTIF(F18:U18,"W")/COUNTA(F18:U18),0)</f>
        <v/>
      </c>
      <c r="AA18">
        <f>MAX($B$10:$B$44)-B18</f>
        <v/>
      </c>
      <c r="AB18" s="1">
        <f>IFERROR(B18/16,0)</f>
        <v/>
      </c>
      <c r="AD18" s="76">
        <f>MAX($B$7:$B$141)-B18</f>
        <v/>
      </c>
    </row>
    <row r="19">
      <c r="A19" s="2">
        <f>IF(AD19=0,$AD$46, " ")</f>
        <v/>
      </c>
      <c r="B19">
        <f>SUM(V19:X19)+C19</f>
        <v/>
      </c>
      <c r="C19">
        <f>COUNTA(F19:U19)</f>
        <v/>
      </c>
      <c r="D19">
        <f>_xlfn.RANK.EQ(B19,$B$10:$B$44,0)</f>
        <v/>
      </c>
      <c r="V19" s="12" t="n"/>
      <c r="Y19" s="12" t="n"/>
      <c r="Z19" s="1">
        <f>IFERROR(COUNTIF(F19:U19,"W")/COUNTA(F19:U19),0)</f>
        <v/>
      </c>
      <c r="AA19">
        <f>MAX($B$10:$B$44)-B19</f>
        <v/>
      </c>
      <c r="AB19" s="1">
        <f>IFERROR(B19/16,0)</f>
        <v/>
      </c>
      <c r="AD19" s="76">
        <f>MAX($B$7:$B$141)-B19</f>
        <v/>
      </c>
    </row>
    <row r="20">
      <c r="A20" s="2">
        <f>IF(AD20=0,$AD$46, " ")</f>
        <v/>
      </c>
      <c r="B20">
        <f>SUM(V20:X20)+C20</f>
        <v/>
      </c>
      <c r="C20">
        <f>COUNTA(F20:U20)</f>
        <v/>
      </c>
      <c r="D20">
        <f>_xlfn.RANK.EQ(B20,$B$10:$B$44,0)</f>
        <v/>
      </c>
      <c r="V20" s="12" t="n"/>
      <c r="Y20" s="12" t="n"/>
      <c r="Z20" s="1">
        <f>IFERROR(COUNTIF(F20:U20,"W")/COUNTA(F20:U20),0)</f>
        <v/>
      </c>
      <c r="AA20">
        <f>MAX($B$10:$B$44)-B20</f>
        <v/>
      </c>
      <c r="AB20" s="1">
        <f>IFERROR(B20/16,0)</f>
        <v/>
      </c>
      <c r="AD20" s="76">
        <f>MAX($B$7:$B$141)-B20</f>
        <v/>
      </c>
    </row>
    <row r="21">
      <c r="A21" s="2">
        <f>IF(AD21=0,$AD$46, " ")</f>
        <v/>
      </c>
      <c r="B21">
        <f>SUM(V21:X21)+C21</f>
        <v/>
      </c>
      <c r="C21">
        <f>COUNTA(F21:U21)</f>
        <v/>
      </c>
      <c r="D21">
        <f>_xlfn.RANK.EQ(B21,$B$10:$B$44,0)</f>
        <v/>
      </c>
      <c r="V21" s="12" t="n"/>
      <c r="Y21" s="12" t="n"/>
      <c r="Z21" s="1">
        <f>IFERROR(COUNTIF(F21:U21,"W")/COUNTA(F21:U21),0)</f>
        <v/>
      </c>
      <c r="AA21">
        <f>MAX($B$10:$B$44)-B21</f>
        <v/>
      </c>
      <c r="AB21" s="1">
        <f>IFERROR(B21/16,0)</f>
        <v/>
      </c>
      <c r="AD21" s="76">
        <f>MAX($B$7:$B$141)-B21</f>
        <v/>
      </c>
    </row>
    <row r="22">
      <c r="A22" s="2">
        <f>IF(AD22=0,$AD$46, " ")</f>
        <v/>
      </c>
      <c r="B22">
        <f>SUM(V22:X22)+C22</f>
        <v/>
      </c>
      <c r="C22">
        <f>COUNTA(F22:U22)</f>
        <v/>
      </c>
      <c r="D22">
        <f>_xlfn.RANK.EQ(B22,$B$10:$B$44,0)</f>
        <v/>
      </c>
      <c r="V22" s="12" t="n"/>
      <c r="Y22" s="12" t="n"/>
      <c r="Z22" s="1">
        <f>IFERROR(COUNTIF(F22:U22,"W")/COUNTA(F22:U22),0)</f>
        <v/>
      </c>
      <c r="AA22">
        <f>MAX($B$10:$B$44)-B22</f>
        <v/>
      </c>
      <c r="AB22" s="1">
        <f>IFERROR(B22/16,0)</f>
        <v/>
      </c>
      <c r="AD22" s="76">
        <f>MAX($B$7:$B$141)-B22</f>
        <v/>
      </c>
    </row>
    <row r="23">
      <c r="A23" s="2">
        <f>IF(AD23=0,$AD$46, " ")</f>
        <v/>
      </c>
      <c r="B23">
        <f>SUM(V23:X23)+C23</f>
        <v/>
      </c>
      <c r="C23">
        <f>COUNTA(F23:U23)</f>
        <v/>
      </c>
      <c r="D23">
        <f>_xlfn.RANK.EQ(B23,$B$10:$B$44,0)</f>
        <v/>
      </c>
      <c r="V23" s="12" t="n"/>
      <c r="Y23" s="12" t="n"/>
      <c r="Z23" s="1">
        <f>IFERROR(COUNTIF(F23:U23,"W")/COUNTA(F23:U23),0)</f>
        <v/>
      </c>
      <c r="AA23">
        <f>MAX($B$10:$B$44)-B23</f>
        <v/>
      </c>
      <c r="AB23" s="1">
        <f>IFERROR(B23/16,0)</f>
        <v/>
      </c>
      <c r="AD23" s="76">
        <f>MAX($B$7:$B$141)-B23</f>
        <v/>
      </c>
    </row>
    <row r="24">
      <c r="A24" s="2">
        <f>IF(AD24=0,$AD$46, " ")</f>
        <v/>
      </c>
      <c r="B24">
        <f>SUM(V24:X24)+C24</f>
        <v/>
      </c>
      <c r="C24">
        <f>COUNTA(F24:U24)</f>
        <v/>
      </c>
      <c r="D24">
        <f>_xlfn.RANK.EQ(B24,$B$10:$B$44,0)</f>
        <v/>
      </c>
      <c r="V24" s="12" t="n"/>
      <c r="Y24" s="12" t="n"/>
      <c r="Z24" s="1">
        <f>IFERROR(COUNTIF(F24:U24,"W")/COUNTA(F24:U24),0)</f>
        <v/>
      </c>
      <c r="AA24">
        <f>MAX($B$10:$B$44)-B24</f>
        <v/>
      </c>
      <c r="AB24" s="1">
        <f>IFERROR(B24/16,0)</f>
        <v/>
      </c>
      <c r="AD24" s="76">
        <f>MAX($B$7:$B$141)-B24</f>
        <v/>
      </c>
    </row>
    <row r="25">
      <c r="A25" s="2">
        <f>IF(AD25=0,$AD$46, " ")</f>
        <v/>
      </c>
      <c r="B25">
        <f>SUM(V25:X25)+C25</f>
        <v/>
      </c>
      <c r="C25">
        <f>COUNTA(F25:U25)</f>
        <v/>
      </c>
      <c r="D25">
        <f>_xlfn.RANK.EQ(B25,$B$10:$B$44,0)</f>
        <v/>
      </c>
      <c r="V25" s="12" t="n"/>
      <c r="Y25" s="12" t="n"/>
      <c r="Z25" s="1">
        <f>IFERROR(COUNTIF(F25:U25,"W")/COUNTA(F25:U25),0)</f>
        <v/>
      </c>
      <c r="AA25">
        <f>MAX($B$10:$B$44)-B25</f>
        <v/>
      </c>
      <c r="AB25" s="1">
        <f>IFERROR(B25/16,0)</f>
        <v/>
      </c>
      <c r="AD25" s="76">
        <f>MAX($B$7:$B$141)-B25</f>
        <v/>
      </c>
    </row>
    <row r="26">
      <c r="A26" s="2">
        <f>IF(AD26=0,$AD$46, " ")</f>
        <v/>
      </c>
      <c r="B26">
        <f>SUM(V26:X26)+C26</f>
        <v/>
      </c>
      <c r="C26">
        <f>COUNTA(F26:U26)</f>
        <v/>
      </c>
      <c r="D26">
        <f>_xlfn.RANK.EQ(B26,$B$10:$B$44,0)</f>
        <v/>
      </c>
      <c r="V26" s="12" t="n"/>
      <c r="Y26" s="12" t="n"/>
      <c r="Z26" s="1">
        <f>IFERROR(COUNTIF(F26:U26,"W")/COUNTA(F26:U26),0)</f>
        <v/>
      </c>
      <c r="AA26">
        <f>MAX($B$10:$B$44)-B26</f>
        <v/>
      </c>
      <c r="AB26" s="1">
        <f>IFERROR(B26/16,0)</f>
        <v/>
      </c>
      <c r="AD26" s="76">
        <f>MAX($B$7:$B$141)-B26</f>
        <v/>
      </c>
    </row>
    <row r="27">
      <c r="A27" s="2">
        <f>IF(AD27=0,$AD$46, " ")</f>
        <v/>
      </c>
      <c r="B27">
        <f>SUM(V27:X27)+C27</f>
        <v/>
      </c>
      <c r="C27">
        <f>COUNTA(F27:U27)</f>
        <v/>
      </c>
      <c r="D27">
        <f>_xlfn.RANK.EQ(B27,$B$10:$B$44,0)</f>
        <v/>
      </c>
      <c r="V27" s="12" t="n"/>
      <c r="Y27" s="12" t="n"/>
      <c r="Z27" s="1">
        <f>IFERROR(COUNTIF(F27:U27,"W")/COUNTA(F27:U27),0)</f>
        <v/>
      </c>
      <c r="AA27">
        <f>MAX($B$10:$B$44)-B27</f>
        <v/>
      </c>
      <c r="AB27" s="1">
        <f>IFERROR(B27/16,0)</f>
        <v/>
      </c>
      <c r="AD27" s="76">
        <f>MAX($B$7:$B$141)-B27</f>
        <v/>
      </c>
    </row>
    <row r="28">
      <c r="A28" s="2">
        <f>IF(AD28=0,$AD$46, " ")</f>
        <v/>
      </c>
      <c r="B28">
        <f>SUM(V28:X28)+C28</f>
        <v/>
      </c>
      <c r="C28">
        <f>COUNTA(F28:U28)</f>
        <v/>
      </c>
      <c r="D28">
        <f>_xlfn.RANK.EQ(B28,$B$10:$B$44,0)</f>
        <v/>
      </c>
      <c r="V28" s="12" t="n"/>
      <c r="Y28" s="12" t="n"/>
      <c r="Z28" s="1">
        <f>IFERROR(COUNTIF(F28:U28,"W")/COUNTA(F28:U28),0)</f>
        <v/>
      </c>
      <c r="AA28">
        <f>MAX($B$10:$B$44)-B28</f>
        <v/>
      </c>
      <c r="AB28" s="1">
        <f>IFERROR(B28/16,0)</f>
        <v/>
      </c>
      <c r="AD28" s="76">
        <f>MAX($B$7:$B$141)-B28</f>
        <v/>
      </c>
    </row>
    <row r="29">
      <c r="A29" s="2">
        <f>IF(AD29=0,$AD$46, " ")</f>
        <v/>
      </c>
      <c r="B29">
        <f>SUM(V29:X29)+C29</f>
        <v/>
      </c>
      <c r="C29">
        <f>COUNTA(F29:U29)</f>
        <v/>
      </c>
      <c r="D29">
        <f>_xlfn.RANK.EQ(B29,$B$10:$B$44,0)</f>
        <v/>
      </c>
      <c r="V29" s="12" t="n"/>
      <c r="Y29" s="12" t="n"/>
      <c r="Z29" s="1">
        <f>IFERROR(COUNTIF(F29:U29,"W")/COUNTA(F29:U29),0)</f>
        <v/>
      </c>
      <c r="AA29">
        <f>MAX($B$10:$B$44)-B29</f>
        <v/>
      </c>
      <c r="AB29" s="1">
        <f>IFERROR(B29/16,0)</f>
        <v/>
      </c>
      <c r="AD29" s="76">
        <f>MAX($B$7:$B$141)-B29</f>
        <v/>
      </c>
    </row>
    <row r="30">
      <c r="A30" s="2">
        <f>IF(AD30=0,$AD$46, " ")</f>
        <v/>
      </c>
      <c r="B30">
        <f>SUM(V30:X30)+C30</f>
        <v/>
      </c>
      <c r="C30">
        <f>COUNTA(F30:U30)</f>
        <v/>
      </c>
      <c r="D30">
        <f>_xlfn.RANK.EQ(B30,$B$10:$B$44,0)</f>
        <v/>
      </c>
      <c r="V30" s="12" t="n"/>
      <c r="Y30" s="12" t="n"/>
      <c r="Z30" s="1">
        <f>IFERROR(COUNTIF(F30:U30,"W")/COUNTA(F30:U30),0)</f>
        <v/>
      </c>
      <c r="AA30">
        <f>MAX($B$10:$B$44)-B30</f>
        <v/>
      </c>
      <c r="AB30" s="1">
        <f>IFERROR(B30/16,0)</f>
        <v/>
      </c>
      <c r="AD30" s="76">
        <f>MAX($B$7:$B$141)-B30</f>
        <v/>
      </c>
    </row>
    <row r="31">
      <c r="A31" s="2">
        <f>IF(AD31=0,$AD$46, " ")</f>
        <v/>
      </c>
      <c r="B31">
        <f>SUM(V31:X31)+C31</f>
        <v/>
      </c>
      <c r="C31">
        <f>COUNTA(F31:U31)</f>
        <v/>
      </c>
      <c r="D31">
        <f>_xlfn.RANK.EQ(B31,$B$10:$B$44,0)</f>
        <v/>
      </c>
      <c r="V31" s="12" t="n"/>
      <c r="Y31" s="12" t="n"/>
      <c r="Z31" s="1">
        <f>IFERROR(COUNTIF(F31:U31,"W")/COUNTA(F31:U31),0)</f>
        <v/>
      </c>
      <c r="AA31">
        <f>MAX($B$10:$B$44)-B31</f>
        <v/>
      </c>
      <c r="AB31" s="1">
        <f>IFERROR(B31/16,0)</f>
        <v/>
      </c>
      <c r="AD31" s="76">
        <f>MAX($B$7:$B$141)-B31</f>
        <v/>
      </c>
    </row>
    <row r="32">
      <c r="A32" s="2">
        <f>IF(AD32=0,$AD$46, " ")</f>
        <v/>
      </c>
      <c r="B32">
        <f>SUM(V32:X32)+C32</f>
        <v/>
      </c>
      <c r="C32">
        <f>COUNTA(F32:U32)</f>
        <v/>
      </c>
      <c r="D32">
        <f>_xlfn.RANK.EQ(B32,$B$10:$B$44,0)</f>
        <v/>
      </c>
      <c r="V32" s="12" t="n"/>
      <c r="Y32" s="12" t="n"/>
      <c r="Z32" s="1">
        <f>IFERROR(COUNTIF(F32:U32,"W")/COUNTA(F32:U32),0)</f>
        <v/>
      </c>
      <c r="AA32">
        <f>MAX($B$10:$B$44)-B32</f>
        <v/>
      </c>
      <c r="AB32" s="1">
        <f>IFERROR(B32/16,0)</f>
        <v/>
      </c>
      <c r="AD32" s="76">
        <f>MAX($B$7:$B$141)-B32</f>
        <v/>
      </c>
    </row>
    <row r="33">
      <c r="A33" s="2">
        <f>IF(AD33=0,$AD$46, " ")</f>
        <v/>
      </c>
      <c r="B33">
        <f>SUM(V33:X33)+C33</f>
        <v/>
      </c>
      <c r="C33">
        <f>COUNTA(F33:U33)</f>
        <v/>
      </c>
      <c r="D33">
        <f>_xlfn.RANK.EQ(B33,$B$10:$B$44,0)</f>
        <v/>
      </c>
      <c r="V33" s="12" t="n"/>
      <c r="Y33" s="12" t="n"/>
      <c r="Z33" s="1">
        <f>IFERROR(COUNTIF(F33:U33,"W")/COUNTA(F33:U33),0)</f>
        <v/>
      </c>
      <c r="AA33">
        <f>MAX($B$10:$B$44)-B33</f>
        <v/>
      </c>
      <c r="AB33" s="1">
        <f>IFERROR(B33/16,0)</f>
        <v/>
      </c>
      <c r="AD33" s="76">
        <f>MAX($B$7:$B$141)-B33</f>
        <v/>
      </c>
    </row>
    <row r="34">
      <c r="A34" s="2">
        <f>IF(AD34=0,$AD$46, " ")</f>
        <v/>
      </c>
      <c r="B34">
        <f>SUM(V34:X34)+C34</f>
        <v/>
      </c>
      <c r="C34">
        <f>COUNTA(F34:U34)</f>
        <v/>
      </c>
      <c r="D34">
        <f>_xlfn.RANK.EQ(B34,$B$10:$B$44,0)</f>
        <v/>
      </c>
      <c r="V34" s="12" t="n"/>
      <c r="Y34" s="12" t="n"/>
      <c r="Z34" s="1">
        <f>IFERROR(COUNTIF(F34:U34,"W")/COUNTA(F34:U34),0)</f>
        <v/>
      </c>
      <c r="AA34">
        <f>MAX($B$10:$B$44)-B34</f>
        <v/>
      </c>
      <c r="AB34" s="1">
        <f>IFERROR(B34/16,0)</f>
        <v/>
      </c>
      <c r="AD34" s="76">
        <f>MAX($B$7:$B$141)-B34</f>
        <v/>
      </c>
    </row>
    <row r="35">
      <c r="A35" s="2">
        <f>IF(AD35=0,$AD$46, " ")</f>
        <v/>
      </c>
      <c r="B35">
        <f>SUM(V35:X35)+C35</f>
        <v/>
      </c>
      <c r="C35">
        <f>COUNTA(F35:U35)</f>
        <v/>
      </c>
      <c r="D35">
        <f>_xlfn.RANK.EQ(B35,$B$10:$B$44,0)</f>
        <v/>
      </c>
      <c r="V35" s="12" t="n"/>
      <c r="Y35" s="12" t="n"/>
      <c r="Z35" s="1">
        <f>IFERROR(COUNTIF(F35:U35,"W")/COUNTA(F35:U35),0)</f>
        <v/>
      </c>
      <c r="AA35">
        <f>MAX($B$10:$B$44)-B35</f>
        <v/>
      </c>
      <c r="AB35" s="1">
        <f>IFERROR(B35/16,0)</f>
        <v/>
      </c>
      <c r="AD35" s="76">
        <f>MAX($B$7:$B$141)-B35</f>
        <v/>
      </c>
    </row>
    <row r="36">
      <c r="A36" s="2">
        <f>IF(AD36=0,$AD$46, " ")</f>
        <v/>
      </c>
      <c r="B36">
        <f>SUM(V36:X36)+C36</f>
        <v/>
      </c>
      <c r="C36">
        <f>COUNTA(F36:U36)</f>
        <v/>
      </c>
      <c r="D36">
        <f>_xlfn.RANK.EQ(B36,$B$10:$B$44,0)</f>
        <v/>
      </c>
      <c r="V36" s="12" t="n"/>
      <c r="Y36" s="12" t="n"/>
      <c r="Z36" s="1">
        <f>IFERROR(COUNTIF(F36:U36,"W")/COUNTA(F36:U36),0)</f>
        <v/>
      </c>
      <c r="AA36">
        <f>MAX($B$10:$B$44)-B36</f>
        <v/>
      </c>
      <c r="AB36" s="1">
        <f>IFERROR(B36/16,0)</f>
        <v/>
      </c>
      <c r="AD36" s="76">
        <f>MAX($B$7:$B$141)-B36</f>
        <v/>
      </c>
    </row>
    <row r="37">
      <c r="A37" s="2">
        <f>IF(AD37=0,$AD$46, " ")</f>
        <v/>
      </c>
      <c r="B37">
        <f>SUM(V37:X37)+C37</f>
        <v/>
      </c>
      <c r="C37">
        <f>COUNTA(F37:U37)</f>
        <v/>
      </c>
      <c r="D37">
        <f>_xlfn.RANK.EQ(B37,$B$10:$B$44,0)</f>
        <v/>
      </c>
      <c r="V37" s="12" t="n"/>
      <c r="Y37" s="12" t="n"/>
      <c r="Z37" s="1">
        <f>IFERROR(COUNTIF(F37:U37,"W")/COUNTA(F37:U37),0)</f>
        <v/>
      </c>
      <c r="AA37">
        <f>MAX($B$10:$B$44)-B37</f>
        <v/>
      </c>
      <c r="AB37" s="1">
        <f>IFERROR(B37/16,0)</f>
        <v/>
      </c>
      <c r="AD37" s="76">
        <f>MAX($B$7:$B$141)-B37</f>
        <v/>
      </c>
    </row>
    <row r="38">
      <c r="A38" s="2">
        <f>IF(AD38=0,$AD$46, " ")</f>
        <v/>
      </c>
      <c r="B38">
        <f>SUM(V38:X38)+C38</f>
        <v/>
      </c>
      <c r="C38">
        <f>COUNTA(F38:U38)</f>
        <v/>
      </c>
      <c r="D38">
        <f>_xlfn.RANK.EQ(B38,$B$10:$B$44,0)</f>
        <v/>
      </c>
      <c r="V38" s="12" t="n"/>
      <c r="Y38" s="12" t="n"/>
      <c r="Z38" s="1">
        <f>IFERROR(COUNTIF(F38:U38,"W")/COUNTA(F38:U38),0)</f>
        <v/>
      </c>
      <c r="AA38">
        <f>MAX($B$10:$B$44)-B38</f>
        <v/>
      </c>
      <c r="AB38" s="1">
        <f>IFERROR(B38/16,0)</f>
        <v/>
      </c>
      <c r="AD38" s="76">
        <f>MAX($B$7:$B$141)-B38</f>
        <v/>
      </c>
    </row>
    <row r="39">
      <c r="A39" s="2">
        <f>IF(AD39=0,$AD$46, " ")</f>
        <v/>
      </c>
      <c r="B39">
        <f>SUM(V39:X39)+C39</f>
        <v/>
      </c>
      <c r="C39">
        <f>COUNTA(F39:U39)</f>
        <v/>
      </c>
      <c r="D39">
        <f>_xlfn.RANK.EQ(B39,$B$10:$B$44,0)</f>
        <v/>
      </c>
      <c r="V39" s="12" t="n"/>
      <c r="Y39" s="12" t="n"/>
      <c r="Z39" s="1">
        <f>IFERROR(COUNTIF(F39:U39,"W")/COUNTA(F39:U39),0)</f>
        <v/>
      </c>
      <c r="AA39">
        <f>MAX($B$10:$B$44)-B39</f>
        <v/>
      </c>
      <c r="AB39" s="1">
        <f>IFERROR(B39/16,0)</f>
        <v/>
      </c>
      <c r="AD39" s="76">
        <f>MAX($B$7:$B$141)-B39</f>
        <v/>
      </c>
    </row>
    <row r="40">
      <c r="A40" s="2">
        <f>IF(AD40=0,$AD$46, " ")</f>
        <v/>
      </c>
      <c r="B40">
        <f>SUM(V40:X40)+C40</f>
        <v/>
      </c>
      <c r="C40">
        <f>COUNTA(F40:U40)</f>
        <v/>
      </c>
      <c r="D40">
        <f>_xlfn.RANK.EQ(B40,$B$10:$B$44,0)</f>
        <v/>
      </c>
      <c r="V40" s="12" t="n"/>
      <c r="Y40" s="12" t="n"/>
      <c r="Z40" s="1">
        <f>IFERROR(COUNTIF(F40:U40,"W")/COUNTA(F40:U40),0)</f>
        <v/>
      </c>
      <c r="AA40">
        <f>MAX($B$10:$B$44)-B40</f>
        <v/>
      </c>
      <c r="AB40" s="1">
        <f>IFERROR(B40/16,0)</f>
        <v/>
      </c>
      <c r="AD40" s="76">
        <f>MAX($B$7:$B$141)-B40</f>
        <v/>
      </c>
    </row>
    <row r="41">
      <c r="A41" s="2">
        <f>IF(AD41=0,$AD$46, " ")</f>
        <v/>
      </c>
      <c r="B41">
        <f>SUM(V41:X41)+C41</f>
        <v/>
      </c>
      <c r="C41">
        <f>COUNTA(F41:U41)</f>
        <v/>
      </c>
      <c r="D41">
        <f>_xlfn.RANK.EQ(B41,$B$10:$B$44,0)</f>
        <v/>
      </c>
      <c r="V41" s="12" t="n"/>
      <c r="Y41" s="12" t="n"/>
      <c r="Z41" s="1">
        <f>IFERROR(COUNTIF(F41:U41,"W")/COUNTA(F41:U41),0)</f>
        <v/>
      </c>
      <c r="AA41">
        <f>MAX($B$10:$B$44)-B41</f>
        <v/>
      </c>
      <c r="AB41" s="1">
        <f>IFERROR(B41/16,0)</f>
        <v/>
      </c>
      <c r="AD41" s="76">
        <f>MAX($B$7:$B$141)-B41</f>
        <v/>
      </c>
    </row>
    <row r="42">
      <c r="A42" s="2">
        <f>IF(AD42=0,$AD$46, " ")</f>
        <v/>
      </c>
      <c r="B42">
        <f>SUM(V42:X42)+C42</f>
        <v/>
      </c>
      <c r="C42">
        <f>COUNTA(F42:U42)</f>
        <v/>
      </c>
      <c r="D42">
        <f>_xlfn.RANK.EQ(B42,$B$10:$B$44,0)</f>
        <v/>
      </c>
      <c r="V42" s="12" t="n"/>
      <c r="Y42" s="12" t="n"/>
      <c r="Z42" s="1">
        <f>IFERROR(COUNTIF(F42:U42,"W")/COUNTA(F42:U42),0)</f>
        <v/>
      </c>
      <c r="AA42">
        <f>MAX($B$10:$B$44)-B42</f>
        <v/>
      </c>
      <c r="AB42" s="1">
        <f>IFERROR(B42/16,0)</f>
        <v/>
      </c>
      <c r="AD42" s="76">
        <f>MAX($B$7:$B$141)-B42</f>
        <v/>
      </c>
    </row>
    <row r="43">
      <c r="A43" s="2">
        <f>IF(AD43=0,$AD$46, " ")</f>
        <v/>
      </c>
      <c r="B43">
        <f>SUM(V43:X43)+C43</f>
        <v/>
      </c>
      <c r="C43">
        <f>COUNTA(F43:U43)</f>
        <v/>
      </c>
      <c r="D43">
        <f>_xlfn.RANK.EQ(B43,$B$10:$B$44,0)</f>
        <v/>
      </c>
      <c r="V43" s="12" t="n"/>
      <c r="Y43" s="12" t="n"/>
      <c r="Z43" s="1">
        <f>IFERROR(COUNTIF(F43:U43,"W")/COUNTA(F43:U43),0)</f>
        <v/>
      </c>
      <c r="AA43">
        <f>MAX($B$10:$B$44)-B43</f>
        <v/>
      </c>
      <c r="AB43" s="1">
        <f>IFERROR(B43/16,0)</f>
        <v/>
      </c>
      <c r="AD43" s="76">
        <f>MAX($B$7:$B$141)-B43</f>
        <v/>
      </c>
    </row>
    <row r="44">
      <c r="A44" s="2">
        <f>IF(AD44=0,$AD$46, " ")</f>
        <v/>
      </c>
      <c r="B44">
        <f>SUM(V44:X44)+C44</f>
        <v/>
      </c>
      <c r="C44">
        <f>COUNTA(F44:U44)</f>
        <v/>
      </c>
      <c r="D44">
        <f>_xlfn.RANK.EQ(B44,$B$10:$B$44,0)</f>
        <v/>
      </c>
      <c r="V44" s="12" t="n"/>
      <c r="Y44" s="12" t="n"/>
      <c r="Z44" s="1">
        <f>IFERROR(COUNTIF(F44:U44,"W")/COUNTA(F44:U44),0)</f>
        <v/>
      </c>
      <c r="AA44">
        <f>MAX($B$10:$B$44)-B44</f>
        <v/>
      </c>
      <c r="AB44" s="1">
        <f>IFERROR(B44/16,0)</f>
        <v/>
      </c>
      <c r="AD44" s="76">
        <f>MAX($B$7:$B$141)-B44</f>
        <v/>
      </c>
    </row>
    <row r="45">
      <c r="AD45" s="10">
        <f>COUNTIF(AD10:AD44,0)</f>
        <v/>
      </c>
    </row>
    <row r="46">
      <c r="AD46" s="76">
        <f>SUM(AD10:AD44)/AD45</f>
        <v/>
      </c>
    </row>
  </sheetData>
  <mergeCells count="1">
    <mergeCell ref="A1:Y2"/>
  </mergeCells>
  <conditionalFormatting sqref="B10:B4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:D4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0:U44">
    <cfRule type="cellIs" priority="4" operator="equal" dxfId="2">
      <formula>"W"</formula>
    </cfRule>
    <cfRule type="cellIs" priority="5" operator="equal" dxfId="1">
      <formula>"L"</formula>
    </cfRule>
  </conditionalFormatting>
  <conditionalFormatting sqref="AD10:AD46">
    <cfRule type="cellIs" priority="1" operator="equal" dxfId="0" stopIfTrue="1">
      <formula>0</formula>
    </cfRule>
  </conditionalFormatting>
  <dataValidations count="2">
    <dataValidation sqref="F6:U6" showDropDown="0" showInputMessage="0" showErrorMessage="0" allowBlank="1" type="list">
      <formula1>"Seattle,Los Angeles Rams,Cincinnati,Detroit,Tennessee,Indianapolis,Pittsburgh,Carolina,Jacksonville,Houston,Las Vegas,Minnesota,Philadelphia,Los Angeles Chargers,New York Giants,Kansas City"</formula1>
    </dataValidation>
    <dataValidation sqref="F10:U44" showDropDown="0" showInputMessage="0" showErrorMessage="0" allowBlank="1" type="list">
      <formula1>"W,L"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D46"/>
  <sheetViews>
    <sheetView workbookViewId="0">
      <selection activeCell="A1" sqref="A1:XFD1048576"/>
    </sheetView>
  </sheetViews>
  <sheetFormatPr baseColWidth="8" defaultColWidth="9.109375" defaultRowHeight="14.4"/>
  <cols>
    <col width="11" customWidth="1" style="54" min="1" max="1"/>
    <col width="8" customWidth="1" style="54" min="2" max="4"/>
    <col width="22" customWidth="1" style="54" min="5" max="5"/>
    <col width="17.6640625" customWidth="1" style="54" min="6" max="18"/>
    <col width="23.5546875" bestFit="1" customWidth="1" style="54" min="19" max="19"/>
    <col width="17.6640625" customWidth="1" style="54" min="20" max="21"/>
    <col width="17" customWidth="1" style="54" min="22" max="25"/>
    <col width="12" customWidth="1" style="54" min="26" max="27"/>
    <col width="10" customWidth="1" style="54" min="28" max="28"/>
    <col width="9.109375" customWidth="1" style="54" min="29" max="34"/>
    <col width="9.109375" customWidth="1" style="54" min="35" max="16384"/>
  </cols>
  <sheetData>
    <row r="1">
      <c r="A1" s="63" t="inlineStr">
        <is>
          <t>🏈 WEEK 3 — ACQL</t>
        </is>
      </c>
    </row>
    <row r="2"/>
    <row r="4">
      <c r="A4" s="5" t="inlineStr">
        <is>
          <t>Home Team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inlineStr">
        <is>
          <t>Away Team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6" t="inlineStr">
        <is>
          <t>Result / Winner →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</row>
    <row r="7">
      <c r="A7" s="8" t="inlineStr">
        <is>
          <t>Picked Home %</t>
        </is>
      </c>
      <c r="B7" s="8" t="n"/>
      <c r="C7" s="8" t="n"/>
      <c r="D7" s="8" t="n"/>
      <c r="E7" s="8" t="n"/>
      <c r="F7" s="8">
        <f>IFERROR(COUNTIF(F10:F44, F$4)/COUNTA(B10:B44),0)</f>
        <v/>
      </c>
      <c r="G7" s="8">
        <f>IFERROR(COUNTIF(G10:G44, G$4)/COUNTA(C10:C44),0)</f>
        <v/>
      </c>
      <c r="H7" s="8">
        <f>IFERROR(COUNTIF(H10:H44, H$4)/COUNTA(D10:D44),0)</f>
        <v/>
      </c>
      <c r="I7" s="8">
        <f>IFERROR(COUNTIF(I10:I44, I$4)/COUNTA(E10:E44),0)</f>
        <v/>
      </c>
      <c r="J7" s="8">
        <f>IFERROR(COUNTIF(J10:J44, J$4)/COUNTA(F10:F44),0)</f>
        <v/>
      </c>
      <c r="K7" s="8">
        <f>IFERROR(COUNTIF(K10:K44, K$4)/COUNTA(G10:G44),0)</f>
        <v/>
      </c>
      <c r="L7" s="8">
        <f>IFERROR(COUNTIF(L10:L44, L$4)/COUNTA(H10:H44),0)</f>
        <v/>
      </c>
      <c r="M7" s="8">
        <f>IFERROR(COUNTIF(M10:M44, M$4)/COUNTA(I10:I44),0)</f>
        <v/>
      </c>
      <c r="N7" s="8">
        <f>IFERROR(COUNTIF(N10:N44, N$4)/COUNTA(J10:J44),0)</f>
        <v/>
      </c>
      <c r="O7" s="8">
        <f>IFERROR(COUNTIF(O10:O44, O$4)/COUNTA(K10:K44),0)</f>
        <v/>
      </c>
      <c r="P7" s="8">
        <f>IFERROR(COUNTIF(P10:P44, P$4)/COUNTA(L10:L44),0)</f>
        <v/>
      </c>
      <c r="Q7" s="8">
        <f>IFERROR(COUNTIF(Q10:Q44, Q$4)/COUNTA(M10:M44),0)</f>
        <v/>
      </c>
      <c r="R7" s="8">
        <f>IFERROR(COUNTIF(R10:R44, R$4)/COUNTA(N10:N44),0)</f>
        <v/>
      </c>
      <c r="S7" s="8">
        <f>IFERROR(COUNTIF(S10:S44, S$4)/COUNTA(O10:O44),0)</f>
        <v/>
      </c>
      <c r="T7" s="8">
        <f>IFERROR(COUNTIF(T10:T44, T$4)/COUNTA(P10:P44),0)</f>
        <v/>
      </c>
      <c r="U7" s="8">
        <f>IFERROR(COUNTIF(U10:U44, U$4)/COUNTA(Q10:Q44),0)</f>
        <v/>
      </c>
      <c r="V7" s="7" t="n"/>
      <c r="W7" s="7" t="n"/>
      <c r="X7" s="7" t="n"/>
      <c r="Y7" s="7" t="n"/>
    </row>
    <row r="9" ht="28.8" customHeight="1" s="54">
      <c r="A9" s="9" t="inlineStr">
        <is>
          <t>Entry Fee</t>
        </is>
      </c>
      <c r="B9" s="9" t="inlineStr">
        <is>
          <t>Wins</t>
        </is>
      </c>
      <c r="C9" s="9" t="inlineStr">
        <is>
          <t>Wins</t>
        </is>
      </c>
      <c r="D9" s="9" t="inlineStr">
        <is>
          <t>Rank</t>
        </is>
      </c>
      <c r="E9" s="9" t="inlineStr">
        <is>
          <t>Player</t>
        </is>
      </c>
      <c r="F9" s="9" t="inlineStr">
        <is>
          <t>G1</t>
        </is>
      </c>
      <c r="G9" s="9" t="inlineStr">
        <is>
          <t>G2</t>
        </is>
      </c>
      <c r="H9" s="9" t="inlineStr">
        <is>
          <t>G3</t>
        </is>
      </c>
      <c r="I9" s="9" t="inlineStr">
        <is>
          <t>G4</t>
        </is>
      </c>
      <c r="J9" s="9" t="inlineStr">
        <is>
          <t>G5</t>
        </is>
      </c>
      <c r="K9" s="9" t="inlineStr">
        <is>
          <t>G6</t>
        </is>
      </c>
      <c r="L9" s="9" t="inlineStr">
        <is>
          <t>G7</t>
        </is>
      </c>
      <c r="M9" s="9" t="inlineStr">
        <is>
          <t>G8</t>
        </is>
      </c>
      <c r="N9" s="9" t="inlineStr">
        <is>
          <t>G9</t>
        </is>
      </c>
      <c r="O9" s="9" t="inlineStr">
        <is>
          <t>G10</t>
        </is>
      </c>
      <c r="P9" s="9" t="inlineStr">
        <is>
          <t>G11</t>
        </is>
      </c>
      <c r="Q9" s="9" t="inlineStr">
        <is>
          <t>G12</t>
        </is>
      </c>
      <c r="R9" s="9" t="inlineStr">
        <is>
          <t>G13</t>
        </is>
      </c>
      <c r="S9" s="9" t="inlineStr">
        <is>
          <t>G14</t>
        </is>
      </c>
      <c r="T9" s="9" t="inlineStr">
        <is>
          <t>G15</t>
        </is>
      </c>
      <c r="U9" s="9" t="inlineStr">
        <is>
          <t>G16</t>
        </is>
      </c>
      <c r="V9" s="9" t="inlineStr">
        <is>
          <t>Loser 1</t>
        </is>
      </c>
      <c r="W9" s="9" t="inlineStr">
        <is>
          <t>Loser 2</t>
        </is>
      </c>
      <c r="X9" s="9" t="inlineStr">
        <is>
          <t>Loser 3</t>
        </is>
      </c>
      <c r="Y9" s="9" t="inlineStr">
        <is>
          <t>Suicide</t>
        </is>
      </c>
      <c r="Z9" s="9" t="inlineStr">
        <is>
          <t>Home Team %</t>
        </is>
      </c>
      <c r="AA9" s="9" t="inlineStr">
        <is>
          <t>$ Owed</t>
        </is>
      </c>
      <c r="AB9" s="9" t="inlineStr">
        <is>
          <t>Games Behind</t>
        </is>
      </c>
      <c r="AC9" s="9" t="inlineStr">
        <is>
          <t>Win %</t>
        </is>
      </c>
    </row>
    <row r="10">
      <c r="A10" s="2">
        <f>IF(AD10=0,$AD$46, " ")</f>
        <v/>
      </c>
      <c r="B10">
        <f>SUM(V10:X10)+C10</f>
        <v/>
      </c>
      <c r="C10">
        <f>COUNTA(F10:U10)</f>
        <v/>
      </c>
      <c r="D10">
        <f>_xlfn.RANK.EQ(B10,$B$10:$B$44,0)</f>
        <v/>
      </c>
      <c r="V10" s="11" t="n"/>
      <c r="Y10" s="11" t="n"/>
      <c r="Z10" s="1">
        <f>IFERROR(COUNTIF(F10:U10,"W")/COUNTA(F10:U10),0)</f>
        <v/>
      </c>
      <c r="AA10">
        <f>MAX($B$10:$B$44)-B10</f>
        <v/>
      </c>
      <c r="AB10" s="1">
        <f>IFERROR(B10/16,0)</f>
        <v/>
      </c>
      <c r="AD10" s="76">
        <f>MAX($B$7:$B$141)-B10</f>
        <v/>
      </c>
    </row>
    <row r="11">
      <c r="A11" s="2">
        <f>IF(AD11=0,$AD$46, " ")</f>
        <v/>
      </c>
      <c r="B11">
        <f>SUM(V11:X11)+C11</f>
        <v/>
      </c>
      <c r="C11">
        <f>COUNTA(F11:U11)</f>
        <v/>
      </c>
      <c r="D11">
        <f>_xlfn.RANK.EQ(B11,$B$10:$B$44,0)</f>
        <v/>
      </c>
      <c r="V11" s="12" t="n"/>
      <c r="Y11" s="12" t="n"/>
      <c r="Z11" s="1">
        <f>IFERROR(COUNTIF(F11:U11,"W")/COUNTA(F11:U11),0)</f>
        <v/>
      </c>
      <c r="AA11">
        <f>MAX($B$10:$B$44)-B11</f>
        <v/>
      </c>
      <c r="AB11" s="1">
        <f>IFERROR(B11/16,0)</f>
        <v/>
      </c>
      <c r="AD11" s="76">
        <f>MAX($B$7:$B$141)-B11</f>
        <v/>
      </c>
    </row>
    <row r="12">
      <c r="A12" s="2">
        <f>IF(AD12=0,$AD$46, " ")</f>
        <v/>
      </c>
      <c r="B12">
        <f>SUM(V12:X12)+C12</f>
        <v/>
      </c>
      <c r="C12">
        <f>COUNTA(F12:U12)</f>
        <v/>
      </c>
      <c r="D12">
        <f>_xlfn.RANK.EQ(B12,$B$10:$B$44,0)</f>
        <v/>
      </c>
      <c r="V12" s="12" t="n"/>
      <c r="Y12" s="12" t="n"/>
      <c r="Z12" s="1">
        <f>IFERROR(COUNTIF(F12:U12,"W")/COUNTA(F12:U12),0)</f>
        <v/>
      </c>
      <c r="AA12">
        <f>MAX($B$10:$B$44)-B12</f>
        <v/>
      </c>
      <c r="AB12" s="1">
        <f>IFERROR(B12/16,0)</f>
        <v/>
      </c>
      <c r="AD12" s="76">
        <f>MAX($B$7:$B$141)-B12</f>
        <v/>
      </c>
    </row>
    <row r="13">
      <c r="A13" s="2">
        <f>IF(AD13=0,$AD$46, " ")</f>
        <v/>
      </c>
      <c r="B13">
        <f>SUM(V13:X13)+C13</f>
        <v/>
      </c>
      <c r="C13">
        <f>COUNTA(F13:U13)</f>
        <v/>
      </c>
      <c r="D13">
        <f>_xlfn.RANK.EQ(B13,$B$10:$B$44,0)</f>
        <v/>
      </c>
      <c r="V13" s="12" t="n"/>
      <c r="Y13" s="12" t="n"/>
      <c r="Z13" s="1">
        <f>IFERROR(COUNTIF(F13:U13,"W")/COUNTA(F13:U13),0)</f>
        <v/>
      </c>
      <c r="AA13">
        <f>MAX($B$10:$B$44)-B13</f>
        <v/>
      </c>
      <c r="AB13" s="1">
        <f>IFERROR(B13/16,0)</f>
        <v/>
      </c>
      <c r="AD13" s="76">
        <f>MAX($B$7:$B$141)-B13</f>
        <v/>
      </c>
    </row>
    <row r="14">
      <c r="A14" s="2">
        <f>IF(AD14=0,$AD$46, " ")</f>
        <v/>
      </c>
      <c r="B14">
        <f>SUM(V14:X14)+C14</f>
        <v/>
      </c>
      <c r="C14">
        <f>COUNTA(F14:U14)</f>
        <v/>
      </c>
      <c r="D14">
        <f>_xlfn.RANK.EQ(B14,$B$10:$B$44,0)</f>
        <v/>
      </c>
      <c r="V14" s="12" t="n"/>
      <c r="Y14" s="12" t="n"/>
      <c r="Z14" s="1">
        <f>IFERROR(COUNTIF(F14:U14,"W")/COUNTA(F14:U14),0)</f>
        <v/>
      </c>
      <c r="AA14">
        <f>MAX($B$10:$B$44)-B14</f>
        <v/>
      </c>
      <c r="AB14" s="1">
        <f>IFERROR(B14/16,0)</f>
        <v/>
      </c>
      <c r="AD14" s="76">
        <f>MAX($B$7:$B$141)-B14</f>
        <v/>
      </c>
    </row>
    <row r="15">
      <c r="A15" s="2">
        <f>IF(AD15=0,$AD$46, " ")</f>
        <v/>
      </c>
      <c r="B15">
        <f>SUM(V15:X15)+C15</f>
        <v/>
      </c>
      <c r="C15">
        <f>COUNTA(F15:U15)</f>
        <v/>
      </c>
      <c r="D15">
        <f>_xlfn.RANK.EQ(B15,$B$10:$B$44,0)</f>
        <v/>
      </c>
      <c r="V15" s="12" t="n"/>
      <c r="Y15" s="12" t="n"/>
      <c r="Z15" s="1">
        <f>IFERROR(COUNTIF(F15:U15,"W")/COUNTA(F15:U15),0)</f>
        <v/>
      </c>
      <c r="AA15">
        <f>MAX($B$10:$B$44)-B15</f>
        <v/>
      </c>
      <c r="AB15" s="1">
        <f>IFERROR(B15/16,0)</f>
        <v/>
      </c>
      <c r="AD15" s="76">
        <f>MAX($B$7:$B$141)-B15</f>
        <v/>
      </c>
    </row>
    <row r="16">
      <c r="A16" s="2">
        <f>IF(AD16=0,$AD$46, " ")</f>
        <v/>
      </c>
      <c r="B16">
        <f>SUM(V16:X16)+C16</f>
        <v/>
      </c>
      <c r="C16">
        <f>COUNTA(F16:U16)</f>
        <v/>
      </c>
      <c r="D16">
        <f>_xlfn.RANK.EQ(B16,$B$10:$B$44,0)</f>
        <v/>
      </c>
      <c r="V16" s="12" t="n"/>
      <c r="Y16" s="12" t="n"/>
      <c r="Z16" s="1">
        <f>IFERROR(COUNTIF(F16:U16,"W")/COUNTA(F16:U16),0)</f>
        <v/>
      </c>
      <c r="AA16">
        <f>MAX($B$10:$B$44)-B16</f>
        <v/>
      </c>
      <c r="AB16" s="1">
        <f>IFERROR(B16/16,0)</f>
        <v/>
      </c>
      <c r="AD16" s="76">
        <f>MAX($B$7:$B$141)-B16</f>
        <v/>
      </c>
    </row>
    <row r="17">
      <c r="A17" s="2">
        <f>IF(AD17=0,$AD$46, " ")</f>
        <v/>
      </c>
      <c r="B17">
        <f>SUM(V17:X17)+C17</f>
        <v/>
      </c>
      <c r="C17">
        <f>COUNTA(F17:U17)</f>
        <v/>
      </c>
      <c r="D17">
        <f>_xlfn.RANK.EQ(B17,$B$10:$B$44,0)</f>
        <v/>
      </c>
      <c r="V17" s="12" t="n"/>
      <c r="Y17" s="12" t="n"/>
      <c r="Z17" s="1">
        <f>IFERROR(COUNTIF(F17:U17,"W")/COUNTA(F17:U17),0)</f>
        <v/>
      </c>
      <c r="AA17">
        <f>MAX($B$10:$B$44)-B17</f>
        <v/>
      </c>
      <c r="AB17" s="1">
        <f>IFERROR(B17/16,0)</f>
        <v/>
      </c>
      <c r="AD17" s="76">
        <f>MAX($B$7:$B$141)-B17</f>
        <v/>
      </c>
    </row>
    <row r="18">
      <c r="A18" s="2">
        <f>IF(AD18=0,$AD$46, " ")</f>
        <v/>
      </c>
      <c r="B18">
        <f>SUM(V18:X18)+C18</f>
        <v/>
      </c>
      <c r="C18">
        <f>COUNTA(F18:U18)</f>
        <v/>
      </c>
      <c r="D18">
        <f>_xlfn.RANK.EQ(B18,$B$10:$B$44,0)</f>
        <v/>
      </c>
      <c r="V18" s="12" t="n"/>
      <c r="Y18" s="12" t="n"/>
      <c r="Z18" s="1">
        <f>IFERROR(COUNTIF(F18:U18,"W")/COUNTA(F18:U18),0)</f>
        <v/>
      </c>
      <c r="AA18">
        <f>MAX($B$10:$B$44)-B18</f>
        <v/>
      </c>
      <c r="AB18" s="1">
        <f>IFERROR(B18/16,0)</f>
        <v/>
      </c>
      <c r="AD18" s="76">
        <f>MAX($B$7:$B$141)-B18</f>
        <v/>
      </c>
    </row>
    <row r="19">
      <c r="A19" s="2">
        <f>IF(AD19=0,$AD$46, " ")</f>
        <v/>
      </c>
      <c r="B19">
        <f>SUM(V19:X19)+C19</f>
        <v/>
      </c>
      <c r="C19">
        <f>COUNTA(F19:U19)</f>
        <v/>
      </c>
      <c r="D19">
        <f>_xlfn.RANK.EQ(B19,$B$10:$B$44,0)</f>
        <v/>
      </c>
      <c r="V19" s="12" t="n"/>
      <c r="Y19" s="12" t="n"/>
      <c r="Z19" s="1">
        <f>IFERROR(COUNTIF(F19:U19,"W")/COUNTA(F19:U19),0)</f>
        <v/>
      </c>
      <c r="AA19">
        <f>MAX($B$10:$B$44)-B19</f>
        <v/>
      </c>
      <c r="AB19" s="1">
        <f>IFERROR(B19/16,0)</f>
        <v/>
      </c>
      <c r="AD19" s="76">
        <f>MAX($B$7:$B$141)-B19</f>
        <v/>
      </c>
    </row>
    <row r="20">
      <c r="A20" s="2">
        <f>IF(AD20=0,$AD$46, " ")</f>
        <v/>
      </c>
      <c r="B20">
        <f>SUM(V20:X20)+C20</f>
        <v/>
      </c>
      <c r="C20">
        <f>COUNTA(F20:U20)</f>
        <v/>
      </c>
      <c r="D20">
        <f>_xlfn.RANK.EQ(B20,$B$10:$B$44,0)</f>
        <v/>
      </c>
      <c r="V20" s="12" t="n"/>
      <c r="Y20" s="12" t="n"/>
      <c r="Z20" s="1">
        <f>IFERROR(COUNTIF(F20:U20,"W")/COUNTA(F20:U20),0)</f>
        <v/>
      </c>
      <c r="AA20">
        <f>MAX($B$10:$B$44)-B20</f>
        <v/>
      </c>
      <c r="AB20" s="1">
        <f>IFERROR(B20/16,0)</f>
        <v/>
      </c>
      <c r="AD20" s="76">
        <f>MAX($B$7:$B$141)-B20</f>
        <v/>
      </c>
    </row>
    <row r="21">
      <c r="A21" s="2">
        <f>IF(AD21=0,$AD$46, " ")</f>
        <v/>
      </c>
      <c r="B21">
        <f>SUM(V21:X21)+C21</f>
        <v/>
      </c>
      <c r="C21">
        <f>COUNTA(F21:U21)</f>
        <v/>
      </c>
      <c r="D21">
        <f>_xlfn.RANK.EQ(B21,$B$10:$B$44,0)</f>
        <v/>
      </c>
      <c r="V21" s="12" t="n"/>
      <c r="Y21" s="12" t="n"/>
      <c r="Z21" s="1">
        <f>IFERROR(COUNTIF(F21:U21,"W")/COUNTA(F21:U21),0)</f>
        <v/>
      </c>
      <c r="AA21">
        <f>MAX($B$10:$B$44)-B21</f>
        <v/>
      </c>
      <c r="AB21" s="1">
        <f>IFERROR(B21/16,0)</f>
        <v/>
      </c>
      <c r="AD21" s="76">
        <f>MAX($B$7:$B$141)-B21</f>
        <v/>
      </c>
    </row>
    <row r="22">
      <c r="A22" s="2">
        <f>IF(AD22=0,$AD$46, " ")</f>
        <v/>
      </c>
      <c r="B22">
        <f>SUM(V22:X22)+C22</f>
        <v/>
      </c>
      <c r="C22">
        <f>COUNTA(F22:U22)</f>
        <v/>
      </c>
      <c r="D22">
        <f>_xlfn.RANK.EQ(B22,$B$10:$B$44,0)</f>
        <v/>
      </c>
      <c r="V22" s="12" t="n"/>
      <c r="Y22" s="12" t="n"/>
      <c r="Z22" s="1">
        <f>IFERROR(COUNTIF(F22:U22,"W")/COUNTA(F22:U22),0)</f>
        <v/>
      </c>
      <c r="AA22">
        <f>MAX($B$10:$B$44)-B22</f>
        <v/>
      </c>
      <c r="AB22" s="1">
        <f>IFERROR(B22/16,0)</f>
        <v/>
      </c>
      <c r="AD22" s="76">
        <f>MAX($B$7:$B$141)-B22</f>
        <v/>
      </c>
    </row>
    <row r="23">
      <c r="A23" s="2">
        <f>IF(AD23=0,$AD$46, " ")</f>
        <v/>
      </c>
      <c r="B23">
        <f>SUM(V23:X23)+C23</f>
        <v/>
      </c>
      <c r="C23">
        <f>COUNTA(F23:U23)</f>
        <v/>
      </c>
      <c r="D23">
        <f>_xlfn.RANK.EQ(B23,$B$10:$B$44,0)</f>
        <v/>
      </c>
      <c r="V23" s="12" t="n"/>
      <c r="Y23" s="12" t="n"/>
      <c r="Z23" s="1">
        <f>IFERROR(COUNTIF(F23:U23,"W")/COUNTA(F23:U23),0)</f>
        <v/>
      </c>
      <c r="AA23">
        <f>MAX($B$10:$B$44)-B23</f>
        <v/>
      </c>
      <c r="AB23" s="1">
        <f>IFERROR(B23/16,0)</f>
        <v/>
      </c>
      <c r="AD23" s="76">
        <f>MAX($B$7:$B$141)-B23</f>
        <v/>
      </c>
    </row>
    <row r="24">
      <c r="A24" s="2">
        <f>IF(AD24=0,$AD$46, " ")</f>
        <v/>
      </c>
      <c r="B24">
        <f>SUM(V24:X24)+C24</f>
        <v/>
      </c>
      <c r="C24">
        <f>COUNTA(F24:U24)</f>
        <v/>
      </c>
      <c r="D24">
        <f>_xlfn.RANK.EQ(B24,$B$10:$B$44,0)</f>
        <v/>
      </c>
      <c r="V24" s="12" t="n"/>
      <c r="Y24" s="12" t="n"/>
      <c r="Z24" s="1">
        <f>IFERROR(COUNTIF(F24:U24,"W")/COUNTA(F24:U24),0)</f>
        <v/>
      </c>
      <c r="AA24">
        <f>MAX($B$10:$B$44)-B24</f>
        <v/>
      </c>
      <c r="AB24" s="1">
        <f>IFERROR(B24/16,0)</f>
        <v/>
      </c>
      <c r="AD24" s="76">
        <f>MAX($B$7:$B$141)-B24</f>
        <v/>
      </c>
    </row>
    <row r="25">
      <c r="A25" s="2">
        <f>IF(AD25=0,$AD$46, " ")</f>
        <v/>
      </c>
      <c r="B25">
        <f>SUM(V25:X25)+C25</f>
        <v/>
      </c>
      <c r="C25">
        <f>COUNTA(F25:U25)</f>
        <v/>
      </c>
      <c r="D25">
        <f>_xlfn.RANK.EQ(B25,$B$10:$B$44,0)</f>
        <v/>
      </c>
      <c r="V25" s="12" t="n"/>
      <c r="Y25" s="12" t="n"/>
      <c r="Z25" s="1">
        <f>IFERROR(COUNTIF(F25:U25,"W")/COUNTA(F25:U25),0)</f>
        <v/>
      </c>
      <c r="AA25">
        <f>MAX($B$10:$B$44)-B25</f>
        <v/>
      </c>
      <c r="AB25" s="1">
        <f>IFERROR(B25/16,0)</f>
        <v/>
      </c>
      <c r="AD25" s="76">
        <f>MAX($B$7:$B$141)-B25</f>
        <v/>
      </c>
    </row>
    <row r="26">
      <c r="A26" s="2">
        <f>IF(AD26=0,$AD$46, " ")</f>
        <v/>
      </c>
      <c r="B26">
        <f>SUM(V26:X26)+C26</f>
        <v/>
      </c>
      <c r="C26">
        <f>COUNTA(F26:U26)</f>
        <v/>
      </c>
      <c r="D26">
        <f>_xlfn.RANK.EQ(B26,$B$10:$B$44,0)</f>
        <v/>
      </c>
      <c r="V26" s="12" t="n"/>
      <c r="Y26" s="12" t="n"/>
      <c r="Z26" s="1">
        <f>IFERROR(COUNTIF(F26:U26,"W")/COUNTA(F26:U26),0)</f>
        <v/>
      </c>
      <c r="AA26">
        <f>MAX($B$10:$B$44)-B26</f>
        <v/>
      </c>
      <c r="AB26" s="1">
        <f>IFERROR(B26/16,0)</f>
        <v/>
      </c>
      <c r="AD26" s="76">
        <f>MAX($B$7:$B$141)-B26</f>
        <v/>
      </c>
    </row>
    <row r="27">
      <c r="A27" s="2">
        <f>IF(AD27=0,$AD$46, " ")</f>
        <v/>
      </c>
      <c r="B27">
        <f>SUM(V27:X27)+C27</f>
        <v/>
      </c>
      <c r="C27">
        <f>COUNTA(F27:U27)</f>
        <v/>
      </c>
      <c r="D27">
        <f>_xlfn.RANK.EQ(B27,$B$10:$B$44,0)</f>
        <v/>
      </c>
      <c r="V27" s="12" t="n"/>
      <c r="Y27" s="12" t="n"/>
      <c r="Z27" s="1">
        <f>IFERROR(COUNTIF(F27:U27,"W")/COUNTA(F27:U27),0)</f>
        <v/>
      </c>
      <c r="AA27">
        <f>MAX($B$10:$B$44)-B27</f>
        <v/>
      </c>
      <c r="AB27" s="1">
        <f>IFERROR(B27/16,0)</f>
        <v/>
      </c>
      <c r="AD27" s="76">
        <f>MAX($B$7:$B$141)-B27</f>
        <v/>
      </c>
    </row>
    <row r="28">
      <c r="A28" s="2">
        <f>IF(AD28=0,$AD$46, " ")</f>
        <v/>
      </c>
      <c r="B28">
        <f>SUM(V28:X28)+C28</f>
        <v/>
      </c>
      <c r="C28">
        <f>COUNTA(F28:U28)</f>
        <v/>
      </c>
      <c r="D28">
        <f>_xlfn.RANK.EQ(B28,$B$10:$B$44,0)</f>
        <v/>
      </c>
      <c r="V28" s="12" t="n"/>
      <c r="Y28" s="12" t="n"/>
      <c r="Z28" s="1">
        <f>IFERROR(COUNTIF(F28:U28,"W")/COUNTA(F28:U28),0)</f>
        <v/>
      </c>
      <c r="AA28">
        <f>MAX($B$10:$B$44)-B28</f>
        <v/>
      </c>
      <c r="AB28" s="1">
        <f>IFERROR(B28/16,0)</f>
        <v/>
      </c>
      <c r="AD28" s="76">
        <f>MAX($B$7:$B$141)-B28</f>
        <v/>
      </c>
    </row>
    <row r="29">
      <c r="A29" s="2">
        <f>IF(AD29=0,$AD$46, " ")</f>
        <v/>
      </c>
      <c r="B29">
        <f>SUM(V29:X29)+C29</f>
        <v/>
      </c>
      <c r="C29">
        <f>COUNTA(F29:U29)</f>
        <v/>
      </c>
      <c r="D29">
        <f>_xlfn.RANK.EQ(B29,$B$10:$B$44,0)</f>
        <v/>
      </c>
      <c r="V29" s="12" t="n"/>
      <c r="Y29" s="12" t="n"/>
      <c r="Z29" s="1">
        <f>IFERROR(COUNTIF(F29:U29,"W")/COUNTA(F29:U29),0)</f>
        <v/>
      </c>
      <c r="AA29">
        <f>MAX($B$10:$B$44)-B29</f>
        <v/>
      </c>
      <c r="AB29" s="1">
        <f>IFERROR(B29/16,0)</f>
        <v/>
      </c>
      <c r="AD29" s="76">
        <f>MAX($B$7:$B$141)-B29</f>
        <v/>
      </c>
    </row>
    <row r="30">
      <c r="A30" s="2">
        <f>IF(AD30=0,$AD$46, " ")</f>
        <v/>
      </c>
      <c r="B30">
        <f>SUM(V30:X30)+C30</f>
        <v/>
      </c>
      <c r="C30">
        <f>COUNTA(F30:U30)</f>
        <v/>
      </c>
      <c r="D30">
        <f>_xlfn.RANK.EQ(B30,$B$10:$B$44,0)</f>
        <v/>
      </c>
      <c r="V30" s="12" t="n"/>
      <c r="Y30" s="12" t="n"/>
      <c r="Z30" s="1">
        <f>IFERROR(COUNTIF(F30:U30,"W")/COUNTA(F30:U30),0)</f>
        <v/>
      </c>
      <c r="AA30">
        <f>MAX($B$10:$B$44)-B30</f>
        <v/>
      </c>
      <c r="AB30" s="1">
        <f>IFERROR(B30/16,0)</f>
        <v/>
      </c>
      <c r="AD30" s="76">
        <f>MAX($B$7:$B$141)-B30</f>
        <v/>
      </c>
    </row>
    <row r="31">
      <c r="A31" s="2">
        <f>IF(AD31=0,$AD$46, " ")</f>
        <v/>
      </c>
      <c r="B31">
        <f>SUM(V31:X31)+C31</f>
        <v/>
      </c>
      <c r="C31">
        <f>COUNTA(F31:U31)</f>
        <v/>
      </c>
      <c r="D31">
        <f>_xlfn.RANK.EQ(B31,$B$10:$B$44,0)</f>
        <v/>
      </c>
      <c r="V31" s="12" t="n"/>
      <c r="Y31" s="12" t="n"/>
      <c r="Z31" s="1">
        <f>IFERROR(COUNTIF(F31:U31,"W")/COUNTA(F31:U31),0)</f>
        <v/>
      </c>
      <c r="AA31">
        <f>MAX($B$10:$B$44)-B31</f>
        <v/>
      </c>
      <c r="AB31" s="1">
        <f>IFERROR(B31/16,0)</f>
        <v/>
      </c>
      <c r="AD31" s="76">
        <f>MAX($B$7:$B$141)-B31</f>
        <v/>
      </c>
    </row>
    <row r="32">
      <c r="A32" s="2">
        <f>IF(AD32=0,$AD$46, " ")</f>
        <v/>
      </c>
      <c r="B32">
        <f>SUM(V32:X32)+C32</f>
        <v/>
      </c>
      <c r="C32">
        <f>COUNTA(F32:U32)</f>
        <v/>
      </c>
      <c r="D32">
        <f>_xlfn.RANK.EQ(B32,$B$10:$B$44,0)</f>
        <v/>
      </c>
      <c r="V32" s="12" t="n"/>
      <c r="Y32" s="12" t="n"/>
      <c r="Z32" s="1">
        <f>IFERROR(COUNTIF(F32:U32,"W")/COUNTA(F32:U32),0)</f>
        <v/>
      </c>
      <c r="AA32">
        <f>MAX($B$10:$B$44)-B32</f>
        <v/>
      </c>
      <c r="AB32" s="1">
        <f>IFERROR(B32/16,0)</f>
        <v/>
      </c>
      <c r="AD32" s="76">
        <f>MAX($B$7:$B$141)-B32</f>
        <v/>
      </c>
    </row>
    <row r="33">
      <c r="A33" s="2">
        <f>IF(AD33=0,$AD$46, " ")</f>
        <v/>
      </c>
      <c r="B33">
        <f>SUM(V33:X33)+C33</f>
        <v/>
      </c>
      <c r="C33">
        <f>COUNTA(F33:U33)</f>
        <v/>
      </c>
      <c r="D33">
        <f>_xlfn.RANK.EQ(B33,$B$10:$B$44,0)</f>
        <v/>
      </c>
      <c r="V33" s="12" t="n"/>
      <c r="Y33" s="12" t="n"/>
      <c r="Z33" s="1">
        <f>IFERROR(COUNTIF(F33:U33,"W")/COUNTA(F33:U33),0)</f>
        <v/>
      </c>
      <c r="AA33">
        <f>MAX($B$10:$B$44)-B33</f>
        <v/>
      </c>
      <c r="AB33" s="1">
        <f>IFERROR(B33/16,0)</f>
        <v/>
      </c>
      <c r="AD33" s="76">
        <f>MAX($B$7:$B$141)-B33</f>
        <v/>
      </c>
    </row>
    <row r="34">
      <c r="A34" s="2">
        <f>IF(AD34=0,$AD$46, " ")</f>
        <v/>
      </c>
      <c r="B34">
        <f>SUM(V34:X34)+C34</f>
        <v/>
      </c>
      <c r="C34">
        <f>COUNTA(F34:U34)</f>
        <v/>
      </c>
      <c r="D34">
        <f>_xlfn.RANK.EQ(B34,$B$10:$B$44,0)</f>
        <v/>
      </c>
      <c r="V34" s="12" t="n"/>
      <c r="Y34" s="12" t="n"/>
      <c r="Z34" s="1">
        <f>IFERROR(COUNTIF(F34:U34,"W")/COUNTA(F34:U34),0)</f>
        <v/>
      </c>
      <c r="AA34">
        <f>MAX($B$10:$B$44)-B34</f>
        <v/>
      </c>
      <c r="AB34" s="1">
        <f>IFERROR(B34/16,0)</f>
        <v/>
      </c>
      <c r="AD34" s="76">
        <f>MAX($B$7:$B$141)-B34</f>
        <v/>
      </c>
    </row>
    <row r="35">
      <c r="A35" s="2">
        <f>IF(AD35=0,$AD$46, " ")</f>
        <v/>
      </c>
      <c r="B35">
        <f>SUM(V35:X35)+C35</f>
        <v/>
      </c>
      <c r="C35">
        <f>COUNTA(F35:U35)</f>
        <v/>
      </c>
      <c r="D35">
        <f>_xlfn.RANK.EQ(B35,$B$10:$B$44,0)</f>
        <v/>
      </c>
      <c r="V35" s="12" t="n"/>
      <c r="Y35" s="12" t="n"/>
      <c r="Z35" s="1">
        <f>IFERROR(COUNTIF(F35:U35,"W")/COUNTA(F35:U35),0)</f>
        <v/>
      </c>
      <c r="AA35">
        <f>MAX($B$10:$B$44)-B35</f>
        <v/>
      </c>
      <c r="AB35" s="1">
        <f>IFERROR(B35/16,0)</f>
        <v/>
      </c>
      <c r="AD35" s="76">
        <f>MAX($B$7:$B$141)-B35</f>
        <v/>
      </c>
    </row>
    <row r="36">
      <c r="A36" s="2">
        <f>IF(AD36=0,$AD$46, " ")</f>
        <v/>
      </c>
      <c r="B36">
        <f>SUM(V36:X36)+C36</f>
        <v/>
      </c>
      <c r="C36">
        <f>COUNTA(F36:U36)</f>
        <v/>
      </c>
      <c r="D36">
        <f>_xlfn.RANK.EQ(B36,$B$10:$B$44,0)</f>
        <v/>
      </c>
      <c r="V36" s="12" t="n"/>
      <c r="Y36" s="12" t="n"/>
      <c r="Z36" s="1">
        <f>IFERROR(COUNTIF(F36:U36,"W")/COUNTA(F36:U36),0)</f>
        <v/>
      </c>
      <c r="AA36">
        <f>MAX($B$10:$B$44)-B36</f>
        <v/>
      </c>
      <c r="AB36" s="1">
        <f>IFERROR(B36/16,0)</f>
        <v/>
      </c>
      <c r="AD36" s="76">
        <f>MAX($B$7:$B$141)-B36</f>
        <v/>
      </c>
    </row>
    <row r="37">
      <c r="A37" s="2">
        <f>IF(AD37=0,$AD$46, " ")</f>
        <v/>
      </c>
      <c r="B37">
        <f>SUM(V37:X37)+C37</f>
        <v/>
      </c>
      <c r="C37">
        <f>COUNTA(F37:U37)</f>
        <v/>
      </c>
      <c r="D37">
        <f>_xlfn.RANK.EQ(B37,$B$10:$B$44,0)</f>
        <v/>
      </c>
      <c r="V37" s="12" t="n"/>
      <c r="Y37" s="12" t="n"/>
      <c r="Z37" s="1">
        <f>IFERROR(COUNTIF(F37:U37,"W")/COUNTA(F37:U37),0)</f>
        <v/>
      </c>
      <c r="AA37">
        <f>MAX($B$10:$B$44)-B37</f>
        <v/>
      </c>
      <c r="AB37" s="1">
        <f>IFERROR(B37/16,0)</f>
        <v/>
      </c>
      <c r="AD37" s="76">
        <f>MAX($B$7:$B$141)-B37</f>
        <v/>
      </c>
    </row>
    <row r="38">
      <c r="A38" s="2">
        <f>IF(AD38=0,$AD$46, " ")</f>
        <v/>
      </c>
      <c r="B38">
        <f>SUM(V38:X38)+C38</f>
        <v/>
      </c>
      <c r="C38">
        <f>COUNTA(F38:U38)</f>
        <v/>
      </c>
      <c r="D38">
        <f>_xlfn.RANK.EQ(B38,$B$10:$B$44,0)</f>
        <v/>
      </c>
      <c r="V38" s="12" t="n"/>
      <c r="Y38" s="12" t="n"/>
      <c r="Z38" s="1">
        <f>IFERROR(COUNTIF(F38:U38,"W")/COUNTA(F38:U38),0)</f>
        <v/>
      </c>
      <c r="AA38">
        <f>MAX($B$10:$B$44)-B38</f>
        <v/>
      </c>
      <c r="AB38" s="1">
        <f>IFERROR(B38/16,0)</f>
        <v/>
      </c>
      <c r="AD38" s="76">
        <f>MAX($B$7:$B$141)-B38</f>
        <v/>
      </c>
    </row>
    <row r="39">
      <c r="A39" s="2">
        <f>IF(AD39=0,$AD$46, " ")</f>
        <v/>
      </c>
      <c r="B39">
        <f>SUM(V39:X39)+C39</f>
        <v/>
      </c>
      <c r="C39">
        <f>COUNTA(F39:U39)</f>
        <v/>
      </c>
      <c r="D39">
        <f>_xlfn.RANK.EQ(B39,$B$10:$B$44,0)</f>
        <v/>
      </c>
      <c r="V39" s="12" t="n"/>
      <c r="Y39" s="12" t="n"/>
      <c r="Z39" s="1">
        <f>IFERROR(COUNTIF(F39:U39,"W")/COUNTA(F39:U39),0)</f>
        <v/>
      </c>
      <c r="AA39">
        <f>MAX($B$10:$B$44)-B39</f>
        <v/>
      </c>
      <c r="AB39" s="1">
        <f>IFERROR(B39/16,0)</f>
        <v/>
      </c>
      <c r="AD39" s="76">
        <f>MAX($B$7:$B$141)-B39</f>
        <v/>
      </c>
    </row>
    <row r="40">
      <c r="A40" s="2">
        <f>IF(AD40=0,$AD$46, " ")</f>
        <v/>
      </c>
      <c r="B40">
        <f>SUM(V40:X40)+C40</f>
        <v/>
      </c>
      <c r="C40">
        <f>COUNTA(F40:U40)</f>
        <v/>
      </c>
      <c r="D40">
        <f>_xlfn.RANK.EQ(B40,$B$10:$B$44,0)</f>
        <v/>
      </c>
      <c r="V40" s="12" t="n"/>
      <c r="Y40" s="12" t="n"/>
      <c r="Z40" s="1">
        <f>IFERROR(COUNTIF(F40:U40,"W")/COUNTA(F40:U40),0)</f>
        <v/>
      </c>
      <c r="AA40">
        <f>MAX($B$10:$B$44)-B40</f>
        <v/>
      </c>
      <c r="AB40" s="1">
        <f>IFERROR(B40/16,0)</f>
        <v/>
      </c>
      <c r="AD40" s="76">
        <f>MAX($B$7:$B$141)-B40</f>
        <v/>
      </c>
    </row>
    <row r="41">
      <c r="A41" s="2">
        <f>IF(AD41=0,$AD$46, " ")</f>
        <v/>
      </c>
      <c r="B41">
        <f>SUM(V41:X41)+C41</f>
        <v/>
      </c>
      <c r="C41">
        <f>COUNTA(F41:U41)</f>
        <v/>
      </c>
      <c r="D41">
        <f>_xlfn.RANK.EQ(B41,$B$10:$B$44,0)</f>
        <v/>
      </c>
      <c r="V41" s="12" t="n"/>
      <c r="Y41" s="12" t="n"/>
      <c r="Z41" s="1">
        <f>IFERROR(COUNTIF(F41:U41,"W")/COUNTA(F41:U41),0)</f>
        <v/>
      </c>
      <c r="AA41">
        <f>MAX($B$10:$B$44)-B41</f>
        <v/>
      </c>
      <c r="AB41" s="1">
        <f>IFERROR(B41/16,0)</f>
        <v/>
      </c>
      <c r="AD41" s="76">
        <f>MAX($B$7:$B$141)-B41</f>
        <v/>
      </c>
    </row>
    <row r="42">
      <c r="A42" s="2">
        <f>IF(AD42=0,$AD$46, " ")</f>
        <v/>
      </c>
      <c r="B42">
        <f>SUM(V42:X42)+C42</f>
        <v/>
      </c>
      <c r="C42">
        <f>COUNTA(F42:U42)</f>
        <v/>
      </c>
      <c r="D42">
        <f>_xlfn.RANK.EQ(B42,$B$10:$B$44,0)</f>
        <v/>
      </c>
      <c r="V42" s="12" t="n"/>
      <c r="Y42" s="12" t="n"/>
      <c r="Z42" s="1">
        <f>IFERROR(COUNTIF(F42:U42,"W")/COUNTA(F42:U42),0)</f>
        <v/>
      </c>
      <c r="AA42">
        <f>MAX($B$10:$B$44)-B42</f>
        <v/>
      </c>
      <c r="AB42" s="1">
        <f>IFERROR(B42/16,0)</f>
        <v/>
      </c>
      <c r="AD42" s="76">
        <f>MAX($B$7:$B$141)-B42</f>
        <v/>
      </c>
    </row>
    <row r="43">
      <c r="A43" s="2">
        <f>IF(AD43=0,$AD$46, " ")</f>
        <v/>
      </c>
      <c r="B43">
        <f>SUM(V43:X43)+C43</f>
        <v/>
      </c>
      <c r="C43">
        <f>COUNTA(F43:U43)</f>
        <v/>
      </c>
      <c r="D43">
        <f>_xlfn.RANK.EQ(B43,$B$10:$B$44,0)</f>
        <v/>
      </c>
      <c r="V43" s="12" t="n"/>
      <c r="Y43" s="12" t="n"/>
      <c r="Z43" s="1">
        <f>IFERROR(COUNTIF(F43:U43,"W")/COUNTA(F43:U43),0)</f>
        <v/>
      </c>
      <c r="AA43">
        <f>MAX($B$10:$B$44)-B43</f>
        <v/>
      </c>
      <c r="AB43" s="1">
        <f>IFERROR(B43/16,0)</f>
        <v/>
      </c>
      <c r="AD43" s="76">
        <f>MAX($B$7:$B$141)-B43</f>
        <v/>
      </c>
    </row>
    <row r="44">
      <c r="A44" s="2">
        <f>IF(AD44=0,$AD$46, " ")</f>
        <v/>
      </c>
      <c r="B44">
        <f>SUM(V44:X44)+C44</f>
        <v/>
      </c>
      <c r="C44">
        <f>COUNTA(F44:U44)</f>
        <v/>
      </c>
      <c r="D44">
        <f>_xlfn.RANK.EQ(B44,$B$10:$B$44,0)</f>
        <v/>
      </c>
      <c r="V44" s="12" t="n"/>
      <c r="Y44" s="12" t="n"/>
      <c r="Z44" s="1">
        <f>IFERROR(COUNTIF(F44:U44,"W")/COUNTA(F44:U44),0)</f>
        <v/>
      </c>
      <c r="AA44">
        <f>MAX($B$10:$B$44)-B44</f>
        <v/>
      </c>
      <c r="AB44" s="1">
        <f>IFERROR(B44/16,0)</f>
        <v/>
      </c>
      <c r="AD44" s="76">
        <f>MAX($B$7:$B$141)-B44</f>
        <v/>
      </c>
    </row>
    <row r="45">
      <c r="AD45" s="10">
        <f>COUNTIF(AD10:AD44,0)</f>
        <v/>
      </c>
    </row>
    <row r="46">
      <c r="AD46" s="76">
        <f>SUM(AD10:AD44)/AD45</f>
        <v/>
      </c>
    </row>
  </sheetData>
  <mergeCells count="1">
    <mergeCell ref="A1:Y2"/>
  </mergeCells>
  <conditionalFormatting sqref="B10:B4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:D4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0:U44">
    <cfRule type="cellIs" priority="4" operator="equal" dxfId="2">
      <formula>"W"</formula>
    </cfRule>
    <cfRule type="cellIs" priority="5" operator="equal" dxfId="1">
      <formula>"L"</formula>
    </cfRule>
  </conditionalFormatting>
  <conditionalFormatting sqref="AD10:AD46">
    <cfRule type="cellIs" priority="1" operator="equal" dxfId="0" stopIfTrue="1">
      <formula>0</formula>
    </cfRule>
  </conditionalFormatting>
  <dataValidations count="2">
    <dataValidation sqref="F6:U6" showDropDown="0" showInputMessage="0" showErrorMessage="0" allowBlank="1" type="list">
      <formula1>"Seattle,Los Angeles Rams,Cincinnati,Detroit,Tennessee,Indianapolis,Pittsburgh,Carolina,Jacksonville,Houston,Las Vegas,Minnesota,Philadelphia,Los Angeles Chargers,New York Giants,Kansas City"</formula1>
    </dataValidation>
    <dataValidation sqref="F10:U44" showDropDown="0" showInputMessage="0" showErrorMessage="0" allowBlank="1" type="list">
      <formula1>"W,L"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D46"/>
  <sheetViews>
    <sheetView workbookViewId="0">
      <selection activeCell="A1" sqref="A1:XFD1048576"/>
    </sheetView>
  </sheetViews>
  <sheetFormatPr baseColWidth="8" defaultColWidth="9.109375" defaultRowHeight="14.4"/>
  <cols>
    <col width="11" customWidth="1" style="54" min="1" max="1"/>
    <col width="8" customWidth="1" style="54" min="2" max="4"/>
    <col width="22" customWidth="1" style="54" min="5" max="5"/>
    <col width="17.6640625" customWidth="1" style="54" min="6" max="18"/>
    <col width="23.5546875" bestFit="1" customWidth="1" style="54" min="19" max="19"/>
    <col width="17.6640625" customWidth="1" style="54" min="20" max="21"/>
    <col width="17" customWidth="1" style="54" min="22" max="25"/>
    <col width="12" customWidth="1" style="54" min="26" max="27"/>
    <col width="10" customWidth="1" style="54" min="28" max="28"/>
    <col width="9.109375" customWidth="1" style="54" min="29" max="34"/>
    <col width="9.109375" customWidth="1" style="54" min="35" max="16384"/>
  </cols>
  <sheetData>
    <row r="1">
      <c r="A1" s="63" t="inlineStr">
        <is>
          <t>🏈 WEEK 3 — ACQL</t>
        </is>
      </c>
    </row>
    <row r="2"/>
    <row r="4">
      <c r="A4" s="5" t="inlineStr">
        <is>
          <t>Home Team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inlineStr">
        <is>
          <t>Away Team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6" t="inlineStr">
        <is>
          <t>Result / Winner →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</row>
    <row r="7">
      <c r="A7" s="8" t="inlineStr">
        <is>
          <t>Picked Home %</t>
        </is>
      </c>
      <c r="B7" s="8" t="n"/>
      <c r="C7" s="8" t="n"/>
      <c r="D7" s="8" t="n"/>
      <c r="E7" s="8" t="n"/>
      <c r="F7" s="8">
        <f>IFERROR(COUNTIF(F10:F44, F$4)/COUNTA(B10:B44),0)</f>
        <v/>
      </c>
      <c r="G7" s="8">
        <f>IFERROR(COUNTIF(G10:G44, G$4)/COUNTA(C10:C44),0)</f>
        <v/>
      </c>
      <c r="H7" s="8">
        <f>IFERROR(COUNTIF(H10:H44, H$4)/COUNTA(D10:D44),0)</f>
        <v/>
      </c>
      <c r="I7" s="8">
        <f>IFERROR(COUNTIF(I10:I44, I$4)/COUNTA(E10:E44),0)</f>
        <v/>
      </c>
      <c r="J7" s="8">
        <f>IFERROR(COUNTIF(J10:J44, J$4)/COUNTA(F10:F44),0)</f>
        <v/>
      </c>
      <c r="K7" s="8">
        <f>IFERROR(COUNTIF(K10:K44, K$4)/COUNTA(G10:G44),0)</f>
        <v/>
      </c>
      <c r="L7" s="8">
        <f>IFERROR(COUNTIF(L10:L44, L$4)/COUNTA(H10:H44),0)</f>
        <v/>
      </c>
      <c r="M7" s="8">
        <f>IFERROR(COUNTIF(M10:M44, M$4)/COUNTA(I10:I44),0)</f>
        <v/>
      </c>
      <c r="N7" s="8">
        <f>IFERROR(COUNTIF(N10:N44, N$4)/COUNTA(J10:J44),0)</f>
        <v/>
      </c>
      <c r="O7" s="8">
        <f>IFERROR(COUNTIF(O10:O44, O$4)/COUNTA(K10:K44),0)</f>
        <v/>
      </c>
      <c r="P7" s="8">
        <f>IFERROR(COUNTIF(P10:P44, P$4)/COUNTA(L10:L44),0)</f>
        <v/>
      </c>
      <c r="Q7" s="8">
        <f>IFERROR(COUNTIF(Q10:Q44, Q$4)/COUNTA(M10:M44),0)</f>
        <v/>
      </c>
      <c r="R7" s="8">
        <f>IFERROR(COUNTIF(R10:R44, R$4)/COUNTA(N10:N44),0)</f>
        <v/>
      </c>
      <c r="S7" s="8">
        <f>IFERROR(COUNTIF(S10:S44, S$4)/COUNTA(O10:O44),0)</f>
        <v/>
      </c>
      <c r="T7" s="8">
        <f>IFERROR(COUNTIF(T10:T44, T$4)/COUNTA(P10:P44),0)</f>
        <v/>
      </c>
      <c r="U7" s="8">
        <f>IFERROR(COUNTIF(U10:U44, U$4)/COUNTA(Q10:Q44),0)</f>
        <v/>
      </c>
      <c r="V7" s="7" t="n"/>
      <c r="W7" s="7" t="n"/>
      <c r="X7" s="7" t="n"/>
      <c r="Y7" s="7" t="n"/>
    </row>
    <row r="9" ht="28.8" customHeight="1" s="54">
      <c r="A9" s="9" t="inlineStr">
        <is>
          <t>Entry Fee</t>
        </is>
      </c>
      <c r="B9" s="9" t="inlineStr">
        <is>
          <t>Wins</t>
        </is>
      </c>
      <c r="C9" s="9" t="inlineStr">
        <is>
          <t>Wins</t>
        </is>
      </c>
      <c r="D9" s="9" t="inlineStr">
        <is>
          <t>Rank</t>
        </is>
      </c>
      <c r="E9" s="9" t="inlineStr">
        <is>
          <t>Player</t>
        </is>
      </c>
      <c r="F9" s="9" t="inlineStr">
        <is>
          <t>G1</t>
        </is>
      </c>
      <c r="G9" s="9" t="inlineStr">
        <is>
          <t>G2</t>
        </is>
      </c>
      <c r="H9" s="9" t="inlineStr">
        <is>
          <t>G3</t>
        </is>
      </c>
      <c r="I9" s="9" t="inlineStr">
        <is>
          <t>G4</t>
        </is>
      </c>
      <c r="J9" s="9" t="inlineStr">
        <is>
          <t>G5</t>
        </is>
      </c>
      <c r="K9" s="9" t="inlineStr">
        <is>
          <t>G6</t>
        </is>
      </c>
      <c r="L9" s="9" t="inlineStr">
        <is>
          <t>G7</t>
        </is>
      </c>
      <c r="M9" s="9" t="inlineStr">
        <is>
          <t>G8</t>
        </is>
      </c>
      <c r="N9" s="9" t="inlineStr">
        <is>
          <t>G9</t>
        </is>
      </c>
      <c r="O9" s="9" t="inlineStr">
        <is>
          <t>G10</t>
        </is>
      </c>
      <c r="P9" s="9" t="inlineStr">
        <is>
          <t>G11</t>
        </is>
      </c>
      <c r="Q9" s="9" t="inlineStr">
        <is>
          <t>G12</t>
        </is>
      </c>
      <c r="R9" s="9" t="inlineStr">
        <is>
          <t>G13</t>
        </is>
      </c>
      <c r="S9" s="9" t="inlineStr">
        <is>
          <t>G14</t>
        </is>
      </c>
      <c r="T9" s="9" t="inlineStr">
        <is>
          <t>G15</t>
        </is>
      </c>
      <c r="U9" s="9" t="inlineStr">
        <is>
          <t>G16</t>
        </is>
      </c>
      <c r="V9" s="9" t="inlineStr">
        <is>
          <t>Loser 1</t>
        </is>
      </c>
      <c r="W9" s="9" t="inlineStr">
        <is>
          <t>Loser 2</t>
        </is>
      </c>
      <c r="X9" s="9" t="inlineStr">
        <is>
          <t>Loser 3</t>
        </is>
      </c>
      <c r="Y9" s="9" t="inlineStr">
        <is>
          <t>Suicide</t>
        </is>
      </c>
      <c r="Z9" s="9" t="inlineStr">
        <is>
          <t>Home Team %</t>
        </is>
      </c>
      <c r="AA9" s="9" t="inlineStr">
        <is>
          <t>$ Owed</t>
        </is>
      </c>
      <c r="AB9" s="9" t="inlineStr">
        <is>
          <t>Games Behind</t>
        </is>
      </c>
      <c r="AC9" s="9" t="inlineStr">
        <is>
          <t>Win %</t>
        </is>
      </c>
    </row>
    <row r="10">
      <c r="A10" s="2">
        <f>IF(AD10=0,$AD$46, " ")</f>
        <v/>
      </c>
      <c r="B10">
        <f>SUM(V10:X10)+C10</f>
        <v/>
      </c>
      <c r="C10">
        <f>COUNTA(F10:U10)</f>
        <v/>
      </c>
      <c r="D10">
        <f>_xlfn.RANK.EQ(B10,$B$10:$B$44,0)</f>
        <v/>
      </c>
      <c r="V10" s="11" t="n"/>
      <c r="Y10" s="11" t="n"/>
      <c r="Z10" s="1">
        <f>IFERROR(COUNTIF(F10:U10,"W")/COUNTA(F10:U10),0)</f>
        <v/>
      </c>
      <c r="AA10">
        <f>MAX($B$10:$B$44)-B10</f>
        <v/>
      </c>
      <c r="AB10" s="1">
        <f>IFERROR(B10/16,0)</f>
        <v/>
      </c>
      <c r="AD10" s="76">
        <f>MAX($B$7:$B$141)-B10</f>
        <v/>
      </c>
    </row>
    <row r="11">
      <c r="A11" s="2">
        <f>IF(AD11=0,$AD$46, " ")</f>
        <v/>
      </c>
      <c r="B11">
        <f>SUM(V11:X11)+C11</f>
        <v/>
      </c>
      <c r="C11">
        <f>COUNTA(F11:U11)</f>
        <v/>
      </c>
      <c r="D11">
        <f>_xlfn.RANK.EQ(B11,$B$10:$B$44,0)</f>
        <v/>
      </c>
      <c r="V11" s="12" t="n"/>
      <c r="Y11" s="12" t="n"/>
      <c r="Z11" s="1">
        <f>IFERROR(COUNTIF(F11:U11,"W")/COUNTA(F11:U11),0)</f>
        <v/>
      </c>
      <c r="AA11">
        <f>MAX($B$10:$B$44)-B11</f>
        <v/>
      </c>
      <c r="AB11" s="1">
        <f>IFERROR(B11/16,0)</f>
        <v/>
      </c>
      <c r="AD11" s="76">
        <f>MAX($B$7:$B$141)-B11</f>
        <v/>
      </c>
    </row>
    <row r="12">
      <c r="A12" s="2">
        <f>IF(AD12=0,$AD$46, " ")</f>
        <v/>
      </c>
      <c r="B12">
        <f>SUM(V12:X12)+C12</f>
        <v/>
      </c>
      <c r="C12">
        <f>COUNTA(F12:U12)</f>
        <v/>
      </c>
      <c r="D12">
        <f>_xlfn.RANK.EQ(B12,$B$10:$B$44,0)</f>
        <v/>
      </c>
      <c r="V12" s="12" t="n"/>
      <c r="Y12" s="12" t="n"/>
      <c r="Z12" s="1">
        <f>IFERROR(COUNTIF(F12:U12,"W")/COUNTA(F12:U12),0)</f>
        <v/>
      </c>
      <c r="AA12">
        <f>MAX($B$10:$B$44)-B12</f>
        <v/>
      </c>
      <c r="AB12" s="1">
        <f>IFERROR(B12/16,0)</f>
        <v/>
      </c>
      <c r="AD12" s="76">
        <f>MAX($B$7:$B$141)-B12</f>
        <v/>
      </c>
    </row>
    <row r="13">
      <c r="A13" s="2">
        <f>IF(AD13=0,$AD$46, " ")</f>
        <v/>
      </c>
      <c r="B13">
        <f>SUM(V13:X13)+C13</f>
        <v/>
      </c>
      <c r="C13">
        <f>COUNTA(F13:U13)</f>
        <v/>
      </c>
      <c r="D13">
        <f>_xlfn.RANK.EQ(B13,$B$10:$B$44,0)</f>
        <v/>
      </c>
      <c r="V13" s="12" t="n"/>
      <c r="Y13" s="12" t="n"/>
      <c r="Z13" s="1">
        <f>IFERROR(COUNTIF(F13:U13,"W")/COUNTA(F13:U13),0)</f>
        <v/>
      </c>
      <c r="AA13">
        <f>MAX($B$10:$B$44)-B13</f>
        <v/>
      </c>
      <c r="AB13" s="1">
        <f>IFERROR(B13/16,0)</f>
        <v/>
      </c>
      <c r="AD13" s="76">
        <f>MAX($B$7:$B$141)-B13</f>
        <v/>
      </c>
    </row>
    <row r="14">
      <c r="A14" s="2">
        <f>IF(AD14=0,$AD$46, " ")</f>
        <v/>
      </c>
      <c r="B14">
        <f>SUM(V14:X14)+C14</f>
        <v/>
      </c>
      <c r="C14">
        <f>COUNTA(F14:U14)</f>
        <v/>
      </c>
      <c r="D14">
        <f>_xlfn.RANK.EQ(B14,$B$10:$B$44,0)</f>
        <v/>
      </c>
      <c r="V14" s="12" t="n"/>
      <c r="Y14" s="12" t="n"/>
      <c r="Z14" s="1">
        <f>IFERROR(COUNTIF(F14:U14,"W")/COUNTA(F14:U14),0)</f>
        <v/>
      </c>
      <c r="AA14">
        <f>MAX($B$10:$B$44)-B14</f>
        <v/>
      </c>
      <c r="AB14" s="1">
        <f>IFERROR(B14/16,0)</f>
        <v/>
      </c>
      <c r="AD14" s="76">
        <f>MAX($B$7:$B$141)-B14</f>
        <v/>
      </c>
    </row>
    <row r="15">
      <c r="A15" s="2">
        <f>IF(AD15=0,$AD$46, " ")</f>
        <v/>
      </c>
      <c r="B15">
        <f>SUM(V15:X15)+C15</f>
        <v/>
      </c>
      <c r="C15">
        <f>COUNTA(F15:U15)</f>
        <v/>
      </c>
      <c r="D15">
        <f>_xlfn.RANK.EQ(B15,$B$10:$B$44,0)</f>
        <v/>
      </c>
      <c r="V15" s="12" t="n"/>
      <c r="Y15" s="12" t="n"/>
      <c r="Z15" s="1">
        <f>IFERROR(COUNTIF(F15:U15,"W")/COUNTA(F15:U15),0)</f>
        <v/>
      </c>
      <c r="AA15">
        <f>MAX($B$10:$B$44)-B15</f>
        <v/>
      </c>
      <c r="AB15" s="1">
        <f>IFERROR(B15/16,0)</f>
        <v/>
      </c>
      <c r="AD15" s="76">
        <f>MAX($B$7:$B$141)-B15</f>
        <v/>
      </c>
    </row>
    <row r="16">
      <c r="A16" s="2">
        <f>IF(AD16=0,$AD$46, " ")</f>
        <v/>
      </c>
      <c r="B16">
        <f>SUM(V16:X16)+C16</f>
        <v/>
      </c>
      <c r="C16">
        <f>COUNTA(F16:U16)</f>
        <v/>
      </c>
      <c r="D16">
        <f>_xlfn.RANK.EQ(B16,$B$10:$B$44,0)</f>
        <v/>
      </c>
      <c r="V16" s="12" t="n"/>
      <c r="Y16" s="12" t="n"/>
      <c r="Z16" s="1">
        <f>IFERROR(COUNTIF(F16:U16,"W")/COUNTA(F16:U16),0)</f>
        <v/>
      </c>
      <c r="AA16">
        <f>MAX($B$10:$B$44)-B16</f>
        <v/>
      </c>
      <c r="AB16" s="1">
        <f>IFERROR(B16/16,0)</f>
        <v/>
      </c>
      <c r="AD16" s="76">
        <f>MAX($B$7:$B$141)-B16</f>
        <v/>
      </c>
    </row>
    <row r="17">
      <c r="A17" s="2">
        <f>IF(AD17=0,$AD$46, " ")</f>
        <v/>
      </c>
      <c r="B17">
        <f>SUM(V17:X17)+C17</f>
        <v/>
      </c>
      <c r="C17">
        <f>COUNTA(F17:U17)</f>
        <v/>
      </c>
      <c r="D17">
        <f>_xlfn.RANK.EQ(B17,$B$10:$B$44,0)</f>
        <v/>
      </c>
      <c r="V17" s="12" t="n"/>
      <c r="Y17" s="12" t="n"/>
      <c r="Z17" s="1">
        <f>IFERROR(COUNTIF(F17:U17,"W")/COUNTA(F17:U17),0)</f>
        <v/>
      </c>
      <c r="AA17">
        <f>MAX($B$10:$B$44)-B17</f>
        <v/>
      </c>
      <c r="AB17" s="1">
        <f>IFERROR(B17/16,0)</f>
        <v/>
      </c>
      <c r="AD17" s="76">
        <f>MAX($B$7:$B$141)-B17</f>
        <v/>
      </c>
    </row>
    <row r="18">
      <c r="A18" s="2">
        <f>IF(AD18=0,$AD$46, " ")</f>
        <v/>
      </c>
      <c r="B18">
        <f>SUM(V18:X18)+C18</f>
        <v/>
      </c>
      <c r="C18">
        <f>COUNTA(F18:U18)</f>
        <v/>
      </c>
      <c r="D18">
        <f>_xlfn.RANK.EQ(B18,$B$10:$B$44,0)</f>
        <v/>
      </c>
      <c r="V18" s="12" t="n"/>
      <c r="Y18" s="12" t="n"/>
      <c r="Z18" s="1">
        <f>IFERROR(COUNTIF(F18:U18,"W")/COUNTA(F18:U18),0)</f>
        <v/>
      </c>
      <c r="AA18">
        <f>MAX($B$10:$B$44)-B18</f>
        <v/>
      </c>
      <c r="AB18" s="1">
        <f>IFERROR(B18/16,0)</f>
        <v/>
      </c>
      <c r="AD18" s="76">
        <f>MAX($B$7:$B$141)-B18</f>
        <v/>
      </c>
    </row>
    <row r="19">
      <c r="A19" s="2">
        <f>IF(AD19=0,$AD$46, " ")</f>
        <v/>
      </c>
      <c r="B19">
        <f>SUM(V19:X19)+C19</f>
        <v/>
      </c>
      <c r="C19">
        <f>COUNTA(F19:U19)</f>
        <v/>
      </c>
      <c r="D19">
        <f>_xlfn.RANK.EQ(B19,$B$10:$B$44,0)</f>
        <v/>
      </c>
      <c r="V19" s="12" t="n"/>
      <c r="Y19" s="12" t="n"/>
      <c r="Z19" s="1">
        <f>IFERROR(COUNTIF(F19:U19,"W")/COUNTA(F19:U19),0)</f>
        <v/>
      </c>
      <c r="AA19">
        <f>MAX($B$10:$B$44)-B19</f>
        <v/>
      </c>
      <c r="AB19" s="1">
        <f>IFERROR(B19/16,0)</f>
        <v/>
      </c>
      <c r="AD19" s="76">
        <f>MAX($B$7:$B$141)-B19</f>
        <v/>
      </c>
    </row>
    <row r="20">
      <c r="A20" s="2">
        <f>IF(AD20=0,$AD$46, " ")</f>
        <v/>
      </c>
      <c r="B20">
        <f>SUM(V20:X20)+C20</f>
        <v/>
      </c>
      <c r="C20">
        <f>COUNTA(F20:U20)</f>
        <v/>
      </c>
      <c r="D20">
        <f>_xlfn.RANK.EQ(B20,$B$10:$B$44,0)</f>
        <v/>
      </c>
      <c r="V20" s="12" t="n"/>
      <c r="Y20" s="12" t="n"/>
      <c r="Z20" s="1">
        <f>IFERROR(COUNTIF(F20:U20,"W")/COUNTA(F20:U20),0)</f>
        <v/>
      </c>
      <c r="AA20">
        <f>MAX($B$10:$B$44)-B20</f>
        <v/>
      </c>
      <c r="AB20" s="1">
        <f>IFERROR(B20/16,0)</f>
        <v/>
      </c>
      <c r="AD20" s="76">
        <f>MAX($B$7:$B$141)-B20</f>
        <v/>
      </c>
    </row>
    <row r="21">
      <c r="A21" s="2">
        <f>IF(AD21=0,$AD$46, " ")</f>
        <v/>
      </c>
      <c r="B21">
        <f>SUM(V21:X21)+C21</f>
        <v/>
      </c>
      <c r="C21">
        <f>COUNTA(F21:U21)</f>
        <v/>
      </c>
      <c r="D21">
        <f>_xlfn.RANK.EQ(B21,$B$10:$B$44,0)</f>
        <v/>
      </c>
      <c r="V21" s="12" t="n"/>
      <c r="Y21" s="12" t="n"/>
      <c r="Z21" s="1">
        <f>IFERROR(COUNTIF(F21:U21,"W")/COUNTA(F21:U21),0)</f>
        <v/>
      </c>
      <c r="AA21">
        <f>MAX($B$10:$B$44)-B21</f>
        <v/>
      </c>
      <c r="AB21" s="1">
        <f>IFERROR(B21/16,0)</f>
        <v/>
      </c>
      <c r="AD21" s="76">
        <f>MAX($B$7:$B$141)-B21</f>
        <v/>
      </c>
    </row>
    <row r="22">
      <c r="A22" s="2">
        <f>IF(AD22=0,$AD$46, " ")</f>
        <v/>
      </c>
      <c r="B22">
        <f>SUM(V22:X22)+C22</f>
        <v/>
      </c>
      <c r="C22">
        <f>COUNTA(F22:U22)</f>
        <v/>
      </c>
      <c r="D22">
        <f>_xlfn.RANK.EQ(B22,$B$10:$B$44,0)</f>
        <v/>
      </c>
      <c r="V22" s="12" t="n"/>
      <c r="Y22" s="12" t="n"/>
      <c r="Z22" s="1">
        <f>IFERROR(COUNTIF(F22:U22,"W")/COUNTA(F22:U22),0)</f>
        <v/>
      </c>
      <c r="AA22">
        <f>MAX($B$10:$B$44)-B22</f>
        <v/>
      </c>
      <c r="AB22" s="1">
        <f>IFERROR(B22/16,0)</f>
        <v/>
      </c>
      <c r="AD22" s="76">
        <f>MAX($B$7:$B$141)-B22</f>
        <v/>
      </c>
    </row>
    <row r="23">
      <c r="A23" s="2">
        <f>IF(AD23=0,$AD$46, " ")</f>
        <v/>
      </c>
      <c r="B23">
        <f>SUM(V23:X23)+C23</f>
        <v/>
      </c>
      <c r="C23">
        <f>COUNTA(F23:U23)</f>
        <v/>
      </c>
      <c r="D23">
        <f>_xlfn.RANK.EQ(B23,$B$10:$B$44,0)</f>
        <v/>
      </c>
      <c r="V23" s="12" t="n"/>
      <c r="Y23" s="12" t="n"/>
      <c r="Z23" s="1">
        <f>IFERROR(COUNTIF(F23:U23,"W")/COUNTA(F23:U23),0)</f>
        <v/>
      </c>
      <c r="AA23">
        <f>MAX($B$10:$B$44)-B23</f>
        <v/>
      </c>
      <c r="AB23" s="1">
        <f>IFERROR(B23/16,0)</f>
        <v/>
      </c>
      <c r="AD23" s="76">
        <f>MAX($B$7:$B$141)-B23</f>
        <v/>
      </c>
    </row>
    <row r="24">
      <c r="A24" s="2">
        <f>IF(AD24=0,$AD$46, " ")</f>
        <v/>
      </c>
      <c r="B24">
        <f>SUM(V24:X24)+C24</f>
        <v/>
      </c>
      <c r="C24">
        <f>COUNTA(F24:U24)</f>
        <v/>
      </c>
      <c r="D24">
        <f>_xlfn.RANK.EQ(B24,$B$10:$B$44,0)</f>
        <v/>
      </c>
      <c r="V24" s="12" t="n"/>
      <c r="Y24" s="12" t="n"/>
      <c r="Z24" s="1">
        <f>IFERROR(COUNTIF(F24:U24,"W")/COUNTA(F24:U24),0)</f>
        <v/>
      </c>
      <c r="AA24">
        <f>MAX($B$10:$B$44)-B24</f>
        <v/>
      </c>
      <c r="AB24" s="1">
        <f>IFERROR(B24/16,0)</f>
        <v/>
      </c>
      <c r="AD24" s="76">
        <f>MAX($B$7:$B$141)-B24</f>
        <v/>
      </c>
    </row>
    <row r="25">
      <c r="A25" s="2">
        <f>IF(AD25=0,$AD$46, " ")</f>
        <v/>
      </c>
      <c r="B25">
        <f>SUM(V25:X25)+C25</f>
        <v/>
      </c>
      <c r="C25">
        <f>COUNTA(F25:U25)</f>
        <v/>
      </c>
      <c r="D25">
        <f>_xlfn.RANK.EQ(B25,$B$10:$B$44,0)</f>
        <v/>
      </c>
      <c r="V25" s="12" t="n"/>
      <c r="Y25" s="12" t="n"/>
      <c r="Z25" s="1">
        <f>IFERROR(COUNTIF(F25:U25,"W")/COUNTA(F25:U25),0)</f>
        <v/>
      </c>
      <c r="AA25">
        <f>MAX($B$10:$B$44)-B25</f>
        <v/>
      </c>
      <c r="AB25" s="1">
        <f>IFERROR(B25/16,0)</f>
        <v/>
      </c>
      <c r="AD25" s="76">
        <f>MAX($B$7:$B$141)-B25</f>
        <v/>
      </c>
    </row>
    <row r="26">
      <c r="A26" s="2">
        <f>IF(AD26=0,$AD$46, " ")</f>
        <v/>
      </c>
      <c r="B26">
        <f>SUM(V26:X26)+C26</f>
        <v/>
      </c>
      <c r="C26">
        <f>COUNTA(F26:U26)</f>
        <v/>
      </c>
      <c r="D26">
        <f>_xlfn.RANK.EQ(B26,$B$10:$B$44,0)</f>
        <v/>
      </c>
      <c r="V26" s="12" t="n"/>
      <c r="Y26" s="12" t="n"/>
      <c r="Z26" s="1">
        <f>IFERROR(COUNTIF(F26:U26,"W")/COUNTA(F26:U26),0)</f>
        <v/>
      </c>
      <c r="AA26">
        <f>MAX($B$10:$B$44)-B26</f>
        <v/>
      </c>
      <c r="AB26" s="1">
        <f>IFERROR(B26/16,0)</f>
        <v/>
      </c>
      <c r="AD26" s="76">
        <f>MAX($B$7:$B$141)-B26</f>
        <v/>
      </c>
    </row>
    <row r="27">
      <c r="A27" s="2">
        <f>IF(AD27=0,$AD$46, " ")</f>
        <v/>
      </c>
      <c r="B27">
        <f>SUM(V27:X27)+C27</f>
        <v/>
      </c>
      <c r="C27">
        <f>COUNTA(F27:U27)</f>
        <v/>
      </c>
      <c r="D27">
        <f>_xlfn.RANK.EQ(B27,$B$10:$B$44,0)</f>
        <v/>
      </c>
      <c r="V27" s="12" t="n"/>
      <c r="Y27" s="12" t="n"/>
      <c r="Z27" s="1">
        <f>IFERROR(COUNTIF(F27:U27,"W")/COUNTA(F27:U27),0)</f>
        <v/>
      </c>
      <c r="AA27">
        <f>MAX($B$10:$B$44)-B27</f>
        <v/>
      </c>
      <c r="AB27" s="1">
        <f>IFERROR(B27/16,0)</f>
        <v/>
      </c>
      <c r="AD27" s="76">
        <f>MAX($B$7:$B$141)-B27</f>
        <v/>
      </c>
    </row>
    <row r="28">
      <c r="A28" s="2">
        <f>IF(AD28=0,$AD$46, " ")</f>
        <v/>
      </c>
      <c r="B28">
        <f>SUM(V28:X28)+C28</f>
        <v/>
      </c>
      <c r="C28">
        <f>COUNTA(F28:U28)</f>
        <v/>
      </c>
      <c r="D28">
        <f>_xlfn.RANK.EQ(B28,$B$10:$B$44,0)</f>
        <v/>
      </c>
      <c r="V28" s="12" t="n"/>
      <c r="Y28" s="12" t="n"/>
      <c r="Z28" s="1">
        <f>IFERROR(COUNTIF(F28:U28,"W")/COUNTA(F28:U28),0)</f>
        <v/>
      </c>
      <c r="AA28">
        <f>MAX($B$10:$B$44)-B28</f>
        <v/>
      </c>
      <c r="AB28" s="1">
        <f>IFERROR(B28/16,0)</f>
        <v/>
      </c>
      <c r="AD28" s="76">
        <f>MAX($B$7:$B$141)-B28</f>
        <v/>
      </c>
    </row>
    <row r="29">
      <c r="A29" s="2">
        <f>IF(AD29=0,$AD$46, " ")</f>
        <v/>
      </c>
      <c r="B29">
        <f>SUM(V29:X29)+C29</f>
        <v/>
      </c>
      <c r="C29">
        <f>COUNTA(F29:U29)</f>
        <v/>
      </c>
      <c r="D29">
        <f>_xlfn.RANK.EQ(B29,$B$10:$B$44,0)</f>
        <v/>
      </c>
      <c r="V29" s="12" t="n"/>
      <c r="Y29" s="12" t="n"/>
      <c r="Z29" s="1">
        <f>IFERROR(COUNTIF(F29:U29,"W")/COUNTA(F29:U29),0)</f>
        <v/>
      </c>
      <c r="AA29">
        <f>MAX($B$10:$B$44)-B29</f>
        <v/>
      </c>
      <c r="AB29" s="1">
        <f>IFERROR(B29/16,0)</f>
        <v/>
      </c>
      <c r="AD29" s="76">
        <f>MAX($B$7:$B$141)-B29</f>
        <v/>
      </c>
    </row>
    <row r="30">
      <c r="A30" s="2">
        <f>IF(AD30=0,$AD$46, " ")</f>
        <v/>
      </c>
      <c r="B30">
        <f>SUM(V30:X30)+C30</f>
        <v/>
      </c>
      <c r="C30">
        <f>COUNTA(F30:U30)</f>
        <v/>
      </c>
      <c r="D30">
        <f>_xlfn.RANK.EQ(B30,$B$10:$B$44,0)</f>
        <v/>
      </c>
      <c r="V30" s="12" t="n"/>
      <c r="Y30" s="12" t="n"/>
      <c r="Z30" s="1">
        <f>IFERROR(COUNTIF(F30:U30,"W")/COUNTA(F30:U30),0)</f>
        <v/>
      </c>
      <c r="AA30">
        <f>MAX($B$10:$B$44)-B30</f>
        <v/>
      </c>
      <c r="AB30" s="1">
        <f>IFERROR(B30/16,0)</f>
        <v/>
      </c>
      <c r="AD30" s="76">
        <f>MAX($B$7:$B$141)-B30</f>
        <v/>
      </c>
    </row>
    <row r="31">
      <c r="A31" s="2">
        <f>IF(AD31=0,$AD$46, " ")</f>
        <v/>
      </c>
      <c r="B31">
        <f>SUM(V31:X31)+C31</f>
        <v/>
      </c>
      <c r="C31">
        <f>COUNTA(F31:U31)</f>
        <v/>
      </c>
      <c r="D31">
        <f>_xlfn.RANK.EQ(B31,$B$10:$B$44,0)</f>
        <v/>
      </c>
      <c r="V31" s="12" t="n"/>
      <c r="Y31" s="12" t="n"/>
      <c r="Z31" s="1">
        <f>IFERROR(COUNTIF(F31:U31,"W")/COUNTA(F31:U31),0)</f>
        <v/>
      </c>
      <c r="AA31">
        <f>MAX($B$10:$B$44)-B31</f>
        <v/>
      </c>
      <c r="AB31" s="1">
        <f>IFERROR(B31/16,0)</f>
        <v/>
      </c>
      <c r="AD31" s="76">
        <f>MAX($B$7:$B$141)-B31</f>
        <v/>
      </c>
    </row>
    <row r="32">
      <c r="A32" s="2">
        <f>IF(AD32=0,$AD$46, " ")</f>
        <v/>
      </c>
      <c r="B32">
        <f>SUM(V32:X32)+C32</f>
        <v/>
      </c>
      <c r="C32">
        <f>COUNTA(F32:U32)</f>
        <v/>
      </c>
      <c r="D32">
        <f>_xlfn.RANK.EQ(B32,$B$10:$B$44,0)</f>
        <v/>
      </c>
      <c r="V32" s="12" t="n"/>
      <c r="Y32" s="12" t="n"/>
      <c r="Z32" s="1">
        <f>IFERROR(COUNTIF(F32:U32,"W")/COUNTA(F32:U32),0)</f>
        <v/>
      </c>
      <c r="AA32">
        <f>MAX($B$10:$B$44)-B32</f>
        <v/>
      </c>
      <c r="AB32" s="1">
        <f>IFERROR(B32/16,0)</f>
        <v/>
      </c>
      <c r="AD32" s="76">
        <f>MAX($B$7:$B$141)-B32</f>
        <v/>
      </c>
    </row>
    <row r="33">
      <c r="A33" s="2">
        <f>IF(AD33=0,$AD$46, " ")</f>
        <v/>
      </c>
      <c r="B33">
        <f>SUM(V33:X33)+C33</f>
        <v/>
      </c>
      <c r="C33">
        <f>COUNTA(F33:U33)</f>
        <v/>
      </c>
      <c r="D33">
        <f>_xlfn.RANK.EQ(B33,$B$10:$B$44,0)</f>
        <v/>
      </c>
      <c r="V33" s="12" t="n"/>
      <c r="Y33" s="12" t="n"/>
      <c r="Z33" s="1">
        <f>IFERROR(COUNTIF(F33:U33,"W")/COUNTA(F33:U33),0)</f>
        <v/>
      </c>
      <c r="AA33">
        <f>MAX($B$10:$B$44)-B33</f>
        <v/>
      </c>
      <c r="AB33" s="1">
        <f>IFERROR(B33/16,0)</f>
        <v/>
      </c>
      <c r="AD33" s="76">
        <f>MAX($B$7:$B$141)-B33</f>
        <v/>
      </c>
    </row>
    <row r="34">
      <c r="A34" s="2">
        <f>IF(AD34=0,$AD$46, " ")</f>
        <v/>
      </c>
      <c r="B34">
        <f>SUM(V34:X34)+C34</f>
        <v/>
      </c>
      <c r="C34">
        <f>COUNTA(F34:U34)</f>
        <v/>
      </c>
      <c r="D34">
        <f>_xlfn.RANK.EQ(B34,$B$10:$B$44,0)</f>
        <v/>
      </c>
      <c r="V34" s="12" t="n"/>
      <c r="Y34" s="12" t="n"/>
      <c r="Z34" s="1">
        <f>IFERROR(COUNTIF(F34:U34,"W")/COUNTA(F34:U34),0)</f>
        <v/>
      </c>
      <c r="AA34">
        <f>MAX($B$10:$B$44)-B34</f>
        <v/>
      </c>
      <c r="AB34" s="1">
        <f>IFERROR(B34/16,0)</f>
        <v/>
      </c>
      <c r="AD34" s="76">
        <f>MAX($B$7:$B$141)-B34</f>
        <v/>
      </c>
    </row>
    <row r="35">
      <c r="A35" s="2">
        <f>IF(AD35=0,$AD$46, " ")</f>
        <v/>
      </c>
      <c r="B35">
        <f>SUM(V35:X35)+C35</f>
        <v/>
      </c>
      <c r="C35">
        <f>COUNTA(F35:U35)</f>
        <v/>
      </c>
      <c r="D35">
        <f>_xlfn.RANK.EQ(B35,$B$10:$B$44,0)</f>
        <v/>
      </c>
      <c r="V35" s="12" t="n"/>
      <c r="Y35" s="12" t="n"/>
      <c r="Z35" s="1">
        <f>IFERROR(COUNTIF(F35:U35,"W")/COUNTA(F35:U35),0)</f>
        <v/>
      </c>
      <c r="AA35">
        <f>MAX($B$10:$B$44)-B35</f>
        <v/>
      </c>
      <c r="AB35" s="1">
        <f>IFERROR(B35/16,0)</f>
        <v/>
      </c>
      <c r="AD35" s="76">
        <f>MAX($B$7:$B$141)-B35</f>
        <v/>
      </c>
    </row>
    <row r="36">
      <c r="A36" s="2">
        <f>IF(AD36=0,$AD$46, " ")</f>
        <v/>
      </c>
      <c r="B36">
        <f>SUM(V36:X36)+C36</f>
        <v/>
      </c>
      <c r="C36">
        <f>COUNTA(F36:U36)</f>
        <v/>
      </c>
      <c r="D36">
        <f>_xlfn.RANK.EQ(B36,$B$10:$B$44,0)</f>
        <v/>
      </c>
      <c r="V36" s="12" t="n"/>
      <c r="Y36" s="12" t="n"/>
      <c r="Z36" s="1">
        <f>IFERROR(COUNTIF(F36:U36,"W")/COUNTA(F36:U36),0)</f>
        <v/>
      </c>
      <c r="AA36">
        <f>MAX($B$10:$B$44)-B36</f>
        <v/>
      </c>
      <c r="AB36" s="1">
        <f>IFERROR(B36/16,0)</f>
        <v/>
      </c>
      <c r="AD36" s="76">
        <f>MAX($B$7:$B$141)-B36</f>
        <v/>
      </c>
    </row>
    <row r="37">
      <c r="A37" s="2">
        <f>IF(AD37=0,$AD$46, " ")</f>
        <v/>
      </c>
      <c r="B37">
        <f>SUM(V37:X37)+C37</f>
        <v/>
      </c>
      <c r="C37">
        <f>COUNTA(F37:U37)</f>
        <v/>
      </c>
      <c r="D37">
        <f>_xlfn.RANK.EQ(B37,$B$10:$B$44,0)</f>
        <v/>
      </c>
      <c r="V37" s="12" t="n"/>
      <c r="Y37" s="12" t="n"/>
      <c r="Z37" s="1">
        <f>IFERROR(COUNTIF(F37:U37,"W")/COUNTA(F37:U37),0)</f>
        <v/>
      </c>
      <c r="AA37">
        <f>MAX($B$10:$B$44)-B37</f>
        <v/>
      </c>
      <c r="AB37" s="1">
        <f>IFERROR(B37/16,0)</f>
        <v/>
      </c>
      <c r="AD37" s="76">
        <f>MAX($B$7:$B$141)-B37</f>
        <v/>
      </c>
    </row>
    <row r="38">
      <c r="A38" s="2">
        <f>IF(AD38=0,$AD$46, " ")</f>
        <v/>
      </c>
      <c r="B38">
        <f>SUM(V38:X38)+C38</f>
        <v/>
      </c>
      <c r="C38">
        <f>COUNTA(F38:U38)</f>
        <v/>
      </c>
      <c r="D38">
        <f>_xlfn.RANK.EQ(B38,$B$10:$B$44,0)</f>
        <v/>
      </c>
      <c r="V38" s="12" t="n"/>
      <c r="Y38" s="12" t="n"/>
      <c r="Z38" s="1">
        <f>IFERROR(COUNTIF(F38:U38,"W")/COUNTA(F38:U38),0)</f>
        <v/>
      </c>
      <c r="AA38">
        <f>MAX($B$10:$B$44)-B38</f>
        <v/>
      </c>
      <c r="AB38" s="1">
        <f>IFERROR(B38/16,0)</f>
        <v/>
      </c>
      <c r="AD38" s="76">
        <f>MAX($B$7:$B$141)-B38</f>
        <v/>
      </c>
    </row>
    <row r="39">
      <c r="A39" s="2">
        <f>IF(AD39=0,$AD$46, " ")</f>
        <v/>
      </c>
      <c r="B39">
        <f>SUM(V39:X39)+C39</f>
        <v/>
      </c>
      <c r="C39">
        <f>COUNTA(F39:U39)</f>
        <v/>
      </c>
      <c r="D39">
        <f>_xlfn.RANK.EQ(B39,$B$10:$B$44,0)</f>
        <v/>
      </c>
      <c r="V39" s="12" t="n"/>
      <c r="Y39" s="12" t="n"/>
      <c r="Z39" s="1">
        <f>IFERROR(COUNTIF(F39:U39,"W")/COUNTA(F39:U39),0)</f>
        <v/>
      </c>
      <c r="AA39">
        <f>MAX($B$10:$B$44)-B39</f>
        <v/>
      </c>
      <c r="AB39" s="1">
        <f>IFERROR(B39/16,0)</f>
        <v/>
      </c>
      <c r="AD39" s="76">
        <f>MAX($B$7:$B$141)-B39</f>
        <v/>
      </c>
    </row>
    <row r="40">
      <c r="A40" s="2">
        <f>IF(AD40=0,$AD$46, " ")</f>
        <v/>
      </c>
      <c r="B40">
        <f>SUM(V40:X40)+C40</f>
        <v/>
      </c>
      <c r="C40">
        <f>COUNTA(F40:U40)</f>
        <v/>
      </c>
      <c r="D40">
        <f>_xlfn.RANK.EQ(B40,$B$10:$B$44,0)</f>
        <v/>
      </c>
      <c r="V40" s="12" t="n"/>
      <c r="Y40" s="12" t="n"/>
      <c r="Z40" s="1">
        <f>IFERROR(COUNTIF(F40:U40,"W")/COUNTA(F40:U40),0)</f>
        <v/>
      </c>
      <c r="AA40">
        <f>MAX($B$10:$B$44)-B40</f>
        <v/>
      </c>
      <c r="AB40" s="1">
        <f>IFERROR(B40/16,0)</f>
        <v/>
      </c>
      <c r="AD40" s="76">
        <f>MAX($B$7:$B$141)-B40</f>
        <v/>
      </c>
    </row>
    <row r="41">
      <c r="A41" s="2">
        <f>IF(AD41=0,$AD$46, " ")</f>
        <v/>
      </c>
      <c r="B41">
        <f>SUM(V41:X41)+C41</f>
        <v/>
      </c>
      <c r="C41">
        <f>COUNTA(F41:U41)</f>
        <v/>
      </c>
      <c r="D41">
        <f>_xlfn.RANK.EQ(B41,$B$10:$B$44,0)</f>
        <v/>
      </c>
      <c r="V41" s="12" t="n"/>
      <c r="Y41" s="12" t="n"/>
      <c r="Z41" s="1">
        <f>IFERROR(COUNTIF(F41:U41,"W")/COUNTA(F41:U41),0)</f>
        <v/>
      </c>
      <c r="AA41">
        <f>MAX($B$10:$B$44)-B41</f>
        <v/>
      </c>
      <c r="AB41" s="1">
        <f>IFERROR(B41/16,0)</f>
        <v/>
      </c>
      <c r="AD41" s="76">
        <f>MAX($B$7:$B$141)-B41</f>
        <v/>
      </c>
    </row>
    <row r="42">
      <c r="A42" s="2">
        <f>IF(AD42=0,$AD$46, " ")</f>
        <v/>
      </c>
      <c r="B42">
        <f>SUM(V42:X42)+C42</f>
        <v/>
      </c>
      <c r="C42">
        <f>COUNTA(F42:U42)</f>
        <v/>
      </c>
      <c r="D42">
        <f>_xlfn.RANK.EQ(B42,$B$10:$B$44,0)</f>
        <v/>
      </c>
      <c r="V42" s="12" t="n"/>
      <c r="Y42" s="12" t="n"/>
      <c r="Z42" s="1">
        <f>IFERROR(COUNTIF(F42:U42,"W")/COUNTA(F42:U42),0)</f>
        <v/>
      </c>
      <c r="AA42">
        <f>MAX($B$10:$B$44)-B42</f>
        <v/>
      </c>
      <c r="AB42" s="1">
        <f>IFERROR(B42/16,0)</f>
        <v/>
      </c>
      <c r="AD42" s="76">
        <f>MAX($B$7:$B$141)-B42</f>
        <v/>
      </c>
    </row>
    <row r="43">
      <c r="A43" s="2">
        <f>IF(AD43=0,$AD$46, " ")</f>
        <v/>
      </c>
      <c r="B43">
        <f>SUM(V43:X43)+C43</f>
        <v/>
      </c>
      <c r="C43">
        <f>COUNTA(F43:U43)</f>
        <v/>
      </c>
      <c r="D43">
        <f>_xlfn.RANK.EQ(B43,$B$10:$B$44,0)</f>
        <v/>
      </c>
      <c r="V43" s="12" t="n"/>
      <c r="Y43" s="12" t="n"/>
      <c r="Z43" s="1">
        <f>IFERROR(COUNTIF(F43:U43,"W")/COUNTA(F43:U43),0)</f>
        <v/>
      </c>
      <c r="AA43">
        <f>MAX($B$10:$B$44)-B43</f>
        <v/>
      </c>
      <c r="AB43" s="1">
        <f>IFERROR(B43/16,0)</f>
        <v/>
      </c>
      <c r="AD43" s="76">
        <f>MAX($B$7:$B$141)-B43</f>
        <v/>
      </c>
    </row>
    <row r="44">
      <c r="A44" s="2">
        <f>IF(AD44=0,$AD$46, " ")</f>
        <v/>
      </c>
      <c r="B44">
        <f>SUM(V44:X44)+C44</f>
        <v/>
      </c>
      <c r="C44">
        <f>COUNTA(F44:U44)</f>
        <v/>
      </c>
      <c r="D44">
        <f>_xlfn.RANK.EQ(B44,$B$10:$B$44,0)</f>
        <v/>
      </c>
      <c r="V44" s="12" t="n"/>
      <c r="Y44" s="12" t="n"/>
      <c r="Z44" s="1">
        <f>IFERROR(COUNTIF(F44:U44,"W")/COUNTA(F44:U44),0)</f>
        <v/>
      </c>
      <c r="AA44">
        <f>MAX($B$10:$B$44)-B44</f>
        <v/>
      </c>
      <c r="AB44" s="1">
        <f>IFERROR(B44/16,0)</f>
        <v/>
      </c>
      <c r="AD44" s="76">
        <f>MAX($B$7:$B$141)-B44</f>
        <v/>
      </c>
    </row>
    <row r="45">
      <c r="AD45" s="10">
        <f>COUNTIF(AD10:AD44,0)</f>
        <v/>
      </c>
    </row>
    <row r="46">
      <c r="AD46" s="76">
        <f>SUM(AD10:AD44)/AD45</f>
        <v/>
      </c>
    </row>
  </sheetData>
  <mergeCells count="1">
    <mergeCell ref="A1:Y2"/>
  </mergeCells>
  <conditionalFormatting sqref="B10:B4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:D4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0:U44">
    <cfRule type="cellIs" priority="4" operator="equal" dxfId="2">
      <formula>"W"</formula>
    </cfRule>
    <cfRule type="cellIs" priority="5" operator="equal" dxfId="1">
      <formula>"L"</formula>
    </cfRule>
  </conditionalFormatting>
  <conditionalFormatting sqref="AD10:AD46">
    <cfRule type="cellIs" priority="1" operator="equal" dxfId="0" stopIfTrue="1">
      <formula>0</formula>
    </cfRule>
  </conditionalFormatting>
  <dataValidations count="2">
    <dataValidation sqref="F6:U6" showDropDown="0" showInputMessage="0" showErrorMessage="0" allowBlank="1" type="list">
      <formula1>"Seattle,Los Angeles Rams,Cincinnati,Detroit,Tennessee,Indianapolis,Pittsburgh,Carolina,Jacksonville,Houston,Las Vegas,Minnesota,Philadelphia,Los Angeles Chargers,New York Giants,Kansas City"</formula1>
    </dataValidation>
    <dataValidation sqref="F10:U44" showDropDown="0" showInputMessage="0" showErrorMessage="0" allowBlank="1" type="list">
      <formula1>"W,L"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D46"/>
  <sheetViews>
    <sheetView workbookViewId="0">
      <selection activeCell="A1" sqref="A1:XFD1048576"/>
    </sheetView>
  </sheetViews>
  <sheetFormatPr baseColWidth="8" defaultColWidth="9.109375" defaultRowHeight="14.4"/>
  <cols>
    <col width="11" customWidth="1" style="54" min="1" max="1"/>
    <col width="8" customWidth="1" style="54" min="2" max="4"/>
    <col width="22" customWidth="1" style="54" min="5" max="5"/>
    <col width="17.6640625" customWidth="1" style="54" min="6" max="18"/>
    <col width="23.5546875" bestFit="1" customWidth="1" style="54" min="19" max="19"/>
    <col width="17.6640625" customWidth="1" style="54" min="20" max="21"/>
    <col width="17" customWidth="1" style="54" min="22" max="25"/>
    <col width="12" customWidth="1" style="54" min="26" max="27"/>
    <col width="10" customWidth="1" style="54" min="28" max="28"/>
    <col width="9.109375" customWidth="1" style="54" min="29" max="34"/>
    <col width="9.109375" customWidth="1" style="54" min="35" max="16384"/>
  </cols>
  <sheetData>
    <row r="1">
      <c r="A1" s="63" t="inlineStr">
        <is>
          <t>🏈 WEEK 3 — ACQL</t>
        </is>
      </c>
    </row>
    <row r="2"/>
    <row r="4">
      <c r="A4" s="5" t="inlineStr">
        <is>
          <t>Home Team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inlineStr">
        <is>
          <t>Away Team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6" t="inlineStr">
        <is>
          <t>Result / Winner →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</row>
    <row r="7">
      <c r="A7" s="8" t="inlineStr">
        <is>
          <t>Picked Home %</t>
        </is>
      </c>
      <c r="B7" s="8" t="n"/>
      <c r="C7" s="8" t="n"/>
      <c r="D7" s="8" t="n"/>
      <c r="E7" s="8" t="n"/>
      <c r="F7" s="8">
        <f>IFERROR(COUNTIF(F10:F44, F$4)/COUNTA(B10:B44),0)</f>
        <v/>
      </c>
      <c r="G7" s="8">
        <f>IFERROR(COUNTIF(G10:G44, G$4)/COUNTA(C10:C44),0)</f>
        <v/>
      </c>
      <c r="H7" s="8">
        <f>IFERROR(COUNTIF(H10:H44, H$4)/COUNTA(D10:D44),0)</f>
        <v/>
      </c>
      <c r="I7" s="8">
        <f>IFERROR(COUNTIF(I10:I44, I$4)/COUNTA(E10:E44),0)</f>
        <v/>
      </c>
      <c r="J7" s="8">
        <f>IFERROR(COUNTIF(J10:J44, J$4)/COUNTA(F10:F44),0)</f>
        <v/>
      </c>
      <c r="K7" s="8">
        <f>IFERROR(COUNTIF(K10:K44, K$4)/COUNTA(G10:G44),0)</f>
        <v/>
      </c>
      <c r="L7" s="8">
        <f>IFERROR(COUNTIF(L10:L44, L$4)/COUNTA(H10:H44),0)</f>
        <v/>
      </c>
      <c r="M7" s="8">
        <f>IFERROR(COUNTIF(M10:M44, M$4)/COUNTA(I10:I44),0)</f>
        <v/>
      </c>
      <c r="N7" s="8">
        <f>IFERROR(COUNTIF(N10:N44, N$4)/COUNTA(J10:J44),0)</f>
        <v/>
      </c>
      <c r="O7" s="8">
        <f>IFERROR(COUNTIF(O10:O44, O$4)/COUNTA(K10:K44),0)</f>
        <v/>
      </c>
      <c r="P7" s="8">
        <f>IFERROR(COUNTIF(P10:P44, P$4)/COUNTA(L10:L44),0)</f>
        <v/>
      </c>
      <c r="Q7" s="8">
        <f>IFERROR(COUNTIF(Q10:Q44, Q$4)/COUNTA(M10:M44),0)</f>
        <v/>
      </c>
      <c r="R7" s="8">
        <f>IFERROR(COUNTIF(R10:R44, R$4)/COUNTA(N10:N44),0)</f>
        <v/>
      </c>
      <c r="S7" s="8">
        <f>IFERROR(COUNTIF(S10:S44, S$4)/COUNTA(O10:O44),0)</f>
        <v/>
      </c>
      <c r="T7" s="8">
        <f>IFERROR(COUNTIF(T10:T44, T$4)/COUNTA(P10:P44),0)</f>
        <v/>
      </c>
      <c r="U7" s="8">
        <f>IFERROR(COUNTIF(U10:U44, U$4)/COUNTA(Q10:Q44),0)</f>
        <v/>
      </c>
      <c r="V7" s="7" t="n"/>
      <c r="W7" s="7" t="n"/>
      <c r="X7" s="7" t="n"/>
      <c r="Y7" s="7" t="n"/>
    </row>
    <row r="9" ht="28.8" customHeight="1" s="54">
      <c r="A9" s="9" t="inlineStr">
        <is>
          <t>Entry Fee</t>
        </is>
      </c>
      <c r="B9" s="9" t="inlineStr">
        <is>
          <t>Wins</t>
        </is>
      </c>
      <c r="C9" s="9" t="inlineStr">
        <is>
          <t>Wins</t>
        </is>
      </c>
      <c r="D9" s="9" t="inlineStr">
        <is>
          <t>Rank</t>
        </is>
      </c>
      <c r="E9" s="9" t="inlineStr">
        <is>
          <t>Player</t>
        </is>
      </c>
      <c r="F9" s="9" t="inlineStr">
        <is>
          <t>G1</t>
        </is>
      </c>
      <c r="G9" s="9" t="inlineStr">
        <is>
          <t>G2</t>
        </is>
      </c>
      <c r="H9" s="9" t="inlineStr">
        <is>
          <t>G3</t>
        </is>
      </c>
      <c r="I9" s="9" t="inlineStr">
        <is>
          <t>G4</t>
        </is>
      </c>
      <c r="J9" s="9" t="inlineStr">
        <is>
          <t>G5</t>
        </is>
      </c>
      <c r="K9" s="9" t="inlineStr">
        <is>
          <t>G6</t>
        </is>
      </c>
      <c r="L9" s="9" t="inlineStr">
        <is>
          <t>G7</t>
        </is>
      </c>
      <c r="M9" s="9" t="inlineStr">
        <is>
          <t>G8</t>
        </is>
      </c>
      <c r="N9" s="9" t="inlineStr">
        <is>
          <t>G9</t>
        </is>
      </c>
      <c r="O9" s="9" t="inlineStr">
        <is>
          <t>G10</t>
        </is>
      </c>
      <c r="P9" s="9" t="inlineStr">
        <is>
          <t>G11</t>
        </is>
      </c>
      <c r="Q9" s="9" t="inlineStr">
        <is>
          <t>G12</t>
        </is>
      </c>
      <c r="R9" s="9" t="inlineStr">
        <is>
          <t>G13</t>
        </is>
      </c>
      <c r="S9" s="9" t="inlineStr">
        <is>
          <t>G14</t>
        </is>
      </c>
      <c r="T9" s="9" t="inlineStr">
        <is>
          <t>G15</t>
        </is>
      </c>
      <c r="U9" s="9" t="inlineStr">
        <is>
          <t>G16</t>
        </is>
      </c>
      <c r="V9" s="9" t="inlineStr">
        <is>
          <t>Loser 1</t>
        </is>
      </c>
      <c r="W9" s="9" t="inlineStr">
        <is>
          <t>Loser 2</t>
        </is>
      </c>
      <c r="X9" s="9" t="inlineStr">
        <is>
          <t>Loser 3</t>
        </is>
      </c>
      <c r="Y9" s="9" t="inlineStr">
        <is>
          <t>Suicide</t>
        </is>
      </c>
      <c r="Z9" s="9" t="inlineStr">
        <is>
          <t>Home Team %</t>
        </is>
      </c>
      <c r="AA9" s="9" t="inlineStr">
        <is>
          <t>$ Owed</t>
        </is>
      </c>
      <c r="AB9" s="9" t="inlineStr">
        <is>
          <t>Games Behind</t>
        </is>
      </c>
      <c r="AC9" s="9" t="inlineStr">
        <is>
          <t>Win %</t>
        </is>
      </c>
    </row>
    <row r="10">
      <c r="A10" s="2">
        <f>IF(AD10=0,$AD$46, " ")</f>
        <v/>
      </c>
      <c r="B10">
        <f>SUM(V10:X10)+C10</f>
        <v/>
      </c>
      <c r="C10">
        <f>COUNTA(F10:U10)</f>
        <v/>
      </c>
      <c r="D10">
        <f>_xlfn.RANK.EQ(B10,$B$10:$B$44,0)</f>
        <v/>
      </c>
      <c r="V10" s="11" t="n"/>
      <c r="Y10" s="11" t="n"/>
      <c r="Z10" s="1">
        <f>IFERROR(COUNTIF(F10:U10,"W")/COUNTA(F10:U10),0)</f>
        <v/>
      </c>
      <c r="AA10">
        <f>MAX($B$10:$B$44)-B10</f>
        <v/>
      </c>
      <c r="AB10" s="1">
        <f>IFERROR(B10/16,0)</f>
        <v/>
      </c>
      <c r="AD10" s="76">
        <f>MAX($B$7:$B$141)-B10</f>
        <v/>
      </c>
    </row>
    <row r="11">
      <c r="A11" s="2">
        <f>IF(AD11=0,$AD$46, " ")</f>
        <v/>
      </c>
      <c r="B11">
        <f>SUM(V11:X11)+C11</f>
        <v/>
      </c>
      <c r="C11">
        <f>COUNTA(F11:U11)</f>
        <v/>
      </c>
      <c r="D11">
        <f>_xlfn.RANK.EQ(B11,$B$10:$B$44,0)</f>
        <v/>
      </c>
      <c r="V11" s="12" t="n"/>
      <c r="Y11" s="12" t="n"/>
      <c r="Z11" s="1">
        <f>IFERROR(COUNTIF(F11:U11,"W")/COUNTA(F11:U11),0)</f>
        <v/>
      </c>
      <c r="AA11">
        <f>MAX($B$10:$B$44)-B11</f>
        <v/>
      </c>
      <c r="AB11" s="1">
        <f>IFERROR(B11/16,0)</f>
        <v/>
      </c>
      <c r="AD11" s="76">
        <f>MAX($B$7:$B$141)-B11</f>
        <v/>
      </c>
    </row>
    <row r="12">
      <c r="A12" s="2">
        <f>IF(AD12=0,$AD$46, " ")</f>
        <v/>
      </c>
      <c r="B12">
        <f>SUM(V12:X12)+C12</f>
        <v/>
      </c>
      <c r="C12">
        <f>COUNTA(F12:U12)</f>
        <v/>
      </c>
      <c r="D12">
        <f>_xlfn.RANK.EQ(B12,$B$10:$B$44,0)</f>
        <v/>
      </c>
      <c r="V12" s="12" t="n"/>
      <c r="Y12" s="12" t="n"/>
      <c r="Z12" s="1">
        <f>IFERROR(COUNTIF(F12:U12,"W")/COUNTA(F12:U12),0)</f>
        <v/>
      </c>
      <c r="AA12">
        <f>MAX($B$10:$B$44)-B12</f>
        <v/>
      </c>
      <c r="AB12" s="1">
        <f>IFERROR(B12/16,0)</f>
        <v/>
      </c>
      <c r="AD12" s="76">
        <f>MAX($B$7:$B$141)-B12</f>
        <v/>
      </c>
    </row>
    <row r="13">
      <c r="A13" s="2">
        <f>IF(AD13=0,$AD$46, " ")</f>
        <v/>
      </c>
      <c r="B13">
        <f>SUM(V13:X13)+C13</f>
        <v/>
      </c>
      <c r="C13">
        <f>COUNTA(F13:U13)</f>
        <v/>
      </c>
      <c r="D13">
        <f>_xlfn.RANK.EQ(B13,$B$10:$B$44,0)</f>
        <v/>
      </c>
      <c r="V13" s="12" t="n"/>
      <c r="Y13" s="12" t="n"/>
      <c r="Z13" s="1">
        <f>IFERROR(COUNTIF(F13:U13,"W")/COUNTA(F13:U13),0)</f>
        <v/>
      </c>
      <c r="AA13">
        <f>MAX($B$10:$B$44)-B13</f>
        <v/>
      </c>
      <c r="AB13" s="1">
        <f>IFERROR(B13/16,0)</f>
        <v/>
      </c>
      <c r="AD13" s="76">
        <f>MAX($B$7:$B$141)-B13</f>
        <v/>
      </c>
    </row>
    <row r="14">
      <c r="A14" s="2">
        <f>IF(AD14=0,$AD$46, " ")</f>
        <v/>
      </c>
      <c r="B14">
        <f>SUM(V14:X14)+C14</f>
        <v/>
      </c>
      <c r="C14">
        <f>COUNTA(F14:U14)</f>
        <v/>
      </c>
      <c r="D14">
        <f>_xlfn.RANK.EQ(B14,$B$10:$B$44,0)</f>
        <v/>
      </c>
      <c r="V14" s="12" t="n"/>
      <c r="Y14" s="12" t="n"/>
      <c r="Z14" s="1">
        <f>IFERROR(COUNTIF(F14:U14,"W")/COUNTA(F14:U14),0)</f>
        <v/>
      </c>
      <c r="AA14">
        <f>MAX($B$10:$B$44)-B14</f>
        <v/>
      </c>
      <c r="AB14" s="1">
        <f>IFERROR(B14/16,0)</f>
        <v/>
      </c>
      <c r="AD14" s="76">
        <f>MAX($B$7:$B$141)-B14</f>
        <v/>
      </c>
    </row>
    <row r="15">
      <c r="A15" s="2">
        <f>IF(AD15=0,$AD$46, " ")</f>
        <v/>
      </c>
      <c r="B15">
        <f>SUM(V15:X15)+C15</f>
        <v/>
      </c>
      <c r="C15">
        <f>COUNTA(F15:U15)</f>
        <v/>
      </c>
      <c r="D15">
        <f>_xlfn.RANK.EQ(B15,$B$10:$B$44,0)</f>
        <v/>
      </c>
      <c r="V15" s="12" t="n"/>
      <c r="Y15" s="12" t="n"/>
      <c r="Z15" s="1">
        <f>IFERROR(COUNTIF(F15:U15,"W")/COUNTA(F15:U15),0)</f>
        <v/>
      </c>
      <c r="AA15">
        <f>MAX($B$10:$B$44)-B15</f>
        <v/>
      </c>
      <c r="AB15" s="1">
        <f>IFERROR(B15/16,0)</f>
        <v/>
      </c>
      <c r="AD15" s="76">
        <f>MAX($B$7:$B$141)-B15</f>
        <v/>
      </c>
    </row>
    <row r="16">
      <c r="A16" s="2">
        <f>IF(AD16=0,$AD$46, " ")</f>
        <v/>
      </c>
      <c r="B16">
        <f>SUM(V16:X16)+C16</f>
        <v/>
      </c>
      <c r="C16">
        <f>COUNTA(F16:U16)</f>
        <v/>
      </c>
      <c r="D16">
        <f>_xlfn.RANK.EQ(B16,$B$10:$B$44,0)</f>
        <v/>
      </c>
      <c r="V16" s="12" t="n"/>
      <c r="Y16" s="12" t="n"/>
      <c r="Z16" s="1">
        <f>IFERROR(COUNTIF(F16:U16,"W")/COUNTA(F16:U16),0)</f>
        <v/>
      </c>
      <c r="AA16">
        <f>MAX($B$10:$B$44)-B16</f>
        <v/>
      </c>
      <c r="AB16" s="1">
        <f>IFERROR(B16/16,0)</f>
        <v/>
      </c>
      <c r="AD16" s="76">
        <f>MAX($B$7:$B$141)-B16</f>
        <v/>
      </c>
    </row>
    <row r="17">
      <c r="A17" s="2">
        <f>IF(AD17=0,$AD$46, " ")</f>
        <v/>
      </c>
      <c r="B17">
        <f>SUM(V17:X17)+C17</f>
        <v/>
      </c>
      <c r="C17">
        <f>COUNTA(F17:U17)</f>
        <v/>
      </c>
      <c r="D17">
        <f>_xlfn.RANK.EQ(B17,$B$10:$B$44,0)</f>
        <v/>
      </c>
      <c r="V17" s="12" t="n"/>
      <c r="Y17" s="12" t="n"/>
      <c r="Z17" s="1">
        <f>IFERROR(COUNTIF(F17:U17,"W")/COUNTA(F17:U17),0)</f>
        <v/>
      </c>
      <c r="AA17">
        <f>MAX($B$10:$B$44)-B17</f>
        <v/>
      </c>
      <c r="AB17" s="1">
        <f>IFERROR(B17/16,0)</f>
        <v/>
      </c>
      <c r="AD17" s="76">
        <f>MAX($B$7:$B$141)-B17</f>
        <v/>
      </c>
    </row>
    <row r="18">
      <c r="A18" s="2">
        <f>IF(AD18=0,$AD$46, " ")</f>
        <v/>
      </c>
      <c r="B18">
        <f>SUM(V18:X18)+C18</f>
        <v/>
      </c>
      <c r="C18">
        <f>COUNTA(F18:U18)</f>
        <v/>
      </c>
      <c r="D18">
        <f>_xlfn.RANK.EQ(B18,$B$10:$B$44,0)</f>
        <v/>
      </c>
      <c r="V18" s="12" t="n"/>
      <c r="Y18" s="12" t="n"/>
      <c r="Z18" s="1">
        <f>IFERROR(COUNTIF(F18:U18,"W")/COUNTA(F18:U18),0)</f>
        <v/>
      </c>
      <c r="AA18">
        <f>MAX($B$10:$B$44)-B18</f>
        <v/>
      </c>
      <c r="AB18" s="1">
        <f>IFERROR(B18/16,0)</f>
        <v/>
      </c>
      <c r="AD18" s="76">
        <f>MAX($B$7:$B$141)-B18</f>
        <v/>
      </c>
    </row>
    <row r="19">
      <c r="A19" s="2">
        <f>IF(AD19=0,$AD$46, " ")</f>
        <v/>
      </c>
      <c r="B19">
        <f>SUM(V19:X19)+C19</f>
        <v/>
      </c>
      <c r="C19">
        <f>COUNTA(F19:U19)</f>
        <v/>
      </c>
      <c r="D19">
        <f>_xlfn.RANK.EQ(B19,$B$10:$B$44,0)</f>
        <v/>
      </c>
      <c r="V19" s="12" t="n"/>
      <c r="Y19" s="12" t="n"/>
      <c r="Z19" s="1">
        <f>IFERROR(COUNTIF(F19:U19,"W")/COUNTA(F19:U19),0)</f>
        <v/>
      </c>
      <c r="AA19">
        <f>MAX($B$10:$B$44)-B19</f>
        <v/>
      </c>
      <c r="AB19" s="1">
        <f>IFERROR(B19/16,0)</f>
        <v/>
      </c>
      <c r="AD19" s="76">
        <f>MAX($B$7:$B$141)-B19</f>
        <v/>
      </c>
    </row>
    <row r="20">
      <c r="A20" s="2">
        <f>IF(AD20=0,$AD$46, " ")</f>
        <v/>
      </c>
      <c r="B20">
        <f>SUM(V20:X20)+C20</f>
        <v/>
      </c>
      <c r="C20">
        <f>COUNTA(F20:U20)</f>
        <v/>
      </c>
      <c r="D20">
        <f>_xlfn.RANK.EQ(B20,$B$10:$B$44,0)</f>
        <v/>
      </c>
      <c r="V20" s="12" t="n"/>
      <c r="Y20" s="12" t="n"/>
      <c r="Z20" s="1">
        <f>IFERROR(COUNTIF(F20:U20,"W")/COUNTA(F20:U20),0)</f>
        <v/>
      </c>
      <c r="AA20">
        <f>MAX($B$10:$B$44)-B20</f>
        <v/>
      </c>
      <c r="AB20" s="1">
        <f>IFERROR(B20/16,0)</f>
        <v/>
      </c>
      <c r="AD20" s="76">
        <f>MAX($B$7:$B$141)-B20</f>
        <v/>
      </c>
    </row>
    <row r="21">
      <c r="A21" s="2">
        <f>IF(AD21=0,$AD$46, " ")</f>
        <v/>
      </c>
      <c r="B21">
        <f>SUM(V21:X21)+C21</f>
        <v/>
      </c>
      <c r="C21">
        <f>COUNTA(F21:U21)</f>
        <v/>
      </c>
      <c r="D21">
        <f>_xlfn.RANK.EQ(B21,$B$10:$B$44,0)</f>
        <v/>
      </c>
      <c r="V21" s="12" t="n"/>
      <c r="Y21" s="12" t="n"/>
      <c r="Z21" s="1">
        <f>IFERROR(COUNTIF(F21:U21,"W")/COUNTA(F21:U21),0)</f>
        <v/>
      </c>
      <c r="AA21">
        <f>MAX($B$10:$B$44)-B21</f>
        <v/>
      </c>
      <c r="AB21" s="1">
        <f>IFERROR(B21/16,0)</f>
        <v/>
      </c>
      <c r="AD21" s="76">
        <f>MAX($B$7:$B$141)-B21</f>
        <v/>
      </c>
    </row>
    <row r="22">
      <c r="A22" s="2">
        <f>IF(AD22=0,$AD$46, " ")</f>
        <v/>
      </c>
      <c r="B22">
        <f>SUM(V22:X22)+C22</f>
        <v/>
      </c>
      <c r="C22">
        <f>COUNTA(F22:U22)</f>
        <v/>
      </c>
      <c r="D22">
        <f>_xlfn.RANK.EQ(B22,$B$10:$B$44,0)</f>
        <v/>
      </c>
      <c r="V22" s="12" t="n"/>
      <c r="Y22" s="12" t="n"/>
      <c r="Z22" s="1">
        <f>IFERROR(COUNTIF(F22:U22,"W")/COUNTA(F22:U22),0)</f>
        <v/>
      </c>
      <c r="AA22">
        <f>MAX($B$10:$B$44)-B22</f>
        <v/>
      </c>
      <c r="AB22" s="1">
        <f>IFERROR(B22/16,0)</f>
        <v/>
      </c>
      <c r="AD22" s="76">
        <f>MAX($B$7:$B$141)-B22</f>
        <v/>
      </c>
    </row>
    <row r="23">
      <c r="A23" s="2">
        <f>IF(AD23=0,$AD$46, " ")</f>
        <v/>
      </c>
      <c r="B23">
        <f>SUM(V23:X23)+C23</f>
        <v/>
      </c>
      <c r="C23">
        <f>COUNTA(F23:U23)</f>
        <v/>
      </c>
      <c r="D23">
        <f>_xlfn.RANK.EQ(B23,$B$10:$B$44,0)</f>
        <v/>
      </c>
      <c r="V23" s="12" t="n"/>
      <c r="Y23" s="12" t="n"/>
      <c r="Z23" s="1">
        <f>IFERROR(COUNTIF(F23:U23,"W")/COUNTA(F23:U23),0)</f>
        <v/>
      </c>
      <c r="AA23">
        <f>MAX($B$10:$B$44)-B23</f>
        <v/>
      </c>
      <c r="AB23" s="1">
        <f>IFERROR(B23/16,0)</f>
        <v/>
      </c>
      <c r="AD23" s="76">
        <f>MAX($B$7:$B$141)-B23</f>
        <v/>
      </c>
    </row>
    <row r="24">
      <c r="A24" s="2">
        <f>IF(AD24=0,$AD$46, " ")</f>
        <v/>
      </c>
      <c r="B24">
        <f>SUM(V24:X24)+C24</f>
        <v/>
      </c>
      <c r="C24">
        <f>COUNTA(F24:U24)</f>
        <v/>
      </c>
      <c r="D24">
        <f>_xlfn.RANK.EQ(B24,$B$10:$B$44,0)</f>
        <v/>
      </c>
      <c r="V24" s="12" t="n"/>
      <c r="Y24" s="12" t="n"/>
      <c r="Z24" s="1">
        <f>IFERROR(COUNTIF(F24:U24,"W")/COUNTA(F24:U24),0)</f>
        <v/>
      </c>
      <c r="AA24">
        <f>MAX($B$10:$B$44)-B24</f>
        <v/>
      </c>
      <c r="AB24" s="1">
        <f>IFERROR(B24/16,0)</f>
        <v/>
      </c>
      <c r="AD24" s="76">
        <f>MAX($B$7:$B$141)-B24</f>
        <v/>
      </c>
    </row>
    <row r="25">
      <c r="A25" s="2">
        <f>IF(AD25=0,$AD$46, " ")</f>
        <v/>
      </c>
      <c r="B25">
        <f>SUM(V25:X25)+C25</f>
        <v/>
      </c>
      <c r="C25">
        <f>COUNTA(F25:U25)</f>
        <v/>
      </c>
      <c r="D25">
        <f>_xlfn.RANK.EQ(B25,$B$10:$B$44,0)</f>
        <v/>
      </c>
      <c r="V25" s="12" t="n"/>
      <c r="Y25" s="12" t="n"/>
      <c r="Z25" s="1">
        <f>IFERROR(COUNTIF(F25:U25,"W")/COUNTA(F25:U25),0)</f>
        <v/>
      </c>
      <c r="AA25">
        <f>MAX($B$10:$B$44)-B25</f>
        <v/>
      </c>
      <c r="AB25" s="1">
        <f>IFERROR(B25/16,0)</f>
        <v/>
      </c>
      <c r="AD25" s="76">
        <f>MAX($B$7:$B$141)-B25</f>
        <v/>
      </c>
    </row>
    <row r="26">
      <c r="A26" s="2">
        <f>IF(AD26=0,$AD$46, " ")</f>
        <v/>
      </c>
      <c r="B26">
        <f>SUM(V26:X26)+C26</f>
        <v/>
      </c>
      <c r="C26">
        <f>COUNTA(F26:U26)</f>
        <v/>
      </c>
      <c r="D26">
        <f>_xlfn.RANK.EQ(B26,$B$10:$B$44,0)</f>
        <v/>
      </c>
      <c r="V26" s="12" t="n"/>
      <c r="Y26" s="12" t="n"/>
      <c r="Z26" s="1">
        <f>IFERROR(COUNTIF(F26:U26,"W")/COUNTA(F26:U26),0)</f>
        <v/>
      </c>
      <c r="AA26">
        <f>MAX($B$10:$B$44)-B26</f>
        <v/>
      </c>
      <c r="AB26" s="1">
        <f>IFERROR(B26/16,0)</f>
        <v/>
      </c>
      <c r="AD26" s="76">
        <f>MAX($B$7:$B$141)-B26</f>
        <v/>
      </c>
    </row>
    <row r="27">
      <c r="A27" s="2">
        <f>IF(AD27=0,$AD$46, " ")</f>
        <v/>
      </c>
      <c r="B27">
        <f>SUM(V27:X27)+C27</f>
        <v/>
      </c>
      <c r="C27">
        <f>COUNTA(F27:U27)</f>
        <v/>
      </c>
      <c r="D27">
        <f>_xlfn.RANK.EQ(B27,$B$10:$B$44,0)</f>
        <v/>
      </c>
      <c r="V27" s="12" t="n"/>
      <c r="Y27" s="12" t="n"/>
      <c r="Z27" s="1">
        <f>IFERROR(COUNTIF(F27:U27,"W")/COUNTA(F27:U27),0)</f>
        <v/>
      </c>
      <c r="AA27">
        <f>MAX($B$10:$B$44)-B27</f>
        <v/>
      </c>
      <c r="AB27" s="1">
        <f>IFERROR(B27/16,0)</f>
        <v/>
      </c>
      <c r="AD27" s="76">
        <f>MAX($B$7:$B$141)-B27</f>
        <v/>
      </c>
    </row>
    <row r="28">
      <c r="A28" s="2">
        <f>IF(AD28=0,$AD$46, " ")</f>
        <v/>
      </c>
      <c r="B28">
        <f>SUM(V28:X28)+C28</f>
        <v/>
      </c>
      <c r="C28">
        <f>COUNTA(F28:U28)</f>
        <v/>
      </c>
      <c r="D28">
        <f>_xlfn.RANK.EQ(B28,$B$10:$B$44,0)</f>
        <v/>
      </c>
      <c r="V28" s="12" t="n"/>
      <c r="Y28" s="12" t="n"/>
      <c r="Z28" s="1">
        <f>IFERROR(COUNTIF(F28:U28,"W")/COUNTA(F28:U28),0)</f>
        <v/>
      </c>
      <c r="AA28">
        <f>MAX($B$10:$B$44)-B28</f>
        <v/>
      </c>
      <c r="AB28" s="1">
        <f>IFERROR(B28/16,0)</f>
        <v/>
      </c>
      <c r="AD28" s="76">
        <f>MAX($B$7:$B$141)-B28</f>
        <v/>
      </c>
    </row>
    <row r="29">
      <c r="A29" s="2">
        <f>IF(AD29=0,$AD$46, " ")</f>
        <v/>
      </c>
      <c r="B29">
        <f>SUM(V29:X29)+C29</f>
        <v/>
      </c>
      <c r="C29">
        <f>COUNTA(F29:U29)</f>
        <v/>
      </c>
      <c r="D29">
        <f>_xlfn.RANK.EQ(B29,$B$10:$B$44,0)</f>
        <v/>
      </c>
      <c r="V29" s="12" t="n"/>
      <c r="Y29" s="12" t="n"/>
      <c r="Z29" s="1">
        <f>IFERROR(COUNTIF(F29:U29,"W")/COUNTA(F29:U29),0)</f>
        <v/>
      </c>
      <c r="AA29">
        <f>MAX($B$10:$B$44)-B29</f>
        <v/>
      </c>
      <c r="AB29" s="1">
        <f>IFERROR(B29/16,0)</f>
        <v/>
      </c>
      <c r="AD29" s="76">
        <f>MAX($B$7:$B$141)-B29</f>
        <v/>
      </c>
    </row>
    <row r="30">
      <c r="A30" s="2">
        <f>IF(AD30=0,$AD$46, " ")</f>
        <v/>
      </c>
      <c r="B30">
        <f>SUM(V30:X30)+C30</f>
        <v/>
      </c>
      <c r="C30">
        <f>COUNTA(F30:U30)</f>
        <v/>
      </c>
      <c r="D30">
        <f>_xlfn.RANK.EQ(B30,$B$10:$B$44,0)</f>
        <v/>
      </c>
      <c r="V30" s="12" t="n"/>
      <c r="Y30" s="12" t="n"/>
      <c r="Z30" s="1">
        <f>IFERROR(COUNTIF(F30:U30,"W")/COUNTA(F30:U30),0)</f>
        <v/>
      </c>
      <c r="AA30">
        <f>MAX($B$10:$B$44)-B30</f>
        <v/>
      </c>
      <c r="AB30" s="1">
        <f>IFERROR(B30/16,0)</f>
        <v/>
      </c>
      <c r="AD30" s="76">
        <f>MAX($B$7:$B$141)-B30</f>
        <v/>
      </c>
    </row>
    <row r="31">
      <c r="A31" s="2">
        <f>IF(AD31=0,$AD$46, " ")</f>
        <v/>
      </c>
      <c r="B31">
        <f>SUM(V31:X31)+C31</f>
        <v/>
      </c>
      <c r="C31">
        <f>COUNTA(F31:U31)</f>
        <v/>
      </c>
      <c r="D31">
        <f>_xlfn.RANK.EQ(B31,$B$10:$B$44,0)</f>
        <v/>
      </c>
      <c r="V31" s="12" t="n"/>
      <c r="Y31" s="12" t="n"/>
      <c r="Z31" s="1">
        <f>IFERROR(COUNTIF(F31:U31,"W")/COUNTA(F31:U31),0)</f>
        <v/>
      </c>
      <c r="AA31">
        <f>MAX($B$10:$B$44)-B31</f>
        <v/>
      </c>
      <c r="AB31" s="1">
        <f>IFERROR(B31/16,0)</f>
        <v/>
      </c>
      <c r="AD31" s="76">
        <f>MAX($B$7:$B$141)-B31</f>
        <v/>
      </c>
    </row>
    <row r="32">
      <c r="A32" s="2">
        <f>IF(AD32=0,$AD$46, " ")</f>
        <v/>
      </c>
      <c r="B32">
        <f>SUM(V32:X32)+C32</f>
        <v/>
      </c>
      <c r="C32">
        <f>COUNTA(F32:U32)</f>
        <v/>
      </c>
      <c r="D32">
        <f>_xlfn.RANK.EQ(B32,$B$10:$B$44,0)</f>
        <v/>
      </c>
      <c r="V32" s="12" t="n"/>
      <c r="Y32" s="12" t="n"/>
      <c r="Z32" s="1">
        <f>IFERROR(COUNTIF(F32:U32,"W")/COUNTA(F32:U32),0)</f>
        <v/>
      </c>
      <c r="AA32">
        <f>MAX($B$10:$B$44)-B32</f>
        <v/>
      </c>
      <c r="AB32" s="1">
        <f>IFERROR(B32/16,0)</f>
        <v/>
      </c>
      <c r="AD32" s="76">
        <f>MAX($B$7:$B$141)-B32</f>
        <v/>
      </c>
    </row>
    <row r="33">
      <c r="A33" s="2">
        <f>IF(AD33=0,$AD$46, " ")</f>
        <v/>
      </c>
      <c r="B33">
        <f>SUM(V33:X33)+C33</f>
        <v/>
      </c>
      <c r="C33">
        <f>COUNTA(F33:U33)</f>
        <v/>
      </c>
      <c r="D33">
        <f>_xlfn.RANK.EQ(B33,$B$10:$B$44,0)</f>
        <v/>
      </c>
      <c r="V33" s="12" t="n"/>
      <c r="Y33" s="12" t="n"/>
      <c r="Z33" s="1">
        <f>IFERROR(COUNTIF(F33:U33,"W")/COUNTA(F33:U33),0)</f>
        <v/>
      </c>
      <c r="AA33">
        <f>MAX($B$10:$B$44)-B33</f>
        <v/>
      </c>
      <c r="AB33" s="1">
        <f>IFERROR(B33/16,0)</f>
        <v/>
      </c>
      <c r="AD33" s="76">
        <f>MAX($B$7:$B$141)-B33</f>
        <v/>
      </c>
    </row>
    <row r="34">
      <c r="A34" s="2">
        <f>IF(AD34=0,$AD$46, " ")</f>
        <v/>
      </c>
      <c r="B34">
        <f>SUM(V34:X34)+C34</f>
        <v/>
      </c>
      <c r="C34">
        <f>COUNTA(F34:U34)</f>
        <v/>
      </c>
      <c r="D34">
        <f>_xlfn.RANK.EQ(B34,$B$10:$B$44,0)</f>
        <v/>
      </c>
      <c r="V34" s="12" t="n"/>
      <c r="Y34" s="12" t="n"/>
      <c r="Z34" s="1">
        <f>IFERROR(COUNTIF(F34:U34,"W")/COUNTA(F34:U34),0)</f>
        <v/>
      </c>
      <c r="AA34">
        <f>MAX($B$10:$B$44)-B34</f>
        <v/>
      </c>
      <c r="AB34" s="1">
        <f>IFERROR(B34/16,0)</f>
        <v/>
      </c>
      <c r="AD34" s="76">
        <f>MAX($B$7:$B$141)-B34</f>
        <v/>
      </c>
    </row>
    <row r="35">
      <c r="A35" s="2">
        <f>IF(AD35=0,$AD$46, " ")</f>
        <v/>
      </c>
      <c r="B35">
        <f>SUM(V35:X35)+C35</f>
        <v/>
      </c>
      <c r="C35">
        <f>COUNTA(F35:U35)</f>
        <v/>
      </c>
      <c r="D35">
        <f>_xlfn.RANK.EQ(B35,$B$10:$B$44,0)</f>
        <v/>
      </c>
      <c r="V35" s="12" t="n"/>
      <c r="Y35" s="12" t="n"/>
      <c r="Z35" s="1">
        <f>IFERROR(COUNTIF(F35:U35,"W")/COUNTA(F35:U35),0)</f>
        <v/>
      </c>
      <c r="AA35">
        <f>MAX($B$10:$B$44)-B35</f>
        <v/>
      </c>
      <c r="AB35" s="1">
        <f>IFERROR(B35/16,0)</f>
        <v/>
      </c>
      <c r="AD35" s="76">
        <f>MAX($B$7:$B$141)-B35</f>
        <v/>
      </c>
    </row>
    <row r="36">
      <c r="A36" s="2">
        <f>IF(AD36=0,$AD$46, " ")</f>
        <v/>
      </c>
      <c r="B36">
        <f>SUM(V36:X36)+C36</f>
        <v/>
      </c>
      <c r="C36">
        <f>COUNTA(F36:U36)</f>
        <v/>
      </c>
      <c r="D36">
        <f>_xlfn.RANK.EQ(B36,$B$10:$B$44,0)</f>
        <v/>
      </c>
      <c r="V36" s="12" t="n"/>
      <c r="Y36" s="12" t="n"/>
      <c r="Z36" s="1">
        <f>IFERROR(COUNTIF(F36:U36,"W")/COUNTA(F36:U36),0)</f>
        <v/>
      </c>
      <c r="AA36">
        <f>MAX($B$10:$B$44)-B36</f>
        <v/>
      </c>
      <c r="AB36" s="1">
        <f>IFERROR(B36/16,0)</f>
        <v/>
      </c>
      <c r="AD36" s="76">
        <f>MAX($B$7:$B$141)-B36</f>
        <v/>
      </c>
    </row>
    <row r="37">
      <c r="A37" s="2">
        <f>IF(AD37=0,$AD$46, " ")</f>
        <v/>
      </c>
      <c r="B37">
        <f>SUM(V37:X37)+C37</f>
        <v/>
      </c>
      <c r="C37">
        <f>COUNTA(F37:U37)</f>
        <v/>
      </c>
      <c r="D37">
        <f>_xlfn.RANK.EQ(B37,$B$10:$B$44,0)</f>
        <v/>
      </c>
      <c r="V37" s="12" t="n"/>
      <c r="Y37" s="12" t="n"/>
      <c r="Z37" s="1">
        <f>IFERROR(COUNTIF(F37:U37,"W")/COUNTA(F37:U37),0)</f>
        <v/>
      </c>
      <c r="AA37">
        <f>MAX($B$10:$B$44)-B37</f>
        <v/>
      </c>
      <c r="AB37" s="1">
        <f>IFERROR(B37/16,0)</f>
        <v/>
      </c>
      <c r="AD37" s="76">
        <f>MAX($B$7:$B$141)-B37</f>
        <v/>
      </c>
    </row>
    <row r="38">
      <c r="A38" s="2">
        <f>IF(AD38=0,$AD$46, " ")</f>
        <v/>
      </c>
      <c r="B38">
        <f>SUM(V38:X38)+C38</f>
        <v/>
      </c>
      <c r="C38">
        <f>COUNTA(F38:U38)</f>
        <v/>
      </c>
      <c r="D38">
        <f>_xlfn.RANK.EQ(B38,$B$10:$B$44,0)</f>
        <v/>
      </c>
      <c r="V38" s="12" t="n"/>
      <c r="Y38" s="12" t="n"/>
      <c r="Z38" s="1">
        <f>IFERROR(COUNTIF(F38:U38,"W")/COUNTA(F38:U38),0)</f>
        <v/>
      </c>
      <c r="AA38">
        <f>MAX($B$10:$B$44)-B38</f>
        <v/>
      </c>
      <c r="AB38" s="1">
        <f>IFERROR(B38/16,0)</f>
        <v/>
      </c>
      <c r="AD38" s="76">
        <f>MAX($B$7:$B$141)-B38</f>
        <v/>
      </c>
    </row>
    <row r="39">
      <c r="A39" s="2">
        <f>IF(AD39=0,$AD$46, " ")</f>
        <v/>
      </c>
      <c r="B39">
        <f>SUM(V39:X39)+C39</f>
        <v/>
      </c>
      <c r="C39">
        <f>COUNTA(F39:U39)</f>
        <v/>
      </c>
      <c r="D39">
        <f>_xlfn.RANK.EQ(B39,$B$10:$B$44,0)</f>
        <v/>
      </c>
      <c r="V39" s="12" t="n"/>
      <c r="Y39" s="12" t="n"/>
      <c r="Z39" s="1">
        <f>IFERROR(COUNTIF(F39:U39,"W")/COUNTA(F39:U39),0)</f>
        <v/>
      </c>
      <c r="AA39">
        <f>MAX($B$10:$B$44)-B39</f>
        <v/>
      </c>
      <c r="AB39" s="1">
        <f>IFERROR(B39/16,0)</f>
        <v/>
      </c>
      <c r="AD39" s="76">
        <f>MAX($B$7:$B$141)-B39</f>
        <v/>
      </c>
    </row>
    <row r="40">
      <c r="A40" s="2">
        <f>IF(AD40=0,$AD$46, " ")</f>
        <v/>
      </c>
      <c r="B40">
        <f>SUM(V40:X40)+C40</f>
        <v/>
      </c>
      <c r="C40">
        <f>COUNTA(F40:U40)</f>
        <v/>
      </c>
      <c r="D40">
        <f>_xlfn.RANK.EQ(B40,$B$10:$B$44,0)</f>
        <v/>
      </c>
      <c r="V40" s="12" t="n"/>
      <c r="Y40" s="12" t="n"/>
      <c r="Z40" s="1">
        <f>IFERROR(COUNTIF(F40:U40,"W")/COUNTA(F40:U40),0)</f>
        <v/>
      </c>
      <c r="AA40">
        <f>MAX($B$10:$B$44)-B40</f>
        <v/>
      </c>
      <c r="AB40" s="1">
        <f>IFERROR(B40/16,0)</f>
        <v/>
      </c>
      <c r="AD40" s="76">
        <f>MAX($B$7:$B$141)-B40</f>
        <v/>
      </c>
    </row>
    <row r="41">
      <c r="A41" s="2">
        <f>IF(AD41=0,$AD$46, " ")</f>
        <v/>
      </c>
      <c r="B41">
        <f>SUM(V41:X41)+C41</f>
        <v/>
      </c>
      <c r="C41">
        <f>COUNTA(F41:U41)</f>
        <v/>
      </c>
      <c r="D41">
        <f>_xlfn.RANK.EQ(B41,$B$10:$B$44,0)</f>
        <v/>
      </c>
      <c r="V41" s="12" t="n"/>
      <c r="Y41" s="12" t="n"/>
      <c r="Z41" s="1">
        <f>IFERROR(COUNTIF(F41:U41,"W")/COUNTA(F41:U41),0)</f>
        <v/>
      </c>
      <c r="AA41">
        <f>MAX($B$10:$B$44)-B41</f>
        <v/>
      </c>
      <c r="AB41" s="1">
        <f>IFERROR(B41/16,0)</f>
        <v/>
      </c>
      <c r="AD41" s="76">
        <f>MAX($B$7:$B$141)-B41</f>
        <v/>
      </c>
    </row>
    <row r="42">
      <c r="A42" s="2">
        <f>IF(AD42=0,$AD$46, " ")</f>
        <v/>
      </c>
      <c r="B42">
        <f>SUM(V42:X42)+C42</f>
        <v/>
      </c>
      <c r="C42">
        <f>COUNTA(F42:U42)</f>
        <v/>
      </c>
      <c r="D42">
        <f>_xlfn.RANK.EQ(B42,$B$10:$B$44,0)</f>
        <v/>
      </c>
      <c r="V42" s="12" t="n"/>
      <c r="Y42" s="12" t="n"/>
      <c r="Z42" s="1">
        <f>IFERROR(COUNTIF(F42:U42,"W")/COUNTA(F42:U42),0)</f>
        <v/>
      </c>
      <c r="AA42">
        <f>MAX($B$10:$B$44)-B42</f>
        <v/>
      </c>
      <c r="AB42" s="1">
        <f>IFERROR(B42/16,0)</f>
        <v/>
      </c>
      <c r="AD42" s="76">
        <f>MAX($B$7:$B$141)-B42</f>
        <v/>
      </c>
    </row>
    <row r="43">
      <c r="A43" s="2">
        <f>IF(AD43=0,$AD$46, " ")</f>
        <v/>
      </c>
      <c r="B43">
        <f>SUM(V43:X43)+C43</f>
        <v/>
      </c>
      <c r="C43">
        <f>COUNTA(F43:U43)</f>
        <v/>
      </c>
      <c r="D43">
        <f>_xlfn.RANK.EQ(B43,$B$10:$B$44,0)</f>
        <v/>
      </c>
      <c r="V43" s="12" t="n"/>
      <c r="Y43" s="12" t="n"/>
      <c r="Z43" s="1">
        <f>IFERROR(COUNTIF(F43:U43,"W")/COUNTA(F43:U43),0)</f>
        <v/>
      </c>
      <c r="AA43">
        <f>MAX($B$10:$B$44)-B43</f>
        <v/>
      </c>
      <c r="AB43" s="1">
        <f>IFERROR(B43/16,0)</f>
        <v/>
      </c>
      <c r="AD43" s="76">
        <f>MAX($B$7:$B$141)-B43</f>
        <v/>
      </c>
    </row>
    <row r="44">
      <c r="A44" s="2">
        <f>IF(AD44=0,$AD$46, " ")</f>
        <v/>
      </c>
      <c r="B44">
        <f>SUM(V44:X44)+C44</f>
        <v/>
      </c>
      <c r="C44">
        <f>COUNTA(F44:U44)</f>
        <v/>
      </c>
      <c r="D44">
        <f>_xlfn.RANK.EQ(B44,$B$10:$B$44,0)</f>
        <v/>
      </c>
      <c r="V44" s="12" t="n"/>
      <c r="Y44" s="12" t="n"/>
      <c r="Z44" s="1">
        <f>IFERROR(COUNTIF(F44:U44,"W")/COUNTA(F44:U44),0)</f>
        <v/>
      </c>
      <c r="AA44">
        <f>MAX($B$10:$B$44)-B44</f>
        <v/>
      </c>
      <c r="AB44" s="1">
        <f>IFERROR(B44/16,0)</f>
        <v/>
      </c>
      <c r="AD44" s="76">
        <f>MAX($B$7:$B$141)-B44</f>
        <v/>
      </c>
    </row>
    <row r="45">
      <c r="AD45" s="10">
        <f>COUNTIF(AD10:AD44,0)</f>
        <v/>
      </c>
    </row>
    <row r="46">
      <c r="AD46" s="76">
        <f>SUM(AD10:AD44)/AD45</f>
        <v/>
      </c>
    </row>
  </sheetData>
  <mergeCells count="1">
    <mergeCell ref="A1:Y2"/>
  </mergeCells>
  <conditionalFormatting sqref="B10:B4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:D4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0:U44">
    <cfRule type="cellIs" priority="4" operator="equal" dxfId="2">
      <formula>"W"</formula>
    </cfRule>
    <cfRule type="cellIs" priority="5" operator="equal" dxfId="1">
      <formula>"L"</formula>
    </cfRule>
  </conditionalFormatting>
  <conditionalFormatting sqref="AD10:AD46">
    <cfRule type="cellIs" priority="1" operator="equal" dxfId="0" stopIfTrue="1">
      <formula>0</formula>
    </cfRule>
  </conditionalFormatting>
  <dataValidations count="2">
    <dataValidation sqref="F6:U6" showDropDown="0" showInputMessage="0" showErrorMessage="0" allowBlank="1" type="list">
      <formula1>"Seattle,Los Angeles Rams,Cincinnati,Detroit,Tennessee,Indianapolis,Pittsburgh,Carolina,Jacksonville,Houston,Las Vegas,Minnesota,Philadelphia,Los Angeles Chargers,New York Giants,Kansas City"</formula1>
    </dataValidation>
    <dataValidation sqref="F10:U44" showDropDown="0" showInputMessage="0" showErrorMessage="0" allowBlank="1" type="list">
      <formula1>"W,L"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D46"/>
  <sheetViews>
    <sheetView workbookViewId="0">
      <selection activeCell="A1" sqref="A1:XFD1048576"/>
    </sheetView>
  </sheetViews>
  <sheetFormatPr baseColWidth="8" defaultColWidth="9.109375" defaultRowHeight="14.4"/>
  <cols>
    <col width="11" customWidth="1" style="54" min="1" max="1"/>
    <col width="8" customWidth="1" style="54" min="2" max="4"/>
    <col width="22" customWidth="1" style="54" min="5" max="5"/>
    <col width="17.6640625" customWidth="1" style="54" min="6" max="18"/>
    <col width="23.5546875" bestFit="1" customWidth="1" style="54" min="19" max="19"/>
    <col width="17.6640625" customWidth="1" style="54" min="20" max="21"/>
    <col width="17" customWidth="1" style="54" min="22" max="25"/>
    <col width="12" customWidth="1" style="54" min="26" max="27"/>
    <col width="10" customWidth="1" style="54" min="28" max="28"/>
    <col width="9.109375" customWidth="1" style="54" min="29" max="34"/>
    <col width="9.109375" customWidth="1" style="54" min="35" max="16384"/>
  </cols>
  <sheetData>
    <row r="1">
      <c r="A1" s="63" t="inlineStr">
        <is>
          <t>🏈 WEEK 3 — ACQL</t>
        </is>
      </c>
    </row>
    <row r="2"/>
    <row r="4">
      <c r="A4" s="5" t="inlineStr">
        <is>
          <t>Home Team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inlineStr">
        <is>
          <t>Away Team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6" t="inlineStr">
        <is>
          <t>Result / Winner →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</row>
    <row r="7">
      <c r="A7" s="8" t="inlineStr">
        <is>
          <t>Picked Home %</t>
        </is>
      </c>
      <c r="B7" s="8" t="n"/>
      <c r="C7" s="8" t="n"/>
      <c r="D7" s="8" t="n"/>
      <c r="E7" s="8" t="n"/>
      <c r="F7" s="8">
        <f>IFERROR(COUNTIF(F10:F44, F$4)/COUNTA(B10:B44),0)</f>
        <v/>
      </c>
      <c r="G7" s="8">
        <f>IFERROR(COUNTIF(G10:G44, G$4)/COUNTA(C10:C44),0)</f>
        <v/>
      </c>
      <c r="H7" s="8">
        <f>IFERROR(COUNTIF(H10:H44, H$4)/COUNTA(D10:D44),0)</f>
        <v/>
      </c>
      <c r="I7" s="8">
        <f>IFERROR(COUNTIF(I10:I44, I$4)/COUNTA(E10:E44),0)</f>
        <v/>
      </c>
      <c r="J7" s="8">
        <f>IFERROR(COUNTIF(J10:J44, J$4)/COUNTA(F10:F44),0)</f>
        <v/>
      </c>
      <c r="K7" s="8">
        <f>IFERROR(COUNTIF(K10:K44, K$4)/COUNTA(G10:G44),0)</f>
        <v/>
      </c>
      <c r="L7" s="8">
        <f>IFERROR(COUNTIF(L10:L44, L$4)/COUNTA(H10:H44),0)</f>
        <v/>
      </c>
      <c r="M7" s="8">
        <f>IFERROR(COUNTIF(M10:M44, M$4)/COUNTA(I10:I44),0)</f>
        <v/>
      </c>
      <c r="N7" s="8">
        <f>IFERROR(COUNTIF(N10:N44, N$4)/COUNTA(J10:J44),0)</f>
        <v/>
      </c>
      <c r="O7" s="8">
        <f>IFERROR(COUNTIF(O10:O44, O$4)/COUNTA(K10:K44),0)</f>
        <v/>
      </c>
      <c r="P7" s="8">
        <f>IFERROR(COUNTIF(P10:P44, P$4)/COUNTA(L10:L44),0)</f>
        <v/>
      </c>
      <c r="Q7" s="8">
        <f>IFERROR(COUNTIF(Q10:Q44, Q$4)/COUNTA(M10:M44),0)</f>
        <v/>
      </c>
      <c r="R7" s="8">
        <f>IFERROR(COUNTIF(R10:R44, R$4)/COUNTA(N10:N44),0)</f>
        <v/>
      </c>
      <c r="S7" s="8">
        <f>IFERROR(COUNTIF(S10:S44, S$4)/COUNTA(O10:O44),0)</f>
        <v/>
      </c>
      <c r="T7" s="8">
        <f>IFERROR(COUNTIF(T10:T44, T$4)/COUNTA(P10:P44),0)</f>
        <v/>
      </c>
      <c r="U7" s="8">
        <f>IFERROR(COUNTIF(U10:U44, U$4)/COUNTA(Q10:Q44),0)</f>
        <v/>
      </c>
      <c r="V7" s="7" t="n"/>
      <c r="W7" s="7" t="n"/>
      <c r="X7" s="7" t="n"/>
      <c r="Y7" s="7" t="n"/>
    </row>
    <row r="9" ht="28.8" customHeight="1" s="54">
      <c r="A9" s="9" t="inlineStr">
        <is>
          <t>Entry Fee</t>
        </is>
      </c>
      <c r="B9" s="9" t="inlineStr">
        <is>
          <t>Wins</t>
        </is>
      </c>
      <c r="C9" s="9" t="inlineStr">
        <is>
          <t>Wins</t>
        </is>
      </c>
      <c r="D9" s="9" t="inlineStr">
        <is>
          <t>Rank</t>
        </is>
      </c>
      <c r="E9" s="9" t="inlineStr">
        <is>
          <t>Player</t>
        </is>
      </c>
      <c r="F9" s="9" t="inlineStr">
        <is>
          <t>G1</t>
        </is>
      </c>
      <c r="G9" s="9" t="inlineStr">
        <is>
          <t>G2</t>
        </is>
      </c>
      <c r="H9" s="9" t="inlineStr">
        <is>
          <t>G3</t>
        </is>
      </c>
      <c r="I9" s="9" t="inlineStr">
        <is>
          <t>G4</t>
        </is>
      </c>
      <c r="J9" s="9" t="inlineStr">
        <is>
          <t>G5</t>
        </is>
      </c>
      <c r="K9" s="9" t="inlineStr">
        <is>
          <t>G6</t>
        </is>
      </c>
      <c r="L9" s="9" t="inlineStr">
        <is>
          <t>G7</t>
        </is>
      </c>
      <c r="M9" s="9" t="inlineStr">
        <is>
          <t>G8</t>
        </is>
      </c>
      <c r="N9" s="9" t="inlineStr">
        <is>
          <t>G9</t>
        </is>
      </c>
      <c r="O9" s="9" t="inlineStr">
        <is>
          <t>G10</t>
        </is>
      </c>
      <c r="P9" s="9" t="inlineStr">
        <is>
          <t>G11</t>
        </is>
      </c>
      <c r="Q9" s="9" t="inlineStr">
        <is>
          <t>G12</t>
        </is>
      </c>
      <c r="R9" s="9" t="inlineStr">
        <is>
          <t>G13</t>
        </is>
      </c>
      <c r="S9" s="9" t="inlineStr">
        <is>
          <t>G14</t>
        </is>
      </c>
      <c r="T9" s="9" t="inlineStr">
        <is>
          <t>G15</t>
        </is>
      </c>
      <c r="U9" s="9" t="inlineStr">
        <is>
          <t>G16</t>
        </is>
      </c>
      <c r="V9" s="9" t="inlineStr">
        <is>
          <t>Loser 1</t>
        </is>
      </c>
      <c r="W9" s="9" t="inlineStr">
        <is>
          <t>Loser 2</t>
        </is>
      </c>
      <c r="X9" s="9" t="inlineStr">
        <is>
          <t>Loser 3</t>
        </is>
      </c>
      <c r="Y9" s="9" t="inlineStr">
        <is>
          <t>Suicide</t>
        </is>
      </c>
      <c r="Z9" s="9" t="inlineStr">
        <is>
          <t>Home Team %</t>
        </is>
      </c>
      <c r="AA9" s="9" t="inlineStr">
        <is>
          <t>$ Owed</t>
        </is>
      </c>
      <c r="AB9" s="9" t="inlineStr">
        <is>
          <t>Games Behind</t>
        </is>
      </c>
      <c r="AC9" s="9" t="inlineStr">
        <is>
          <t>Win %</t>
        </is>
      </c>
    </row>
    <row r="10">
      <c r="A10" s="2">
        <f>IF(AD10=0,$AD$46, " ")</f>
        <v/>
      </c>
      <c r="B10">
        <f>SUM(V10:X10)+C10</f>
        <v/>
      </c>
      <c r="C10">
        <f>COUNTA(F10:U10)</f>
        <v/>
      </c>
      <c r="D10">
        <f>_xlfn.RANK.EQ(B10,$B$10:$B$44,0)</f>
        <v/>
      </c>
      <c r="V10" s="11" t="n"/>
      <c r="Y10" s="11" t="n"/>
      <c r="Z10" s="1">
        <f>IFERROR(COUNTIF(F10:U10,"W")/COUNTA(F10:U10),0)</f>
        <v/>
      </c>
      <c r="AA10">
        <f>MAX($B$10:$B$44)-B10</f>
        <v/>
      </c>
      <c r="AB10" s="1">
        <f>IFERROR(B10/16,0)</f>
        <v/>
      </c>
      <c r="AD10" s="76">
        <f>MAX($B$7:$B$141)-B10</f>
        <v/>
      </c>
    </row>
    <row r="11">
      <c r="A11" s="2">
        <f>IF(AD11=0,$AD$46, " ")</f>
        <v/>
      </c>
      <c r="B11">
        <f>SUM(V11:X11)+C11</f>
        <v/>
      </c>
      <c r="C11">
        <f>COUNTA(F11:U11)</f>
        <v/>
      </c>
      <c r="D11">
        <f>_xlfn.RANK.EQ(B11,$B$10:$B$44,0)</f>
        <v/>
      </c>
      <c r="V11" s="12" t="n"/>
      <c r="Y11" s="12" t="n"/>
      <c r="Z11" s="1">
        <f>IFERROR(COUNTIF(F11:U11,"W")/COUNTA(F11:U11),0)</f>
        <v/>
      </c>
      <c r="AA11">
        <f>MAX($B$10:$B$44)-B11</f>
        <v/>
      </c>
      <c r="AB11" s="1">
        <f>IFERROR(B11/16,0)</f>
        <v/>
      </c>
      <c r="AD11" s="76">
        <f>MAX($B$7:$B$141)-B11</f>
        <v/>
      </c>
    </row>
    <row r="12">
      <c r="A12" s="2">
        <f>IF(AD12=0,$AD$46, " ")</f>
        <v/>
      </c>
      <c r="B12">
        <f>SUM(V12:X12)+C12</f>
        <v/>
      </c>
      <c r="C12">
        <f>COUNTA(F12:U12)</f>
        <v/>
      </c>
      <c r="D12">
        <f>_xlfn.RANK.EQ(B12,$B$10:$B$44,0)</f>
        <v/>
      </c>
      <c r="V12" s="12" t="n"/>
      <c r="Y12" s="12" t="n"/>
      <c r="Z12" s="1">
        <f>IFERROR(COUNTIF(F12:U12,"W")/COUNTA(F12:U12),0)</f>
        <v/>
      </c>
      <c r="AA12">
        <f>MAX($B$10:$B$44)-B12</f>
        <v/>
      </c>
      <c r="AB12" s="1">
        <f>IFERROR(B12/16,0)</f>
        <v/>
      </c>
      <c r="AD12" s="76">
        <f>MAX($B$7:$B$141)-B12</f>
        <v/>
      </c>
    </row>
    <row r="13">
      <c r="A13" s="2">
        <f>IF(AD13=0,$AD$46, " ")</f>
        <v/>
      </c>
      <c r="B13">
        <f>SUM(V13:X13)+C13</f>
        <v/>
      </c>
      <c r="C13">
        <f>COUNTA(F13:U13)</f>
        <v/>
      </c>
      <c r="D13">
        <f>_xlfn.RANK.EQ(B13,$B$10:$B$44,0)</f>
        <v/>
      </c>
      <c r="V13" s="12" t="n"/>
      <c r="Y13" s="12" t="n"/>
      <c r="Z13" s="1">
        <f>IFERROR(COUNTIF(F13:U13,"W")/COUNTA(F13:U13),0)</f>
        <v/>
      </c>
      <c r="AA13">
        <f>MAX($B$10:$B$44)-B13</f>
        <v/>
      </c>
      <c r="AB13" s="1">
        <f>IFERROR(B13/16,0)</f>
        <v/>
      </c>
      <c r="AD13" s="76">
        <f>MAX($B$7:$B$141)-B13</f>
        <v/>
      </c>
    </row>
    <row r="14">
      <c r="A14" s="2">
        <f>IF(AD14=0,$AD$46, " ")</f>
        <v/>
      </c>
      <c r="B14">
        <f>SUM(V14:X14)+C14</f>
        <v/>
      </c>
      <c r="C14">
        <f>COUNTA(F14:U14)</f>
        <v/>
      </c>
      <c r="D14">
        <f>_xlfn.RANK.EQ(B14,$B$10:$B$44,0)</f>
        <v/>
      </c>
      <c r="V14" s="12" t="n"/>
      <c r="Y14" s="12" t="n"/>
      <c r="Z14" s="1">
        <f>IFERROR(COUNTIF(F14:U14,"W")/COUNTA(F14:U14),0)</f>
        <v/>
      </c>
      <c r="AA14">
        <f>MAX($B$10:$B$44)-B14</f>
        <v/>
      </c>
      <c r="AB14" s="1">
        <f>IFERROR(B14/16,0)</f>
        <v/>
      </c>
      <c r="AD14" s="76">
        <f>MAX($B$7:$B$141)-B14</f>
        <v/>
      </c>
    </row>
    <row r="15">
      <c r="A15" s="2">
        <f>IF(AD15=0,$AD$46, " ")</f>
        <v/>
      </c>
      <c r="B15">
        <f>SUM(V15:X15)+C15</f>
        <v/>
      </c>
      <c r="C15">
        <f>COUNTA(F15:U15)</f>
        <v/>
      </c>
      <c r="D15">
        <f>_xlfn.RANK.EQ(B15,$B$10:$B$44,0)</f>
        <v/>
      </c>
      <c r="V15" s="12" t="n"/>
      <c r="Y15" s="12" t="n"/>
      <c r="Z15" s="1">
        <f>IFERROR(COUNTIF(F15:U15,"W")/COUNTA(F15:U15),0)</f>
        <v/>
      </c>
      <c r="AA15">
        <f>MAX($B$10:$B$44)-B15</f>
        <v/>
      </c>
      <c r="AB15" s="1">
        <f>IFERROR(B15/16,0)</f>
        <v/>
      </c>
      <c r="AD15" s="76">
        <f>MAX($B$7:$B$141)-B15</f>
        <v/>
      </c>
    </row>
    <row r="16">
      <c r="A16" s="2">
        <f>IF(AD16=0,$AD$46, " ")</f>
        <v/>
      </c>
      <c r="B16">
        <f>SUM(V16:X16)+C16</f>
        <v/>
      </c>
      <c r="C16">
        <f>COUNTA(F16:U16)</f>
        <v/>
      </c>
      <c r="D16">
        <f>_xlfn.RANK.EQ(B16,$B$10:$B$44,0)</f>
        <v/>
      </c>
      <c r="V16" s="12" t="n"/>
      <c r="Y16" s="12" t="n"/>
      <c r="Z16" s="1">
        <f>IFERROR(COUNTIF(F16:U16,"W")/COUNTA(F16:U16),0)</f>
        <v/>
      </c>
      <c r="AA16">
        <f>MAX($B$10:$B$44)-B16</f>
        <v/>
      </c>
      <c r="AB16" s="1">
        <f>IFERROR(B16/16,0)</f>
        <v/>
      </c>
      <c r="AD16" s="76">
        <f>MAX($B$7:$B$141)-B16</f>
        <v/>
      </c>
    </row>
    <row r="17">
      <c r="A17" s="2">
        <f>IF(AD17=0,$AD$46, " ")</f>
        <v/>
      </c>
      <c r="B17">
        <f>SUM(V17:X17)+C17</f>
        <v/>
      </c>
      <c r="C17">
        <f>COUNTA(F17:U17)</f>
        <v/>
      </c>
      <c r="D17">
        <f>_xlfn.RANK.EQ(B17,$B$10:$B$44,0)</f>
        <v/>
      </c>
      <c r="V17" s="12" t="n"/>
      <c r="Y17" s="12" t="n"/>
      <c r="Z17" s="1">
        <f>IFERROR(COUNTIF(F17:U17,"W")/COUNTA(F17:U17),0)</f>
        <v/>
      </c>
      <c r="AA17">
        <f>MAX($B$10:$B$44)-B17</f>
        <v/>
      </c>
      <c r="AB17" s="1">
        <f>IFERROR(B17/16,0)</f>
        <v/>
      </c>
      <c r="AD17" s="76">
        <f>MAX($B$7:$B$141)-B17</f>
        <v/>
      </c>
    </row>
    <row r="18">
      <c r="A18" s="2">
        <f>IF(AD18=0,$AD$46, " ")</f>
        <v/>
      </c>
      <c r="B18">
        <f>SUM(V18:X18)+C18</f>
        <v/>
      </c>
      <c r="C18">
        <f>COUNTA(F18:U18)</f>
        <v/>
      </c>
      <c r="D18">
        <f>_xlfn.RANK.EQ(B18,$B$10:$B$44,0)</f>
        <v/>
      </c>
      <c r="V18" s="12" t="n"/>
      <c r="Y18" s="12" t="n"/>
      <c r="Z18" s="1">
        <f>IFERROR(COUNTIF(F18:U18,"W")/COUNTA(F18:U18),0)</f>
        <v/>
      </c>
      <c r="AA18">
        <f>MAX($B$10:$B$44)-B18</f>
        <v/>
      </c>
      <c r="AB18" s="1">
        <f>IFERROR(B18/16,0)</f>
        <v/>
      </c>
      <c r="AD18" s="76">
        <f>MAX($B$7:$B$141)-B18</f>
        <v/>
      </c>
    </row>
    <row r="19">
      <c r="A19" s="2">
        <f>IF(AD19=0,$AD$46, " ")</f>
        <v/>
      </c>
      <c r="B19">
        <f>SUM(V19:X19)+C19</f>
        <v/>
      </c>
      <c r="C19">
        <f>COUNTA(F19:U19)</f>
        <v/>
      </c>
      <c r="D19">
        <f>_xlfn.RANK.EQ(B19,$B$10:$B$44,0)</f>
        <v/>
      </c>
      <c r="V19" s="12" t="n"/>
      <c r="Y19" s="12" t="n"/>
      <c r="Z19" s="1">
        <f>IFERROR(COUNTIF(F19:U19,"W")/COUNTA(F19:U19),0)</f>
        <v/>
      </c>
      <c r="AA19">
        <f>MAX($B$10:$B$44)-B19</f>
        <v/>
      </c>
      <c r="AB19" s="1">
        <f>IFERROR(B19/16,0)</f>
        <v/>
      </c>
      <c r="AD19" s="76">
        <f>MAX($B$7:$B$141)-B19</f>
        <v/>
      </c>
    </row>
    <row r="20">
      <c r="A20" s="2">
        <f>IF(AD20=0,$AD$46, " ")</f>
        <v/>
      </c>
      <c r="B20">
        <f>SUM(V20:X20)+C20</f>
        <v/>
      </c>
      <c r="C20">
        <f>COUNTA(F20:U20)</f>
        <v/>
      </c>
      <c r="D20">
        <f>_xlfn.RANK.EQ(B20,$B$10:$B$44,0)</f>
        <v/>
      </c>
      <c r="V20" s="12" t="n"/>
      <c r="Y20" s="12" t="n"/>
      <c r="Z20" s="1">
        <f>IFERROR(COUNTIF(F20:U20,"W")/COUNTA(F20:U20),0)</f>
        <v/>
      </c>
      <c r="AA20">
        <f>MAX($B$10:$B$44)-B20</f>
        <v/>
      </c>
      <c r="AB20" s="1">
        <f>IFERROR(B20/16,0)</f>
        <v/>
      </c>
      <c r="AD20" s="76">
        <f>MAX($B$7:$B$141)-B20</f>
        <v/>
      </c>
    </row>
    <row r="21">
      <c r="A21" s="2">
        <f>IF(AD21=0,$AD$46, " ")</f>
        <v/>
      </c>
      <c r="B21">
        <f>SUM(V21:X21)+C21</f>
        <v/>
      </c>
      <c r="C21">
        <f>COUNTA(F21:U21)</f>
        <v/>
      </c>
      <c r="D21">
        <f>_xlfn.RANK.EQ(B21,$B$10:$B$44,0)</f>
        <v/>
      </c>
      <c r="V21" s="12" t="n"/>
      <c r="Y21" s="12" t="n"/>
      <c r="Z21" s="1">
        <f>IFERROR(COUNTIF(F21:U21,"W")/COUNTA(F21:U21),0)</f>
        <v/>
      </c>
      <c r="AA21">
        <f>MAX($B$10:$B$44)-B21</f>
        <v/>
      </c>
      <c r="AB21" s="1">
        <f>IFERROR(B21/16,0)</f>
        <v/>
      </c>
      <c r="AD21" s="76">
        <f>MAX($B$7:$B$141)-B21</f>
        <v/>
      </c>
    </row>
    <row r="22">
      <c r="A22" s="2">
        <f>IF(AD22=0,$AD$46, " ")</f>
        <v/>
      </c>
      <c r="B22">
        <f>SUM(V22:X22)+C22</f>
        <v/>
      </c>
      <c r="C22">
        <f>COUNTA(F22:U22)</f>
        <v/>
      </c>
      <c r="D22">
        <f>_xlfn.RANK.EQ(B22,$B$10:$B$44,0)</f>
        <v/>
      </c>
      <c r="V22" s="12" t="n"/>
      <c r="Y22" s="12" t="n"/>
      <c r="Z22" s="1">
        <f>IFERROR(COUNTIF(F22:U22,"W")/COUNTA(F22:U22),0)</f>
        <v/>
      </c>
      <c r="AA22">
        <f>MAX($B$10:$B$44)-B22</f>
        <v/>
      </c>
      <c r="AB22" s="1">
        <f>IFERROR(B22/16,0)</f>
        <v/>
      </c>
      <c r="AD22" s="76">
        <f>MAX($B$7:$B$141)-B22</f>
        <v/>
      </c>
    </row>
    <row r="23">
      <c r="A23" s="2">
        <f>IF(AD23=0,$AD$46, " ")</f>
        <v/>
      </c>
      <c r="B23">
        <f>SUM(V23:X23)+C23</f>
        <v/>
      </c>
      <c r="C23">
        <f>COUNTA(F23:U23)</f>
        <v/>
      </c>
      <c r="D23">
        <f>_xlfn.RANK.EQ(B23,$B$10:$B$44,0)</f>
        <v/>
      </c>
      <c r="V23" s="12" t="n"/>
      <c r="Y23" s="12" t="n"/>
      <c r="Z23" s="1">
        <f>IFERROR(COUNTIF(F23:U23,"W")/COUNTA(F23:U23),0)</f>
        <v/>
      </c>
      <c r="AA23">
        <f>MAX($B$10:$B$44)-B23</f>
        <v/>
      </c>
      <c r="AB23" s="1">
        <f>IFERROR(B23/16,0)</f>
        <v/>
      </c>
      <c r="AD23" s="76">
        <f>MAX($B$7:$B$141)-B23</f>
        <v/>
      </c>
    </row>
    <row r="24">
      <c r="A24" s="2">
        <f>IF(AD24=0,$AD$46, " ")</f>
        <v/>
      </c>
      <c r="B24">
        <f>SUM(V24:X24)+C24</f>
        <v/>
      </c>
      <c r="C24">
        <f>COUNTA(F24:U24)</f>
        <v/>
      </c>
      <c r="D24">
        <f>_xlfn.RANK.EQ(B24,$B$10:$B$44,0)</f>
        <v/>
      </c>
      <c r="V24" s="12" t="n"/>
      <c r="Y24" s="12" t="n"/>
      <c r="Z24" s="1">
        <f>IFERROR(COUNTIF(F24:U24,"W")/COUNTA(F24:U24),0)</f>
        <v/>
      </c>
      <c r="AA24">
        <f>MAX($B$10:$B$44)-B24</f>
        <v/>
      </c>
      <c r="AB24" s="1">
        <f>IFERROR(B24/16,0)</f>
        <v/>
      </c>
      <c r="AD24" s="76">
        <f>MAX($B$7:$B$141)-B24</f>
        <v/>
      </c>
    </row>
    <row r="25">
      <c r="A25" s="2">
        <f>IF(AD25=0,$AD$46, " ")</f>
        <v/>
      </c>
      <c r="B25">
        <f>SUM(V25:X25)+C25</f>
        <v/>
      </c>
      <c r="C25">
        <f>COUNTA(F25:U25)</f>
        <v/>
      </c>
      <c r="D25">
        <f>_xlfn.RANK.EQ(B25,$B$10:$B$44,0)</f>
        <v/>
      </c>
      <c r="V25" s="12" t="n"/>
      <c r="Y25" s="12" t="n"/>
      <c r="Z25" s="1">
        <f>IFERROR(COUNTIF(F25:U25,"W")/COUNTA(F25:U25),0)</f>
        <v/>
      </c>
      <c r="AA25">
        <f>MAX($B$10:$B$44)-B25</f>
        <v/>
      </c>
      <c r="AB25" s="1">
        <f>IFERROR(B25/16,0)</f>
        <v/>
      </c>
      <c r="AD25" s="76">
        <f>MAX($B$7:$B$141)-B25</f>
        <v/>
      </c>
    </row>
    <row r="26">
      <c r="A26" s="2">
        <f>IF(AD26=0,$AD$46, " ")</f>
        <v/>
      </c>
      <c r="B26">
        <f>SUM(V26:X26)+C26</f>
        <v/>
      </c>
      <c r="C26">
        <f>COUNTA(F26:U26)</f>
        <v/>
      </c>
      <c r="D26">
        <f>_xlfn.RANK.EQ(B26,$B$10:$B$44,0)</f>
        <v/>
      </c>
      <c r="V26" s="12" t="n"/>
      <c r="Y26" s="12" t="n"/>
      <c r="Z26" s="1">
        <f>IFERROR(COUNTIF(F26:U26,"W")/COUNTA(F26:U26),0)</f>
        <v/>
      </c>
      <c r="AA26">
        <f>MAX($B$10:$B$44)-B26</f>
        <v/>
      </c>
      <c r="AB26" s="1">
        <f>IFERROR(B26/16,0)</f>
        <v/>
      </c>
      <c r="AD26" s="76">
        <f>MAX($B$7:$B$141)-B26</f>
        <v/>
      </c>
    </row>
    <row r="27">
      <c r="A27" s="2">
        <f>IF(AD27=0,$AD$46, " ")</f>
        <v/>
      </c>
      <c r="B27">
        <f>SUM(V27:X27)+C27</f>
        <v/>
      </c>
      <c r="C27">
        <f>COUNTA(F27:U27)</f>
        <v/>
      </c>
      <c r="D27">
        <f>_xlfn.RANK.EQ(B27,$B$10:$B$44,0)</f>
        <v/>
      </c>
      <c r="V27" s="12" t="n"/>
      <c r="Y27" s="12" t="n"/>
      <c r="Z27" s="1">
        <f>IFERROR(COUNTIF(F27:U27,"W")/COUNTA(F27:U27),0)</f>
        <v/>
      </c>
      <c r="AA27">
        <f>MAX($B$10:$B$44)-B27</f>
        <v/>
      </c>
      <c r="AB27" s="1">
        <f>IFERROR(B27/16,0)</f>
        <v/>
      </c>
      <c r="AD27" s="76">
        <f>MAX($B$7:$B$141)-B27</f>
        <v/>
      </c>
    </row>
    <row r="28">
      <c r="A28" s="2">
        <f>IF(AD28=0,$AD$46, " ")</f>
        <v/>
      </c>
      <c r="B28">
        <f>SUM(V28:X28)+C28</f>
        <v/>
      </c>
      <c r="C28">
        <f>COUNTA(F28:U28)</f>
        <v/>
      </c>
      <c r="D28">
        <f>_xlfn.RANK.EQ(B28,$B$10:$B$44,0)</f>
        <v/>
      </c>
      <c r="V28" s="12" t="n"/>
      <c r="Y28" s="12" t="n"/>
      <c r="Z28" s="1">
        <f>IFERROR(COUNTIF(F28:U28,"W")/COUNTA(F28:U28),0)</f>
        <v/>
      </c>
      <c r="AA28">
        <f>MAX($B$10:$B$44)-B28</f>
        <v/>
      </c>
      <c r="AB28" s="1">
        <f>IFERROR(B28/16,0)</f>
        <v/>
      </c>
      <c r="AD28" s="76">
        <f>MAX($B$7:$B$141)-B28</f>
        <v/>
      </c>
    </row>
    <row r="29">
      <c r="A29" s="2">
        <f>IF(AD29=0,$AD$46, " ")</f>
        <v/>
      </c>
      <c r="B29">
        <f>SUM(V29:X29)+C29</f>
        <v/>
      </c>
      <c r="C29">
        <f>COUNTA(F29:U29)</f>
        <v/>
      </c>
      <c r="D29">
        <f>_xlfn.RANK.EQ(B29,$B$10:$B$44,0)</f>
        <v/>
      </c>
      <c r="V29" s="12" t="n"/>
      <c r="Y29" s="12" t="n"/>
      <c r="Z29" s="1">
        <f>IFERROR(COUNTIF(F29:U29,"W")/COUNTA(F29:U29),0)</f>
        <v/>
      </c>
      <c r="AA29">
        <f>MAX($B$10:$B$44)-B29</f>
        <v/>
      </c>
      <c r="AB29" s="1">
        <f>IFERROR(B29/16,0)</f>
        <v/>
      </c>
      <c r="AD29" s="76">
        <f>MAX($B$7:$B$141)-B29</f>
        <v/>
      </c>
    </row>
    <row r="30">
      <c r="A30" s="2">
        <f>IF(AD30=0,$AD$46, " ")</f>
        <v/>
      </c>
      <c r="B30">
        <f>SUM(V30:X30)+C30</f>
        <v/>
      </c>
      <c r="C30">
        <f>COUNTA(F30:U30)</f>
        <v/>
      </c>
      <c r="D30">
        <f>_xlfn.RANK.EQ(B30,$B$10:$B$44,0)</f>
        <v/>
      </c>
      <c r="V30" s="12" t="n"/>
      <c r="Y30" s="12" t="n"/>
      <c r="Z30" s="1">
        <f>IFERROR(COUNTIF(F30:U30,"W")/COUNTA(F30:U30),0)</f>
        <v/>
      </c>
      <c r="AA30">
        <f>MAX($B$10:$B$44)-B30</f>
        <v/>
      </c>
      <c r="AB30" s="1">
        <f>IFERROR(B30/16,0)</f>
        <v/>
      </c>
      <c r="AD30" s="76">
        <f>MAX($B$7:$B$141)-B30</f>
        <v/>
      </c>
    </row>
    <row r="31">
      <c r="A31" s="2">
        <f>IF(AD31=0,$AD$46, " ")</f>
        <v/>
      </c>
      <c r="B31">
        <f>SUM(V31:X31)+C31</f>
        <v/>
      </c>
      <c r="C31">
        <f>COUNTA(F31:U31)</f>
        <v/>
      </c>
      <c r="D31">
        <f>_xlfn.RANK.EQ(B31,$B$10:$B$44,0)</f>
        <v/>
      </c>
      <c r="V31" s="12" t="n"/>
      <c r="Y31" s="12" t="n"/>
      <c r="Z31" s="1">
        <f>IFERROR(COUNTIF(F31:U31,"W")/COUNTA(F31:U31),0)</f>
        <v/>
      </c>
      <c r="AA31">
        <f>MAX($B$10:$B$44)-B31</f>
        <v/>
      </c>
      <c r="AB31" s="1">
        <f>IFERROR(B31/16,0)</f>
        <v/>
      </c>
      <c r="AD31" s="76">
        <f>MAX($B$7:$B$141)-B31</f>
        <v/>
      </c>
    </row>
    <row r="32">
      <c r="A32" s="2">
        <f>IF(AD32=0,$AD$46, " ")</f>
        <v/>
      </c>
      <c r="B32">
        <f>SUM(V32:X32)+C32</f>
        <v/>
      </c>
      <c r="C32">
        <f>COUNTA(F32:U32)</f>
        <v/>
      </c>
      <c r="D32">
        <f>_xlfn.RANK.EQ(B32,$B$10:$B$44,0)</f>
        <v/>
      </c>
      <c r="V32" s="12" t="n"/>
      <c r="Y32" s="12" t="n"/>
      <c r="Z32" s="1">
        <f>IFERROR(COUNTIF(F32:U32,"W")/COUNTA(F32:U32),0)</f>
        <v/>
      </c>
      <c r="AA32">
        <f>MAX($B$10:$B$44)-B32</f>
        <v/>
      </c>
      <c r="AB32" s="1">
        <f>IFERROR(B32/16,0)</f>
        <v/>
      </c>
      <c r="AD32" s="76">
        <f>MAX($B$7:$B$141)-B32</f>
        <v/>
      </c>
    </row>
    <row r="33">
      <c r="A33" s="2">
        <f>IF(AD33=0,$AD$46, " ")</f>
        <v/>
      </c>
      <c r="B33">
        <f>SUM(V33:X33)+C33</f>
        <v/>
      </c>
      <c r="C33">
        <f>COUNTA(F33:U33)</f>
        <v/>
      </c>
      <c r="D33">
        <f>_xlfn.RANK.EQ(B33,$B$10:$B$44,0)</f>
        <v/>
      </c>
      <c r="V33" s="12" t="n"/>
      <c r="Y33" s="12" t="n"/>
      <c r="Z33" s="1">
        <f>IFERROR(COUNTIF(F33:U33,"W")/COUNTA(F33:U33),0)</f>
        <v/>
      </c>
      <c r="AA33">
        <f>MAX($B$10:$B$44)-B33</f>
        <v/>
      </c>
      <c r="AB33" s="1">
        <f>IFERROR(B33/16,0)</f>
        <v/>
      </c>
      <c r="AD33" s="76">
        <f>MAX($B$7:$B$141)-B33</f>
        <v/>
      </c>
    </row>
    <row r="34">
      <c r="A34" s="2">
        <f>IF(AD34=0,$AD$46, " ")</f>
        <v/>
      </c>
      <c r="B34">
        <f>SUM(V34:X34)+C34</f>
        <v/>
      </c>
      <c r="C34">
        <f>COUNTA(F34:U34)</f>
        <v/>
      </c>
      <c r="D34">
        <f>_xlfn.RANK.EQ(B34,$B$10:$B$44,0)</f>
        <v/>
      </c>
      <c r="V34" s="12" t="n"/>
      <c r="Y34" s="12" t="n"/>
      <c r="Z34" s="1">
        <f>IFERROR(COUNTIF(F34:U34,"W")/COUNTA(F34:U34),0)</f>
        <v/>
      </c>
      <c r="AA34">
        <f>MAX($B$10:$B$44)-B34</f>
        <v/>
      </c>
      <c r="AB34" s="1">
        <f>IFERROR(B34/16,0)</f>
        <v/>
      </c>
      <c r="AD34" s="76">
        <f>MAX($B$7:$B$141)-B34</f>
        <v/>
      </c>
    </row>
    <row r="35">
      <c r="A35" s="2">
        <f>IF(AD35=0,$AD$46, " ")</f>
        <v/>
      </c>
      <c r="B35">
        <f>SUM(V35:X35)+C35</f>
        <v/>
      </c>
      <c r="C35">
        <f>COUNTA(F35:U35)</f>
        <v/>
      </c>
      <c r="D35">
        <f>_xlfn.RANK.EQ(B35,$B$10:$B$44,0)</f>
        <v/>
      </c>
      <c r="V35" s="12" t="n"/>
      <c r="Y35" s="12" t="n"/>
      <c r="Z35" s="1">
        <f>IFERROR(COUNTIF(F35:U35,"W")/COUNTA(F35:U35),0)</f>
        <v/>
      </c>
      <c r="AA35">
        <f>MAX($B$10:$B$44)-B35</f>
        <v/>
      </c>
      <c r="AB35" s="1">
        <f>IFERROR(B35/16,0)</f>
        <v/>
      </c>
      <c r="AD35" s="76">
        <f>MAX($B$7:$B$141)-B35</f>
        <v/>
      </c>
    </row>
    <row r="36">
      <c r="A36" s="2">
        <f>IF(AD36=0,$AD$46, " ")</f>
        <v/>
      </c>
      <c r="B36">
        <f>SUM(V36:X36)+C36</f>
        <v/>
      </c>
      <c r="C36">
        <f>COUNTA(F36:U36)</f>
        <v/>
      </c>
      <c r="D36">
        <f>_xlfn.RANK.EQ(B36,$B$10:$B$44,0)</f>
        <v/>
      </c>
      <c r="V36" s="12" t="n"/>
      <c r="Y36" s="12" t="n"/>
      <c r="Z36" s="1">
        <f>IFERROR(COUNTIF(F36:U36,"W")/COUNTA(F36:U36),0)</f>
        <v/>
      </c>
      <c r="AA36">
        <f>MAX($B$10:$B$44)-B36</f>
        <v/>
      </c>
      <c r="AB36" s="1">
        <f>IFERROR(B36/16,0)</f>
        <v/>
      </c>
      <c r="AD36" s="76">
        <f>MAX($B$7:$B$141)-B36</f>
        <v/>
      </c>
    </row>
    <row r="37">
      <c r="A37" s="2">
        <f>IF(AD37=0,$AD$46, " ")</f>
        <v/>
      </c>
      <c r="B37">
        <f>SUM(V37:X37)+C37</f>
        <v/>
      </c>
      <c r="C37">
        <f>COUNTA(F37:U37)</f>
        <v/>
      </c>
      <c r="D37">
        <f>_xlfn.RANK.EQ(B37,$B$10:$B$44,0)</f>
        <v/>
      </c>
      <c r="V37" s="12" t="n"/>
      <c r="Y37" s="12" t="n"/>
      <c r="Z37" s="1">
        <f>IFERROR(COUNTIF(F37:U37,"W")/COUNTA(F37:U37),0)</f>
        <v/>
      </c>
      <c r="AA37">
        <f>MAX($B$10:$B$44)-B37</f>
        <v/>
      </c>
      <c r="AB37" s="1">
        <f>IFERROR(B37/16,0)</f>
        <v/>
      </c>
      <c r="AD37" s="76">
        <f>MAX($B$7:$B$141)-B37</f>
        <v/>
      </c>
    </row>
    <row r="38">
      <c r="A38" s="2">
        <f>IF(AD38=0,$AD$46, " ")</f>
        <v/>
      </c>
      <c r="B38">
        <f>SUM(V38:X38)+C38</f>
        <v/>
      </c>
      <c r="C38">
        <f>COUNTA(F38:U38)</f>
        <v/>
      </c>
      <c r="D38">
        <f>_xlfn.RANK.EQ(B38,$B$10:$B$44,0)</f>
        <v/>
      </c>
      <c r="V38" s="12" t="n"/>
      <c r="Y38" s="12" t="n"/>
      <c r="Z38" s="1">
        <f>IFERROR(COUNTIF(F38:U38,"W")/COUNTA(F38:U38),0)</f>
        <v/>
      </c>
      <c r="AA38">
        <f>MAX($B$10:$B$44)-B38</f>
        <v/>
      </c>
      <c r="AB38" s="1">
        <f>IFERROR(B38/16,0)</f>
        <v/>
      </c>
      <c r="AD38" s="76">
        <f>MAX($B$7:$B$141)-B38</f>
        <v/>
      </c>
    </row>
    <row r="39">
      <c r="A39" s="2">
        <f>IF(AD39=0,$AD$46, " ")</f>
        <v/>
      </c>
      <c r="B39">
        <f>SUM(V39:X39)+C39</f>
        <v/>
      </c>
      <c r="C39">
        <f>COUNTA(F39:U39)</f>
        <v/>
      </c>
      <c r="D39">
        <f>_xlfn.RANK.EQ(B39,$B$10:$B$44,0)</f>
        <v/>
      </c>
      <c r="V39" s="12" t="n"/>
      <c r="Y39" s="12" t="n"/>
      <c r="Z39" s="1">
        <f>IFERROR(COUNTIF(F39:U39,"W")/COUNTA(F39:U39),0)</f>
        <v/>
      </c>
      <c r="AA39">
        <f>MAX($B$10:$B$44)-B39</f>
        <v/>
      </c>
      <c r="AB39" s="1">
        <f>IFERROR(B39/16,0)</f>
        <v/>
      </c>
      <c r="AD39" s="76">
        <f>MAX($B$7:$B$141)-B39</f>
        <v/>
      </c>
    </row>
    <row r="40">
      <c r="A40" s="2">
        <f>IF(AD40=0,$AD$46, " ")</f>
        <v/>
      </c>
      <c r="B40">
        <f>SUM(V40:X40)+C40</f>
        <v/>
      </c>
      <c r="C40">
        <f>COUNTA(F40:U40)</f>
        <v/>
      </c>
      <c r="D40">
        <f>_xlfn.RANK.EQ(B40,$B$10:$B$44,0)</f>
        <v/>
      </c>
      <c r="V40" s="12" t="n"/>
      <c r="Y40" s="12" t="n"/>
      <c r="Z40" s="1">
        <f>IFERROR(COUNTIF(F40:U40,"W")/COUNTA(F40:U40),0)</f>
        <v/>
      </c>
      <c r="AA40">
        <f>MAX($B$10:$B$44)-B40</f>
        <v/>
      </c>
      <c r="AB40" s="1">
        <f>IFERROR(B40/16,0)</f>
        <v/>
      </c>
      <c r="AD40" s="76">
        <f>MAX($B$7:$B$141)-B40</f>
        <v/>
      </c>
    </row>
    <row r="41">
      <c r="A41" s="2">
        <f>IF(AD41=0,$AD$46, " ")</f>
        <v/>
      </c>
      <c r="B41">
        <f>SUM(V41:X41)+C41</f>
        <v/>
      </c>
      <c r="C41">
        <f>COUNTA(F41:U41)</f>
        <v/>
      </c>
      <c r="D41">
        <f>_xlfn.RANK.EQ(B41,$B$10:$B$44,0)</f>
        <v/>
      </c>
      <c r="V41" s="12" t="n"/>
      <c r="Y41" s="12" t="n"/>
      <c r="Z41" s="1">
        <f>IFERROR(COUNTIF(F41:U41,"W")/COUNTA(F41:U41),0)</f>
        <v/>
      </c>
      <c r="AA41">
        <f>MAX($B$10:$B$44)-B41</f>
        <v/>
      </c>
      <c r="AB41" s="1">
        <f>IFERROR(B41/16,0)</f>
        <v/>
      </c>
      <c r="AD41" s="76">
        <f>MAX($B$7:$B$141)-B41</f>
        <v/>
      </c>
    </row>
    <row r="42">
      <c r="A42" s="2">
        <f>IF(AD42=0,$AD$46, " ")</f>
        <v/>
      </c>
      <c r="B42">
        <f>SUM(V42:X42)+C42</f>
        <v/>
      </c>
      <c r="C42">
        <f>COUNTA(F42:U42)</f>
        <v/>
      </c>
      <c r="D42">
        <f>_xlfn.RANK.EQ(B42,$B$10:$B$44,0)</f>
        <v/>
      </c>
      <c r="V42" s="12" t="n"/>
      <c r="Y42" s="12" t="n"/>
      <c r="Z42" s="1">
        <f>IFERROR(COUNTIF(F42:U42,"W")/COUNTA(F42:U42),0)</f>
        <v/>
      </c>
      <c r="AA42">
        <f>MAX($B$10:$B$44)-B42</f>
        <v/>
      </c>
      <c r="AB42" s="1">
        <f>IFERROR(B42/16,0)</f>
        <v/>
      </c>
      <c r="AD42" s="76">
        <f>MAX($B$7:$B$141)-B42</f>
        <v/>
      </c>
    </row>
    <row r="43">
      <c r="A43" s="2">
        <f>IF(AD43=0,$AD$46, " ")</f>
        <v/>
      </c>
      <c r="B43">
        <f>SUM(V43:X43)+C43</f>
        <v/>
      </c>
      <c r="C43">
        <f>COUNTA(F43:U43)</f>
        <v/>
      </c>
      <c r="D43">
        <f>_xlfn.RANK.EQ(B43,$B$10:$B$44,0)</f>
        <v/>
      </c>
      <c r="V43" s="12" t="n"/>
      <c r="Y43" s="12" t="n"/>
      <c r="Z43" s="1">
        <f>IFERROR(COUNTIF(F43:U43,"W")/COUNTA(F43:U43),0)</f>
        <v/>
      </c>
      <c r="AA43">
        <f>MAX($B$10:$B$44)-B43</f>
        <v/>
      </c>
      <c r="AB43" s="1">
        <f>IFERROR(B43/16,0)</f>
        <v/>
      </c>
      <c r="AD43" s="76">
        <f>MAX($B$7:$B$141)-B43</f>
        <v/>
      </c>
    </row>
    <row r="44">
      <c r="A44" s="2">
        <f>IF(AD44=0,$AD$46, " ")</f>
        <v/>
      </c>
      <c r="B44">
        <f>SUM(V44:X44)+C44</f>
        <v/>
      </c>
      <c r="C44">
        <f>COUNTA(F44:U44)</f>
        <v/>
      </c>
      <c r="D44">
        <f>_xlfn.RANK.EQ(B44,$B$10:$B$44,0)</f>
        <v/>
      </c>
      <c r="V44" s="12" t="n"/>
      <c r="Y44" s="12" t="n"/>
      <c r="Z44" s="1">
        <f>IFERROR(COUNTIF(F44:U44,"W")/COUNTA(F44:U44),0)</f>
        <v/>
      </c>
      <c r="AA44">
        <f>MAX($B$10:$B$44)-B44</f>
        <v/>
      </c>
      <c r="AB44" s="1">
        <f>IFERROR(B44/16,0)</f>
        <v/>
      </c>
      <c r="AD44" s="76">
        <f>MAX($B$7:$B$141)-B44</f>
        <v/>
      </c>
    </row>
    <row r="45">
      <c r="AD45" s="10">
        <f>COUNTIF(AD10:AD44,0)</f>
        <v/>
      </c>
    </row>
    <row r="46">
      <c r="AD46" s="76">
        <f>SUM(AD10:AD44)/AD45</f>
        <v/>
      </c>
    </row>
  </sheetData>
  <mergeCells count="1">
    <mergeCell ref="A1:Y2"/>
  </mergeCells>
  <conditionalFormatting sqref="B10:B4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:D4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0:U44">
    <cfRule type="cellIs" priority="4" operator="equal" dxfId="2">
      <formula>"W"</formula>
    </cfRule>
    <cfRule type="cellIs" priority="5" operator="equal" dxfId="1">
      <formula>"L"</formula>
    </cfRule>
  </conditionalFormatting>
  <conditionalFormatting sqref="AD10:AD46">
    <cfRule type="cellIs" priority="1" operator="equal" dxfId="0" stopIfTrue="1">
      <formula>0</formula>
    </cfRule>
  </conditionalFormatting>
  <dataValidations count="2">
    <dataValidation sqref="F6:U6" showDropDown="0" showInputMessage="0" showErrorMessage="0" allowBlank="1" type="list">
      <formula1>"Seattle,Los Angeles Rams,Cincinnati,Detroit,Tennessee,Indianapolis,Pittsburgh,Carolina,Jacksonville,Houston,Las Vegas,Minnesota,Philadelphia,Los Angeles Chargers,New York Giants,Kansas City"</formula1>
    </dataValidation>
    <dataValidation sqref="F10:U44" showDropDown="0" showInputMessage="0" showErrorMessage="0" allowBlank="1" type="list">
      <formula1>"W,L"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2026-09-10T23:43:01Z</dcterms:created>
  <dcterms:modified xsi:type="dcterms:W3CDTF">2026-10-13T22:22:58Z</dcterms:modified>
  <cp:lastModifiedBy>Sam Phelps</cp:lastModifiedBy>
</cp:coreProperties>
</file>